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212"/>
  <workbookPr/>
  <mc:AlternateContent xmlns:mc="http://schemas.openxmlformats.org/markup-compatibility/2006">
    <mc:Choice Requires="x15">
      <x15ac:absPath xmlns:x15ac="http://schemas.microsoft.com/office/spreadsheetml/2010/11/ac" url="/Users/guittnk3/Documents/GitHub/ComputationallyFixingExcel/json_schemas/input_files/"/>
    </mc:Choice>
  </mc:AlternateContent>
  <xr:revisionPtr revIDLastSave="0" documentId="8_{009C3CAB-CA10-054E-9703-5694BD2F5920}" xr6:coauthVersionLast="47" xr6:coauthVersionMax="47" xr10:uidLastSave="{00000000-0000-0000-0000-000000000000}"/>
  <bookViews>
    <workbookView xWindow="7580" yWindow="2780" windowWidth="26980" windowHeight="11960" xr2:uid="{00000000-000D-0000-FFFF-FFFF00000000}"/>
  </bookViews>
  <sheets>
    <sheet name="projects" sheetId="1" r:id="rId1"/>
    <sheet name="Collections" sheetId="2" r:id="rId2"/>
    <sheet name="Experiments" sheetId="3" r:id="rId3"/>
    <sheet name="Channels" sheetId="4"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524" i="4" l="1"/>
  <c r="D523" i="4"/>
  <c r="D522" i="4"/>
  <c r="D521" i="4"/>
  <c r="D520" i="4"/>
  <c r="D519" i="4"/>
  <c r="D518" i="4"/>
  <c r="D517" i="4"/>
  <c r="D516" i="4"/>
  <c r="D515" i="4"/>
  <c r="D514" i="4"/>
  <c r="D513" i="4"/>
  <c r="D512" i="4"/>
  <c r="D511" i="4"/>
  <c r="D510" i="4"/>
  <c r="D509" i="4"/>
  <c r="D508" i="4"/>
  <c r="D507" i="4"/>
  <c r="D506" i="4"/>
  <c r="D505" i="4"/>
  <c r="D504" i="4"/>
  <c r="D503" i="4"/>
  <c r="D502" i="4"/>
  <c r="D501" i="4"/>
  <c r="D500" i="4"/>
  <c r="D499" i="4"/>
  <c r="D498" i="4"/>
  <c r="D497" i="4"/>
  <c r="D496" i="4"/>
  <c r="D495" i="4"/>
  <c r="D494" i="4"/>
  <c r="D493" i="4"/>
  <c r="D492" i="4"/>
  <c r="D491" i="4"/>
  <c r="D490" i="4"/>
  <c r="D489" i="4"/>
  <c r="D488" i="4"/>
  <c r="D487" i="4"/>
  <c r="D486" i="4"/>
  <c r="D485" i="4"/>
  <c r="D484" i="4"/>
  <c r="D483" i="4"/>
  <c r="D482" i="4"/>
  <c r="D481" i="4"/>
  <c r="D480" i="4"/>
  <c r="D479" i="4"/>
  <c r="D478" i="4"/>
  <c r="D477" i="4"/>
  <c r="D476" i="4"/>
  <c r="D475" i="4"/>
  <c r="D474" i="4"/>
  <c r="D473" i="4"/>
  <c r="D472" i="4"/>
  <c r="D471" i="4"/>
  <c r="D470" i="4"/>
  <c r="D469" i="4"/>
  <c r="D468" i="4"/>
  <c r="D467" i="4"/>
  <c r="D466" i="4"/>
  <c r="D465" i="4"/>
  <c r="D464" i="4"/>
  <c r="D463" i="4"/>
  <c r="D462" i="4"/>
  <c r="D461" i="4"/>
  <c r="D460" i="4"/>
  <c r="D459" i="4"/>
  <c r="D458" i="4"/>
  <c r="D457" i="4"/>
  <c r="D456" i="4"/>
  <c r="D455" i="4"/>
  <c r="D454" i="4"/>
  <c r="D453" i="4"/>
  <c r="D452" i="4"/>
  <c r="D451" i="4"/>
  <c r="D450" i="4"/>
  <c r="D449" i="4"/>
  <c r="D448" i="4"/>
  <c r="D447" i="4"/>
  <c r="D446" i="4"/>
  <c r="D445" i="4"/>
  <c r="D444" i="4"/>
  <c r="D443" i="4"/>
  <c r="D442" i="4"/>
  <c r="D441" i="4"/>
  <c r="D440" i="4"/>
  <c r="D439" i="4"/>
  <c r="D438" i="4"/>
  <c r="D437" i="4"/>
  <c r="D436" i="4"/>
  <c r="D435" i="4"/>
  <c r="D434" i="4"/>
  <c r="D433" i="4"/>
  <c r="D432" i="4"/>
  <c r="D431" i="4"/>
  <c r="D430" i="4"/>
  <c r="D429" i="4"/>
  <c r="D428" i="4"/>
  <c r="D427" i="4"/>
  <c r="D426" i="4"/>
  <c r="D425" i="4"/>
  <c r="D424" i="4"/>
  <c r="D423" i="4"/>
  <c r="D422" i="4"/>
  <c r="D421" i="4"/>
  <c r="D419" i="4"/>
  <c r="D418" i="4"/>
  <c r="D417" i="4"/>
  <c r="D416" i="4"/>
  <c r="D415" i="4"/>
  <c r="D414" i="4"/>
  <c r="D413" i="4"/>
  <c r="D412" i="4"/>
  <c r="D411" i="4"/>
  <c r="D410" i="4"/>
  <c r="D409" i="4"/>
  <c r="D408" i="4"/>
  <c r="D407" i="4"/>
  <c r="D406" i="4"/>
  <c r="D405" i="4"/>
  <c r="D404" i="4"/>
  <c r="D403" i="4"/>
  <c r="D256" i="4"/>
  <c r="D255" i="4"/>
  <c r="D254" i="4"/>
  <c r="D253" i="4"/>
  <c r="D252" i="4"/>
  <c r="D251" i="4"/>
  <c r="D250" i="4"/>
  <c r="D249" i="4"/>
  <c r="D248" i="4"/>
  <c r="D247" i="4"/>
  <c r="D246" i="4"/>
  <c r="D245" i="4"/>
  <c r="D244" i="4"/>
  <c r="D243" i="4"/>
  <c r="D242" i="4"/>
  <c r="D241" i="4"/>
  <c r="D240" i="4"/>
  <c r="D239" i="4"/>
  <c r="D238" i="4"/>
  <c r="D237" i="4"/>
  <c r="D236" i="4"/>
  <c r="D235" i="4"/>
  <c r="D234" i="4"/>
  <c r="D233" i="4"/>
  <c r="D232" i="4"/>
  <c r="D231" i="4"/>
  <c r="D230" i="4"/>
  <c r="D229" i="4"/>
  <c r="D228" i="4"/>
  <c r="D227" i="4"/>
  <c r="D226" i="4"/>
  <c r="D225" i="4"/>
  <c r="D224" i="4"/>
  <c r="D223" i="4"/>
  <c r="D222" i="4"/>
  <c r="D221" i="4"/>
  <c r="D220" i="4"/>
  <c r="D219" i="4"/>
  <c r="D218" i="4"/>
  <c r="D217" i="4"/>
  <c r="D216" i="4"/>
  <c r="D215" i="4"/>
  <c r="D214" i="4"/>
  <c r="D213" i="4"/>
  <c r="D212" i="4"/>
  <c r="D211" i="4"/>
  <c r="D210" i="4"/>
  <c r="D209" i="4"/>
  <c r="D208" i="4"/>
  <c r="D207" i="4"/>
  <c r="D206" i="4"/>
  <c r="D205" i="4"/>
  <c r="D204" i="4"/>
  <c r="D203" i="4"/>
  <c r="D202" i="4"/>
  <c r="D201" i="4"/>
  <c r="D200" i="4"/>
  <c r="D199" i="4"/>
  <c r="D198" i="4"/>
  <c r="D197" i="4"/>
  <c r="D196" i="4"/>
  <c r="D195" i="4"/>
  <c r="D194" i="4"/>
  <c r="D193" i="4"/>
  <c r="D192" i="4"/>
  <c r="D191" i="4"/>
  <c r="D190" i="4"/>
  <c r="D189" i="4"/>
  <c r="D188" i="4"/>
  <c r="D187" i="4"/>
  <c r="D186" i="4"/>
  <c r="D185" i="4"/>
  <c r="D184" i="4"/>
  <c r="D183" i="4"/>
  <c r="D182" i="4"/>
  <c r="D181" i="4"/>
  <c r="D180" i="4"/>
  <c r="D179" i="4"/>
  <c r="D178" i="4"/>
  <c r="D177" i="4"/>
  <c r="D176" i="4"/>
  <c r="D175" i="4"/>
  <c r="D174" i="4"/>
  <c r="D173" i="4"/>
  <c r="D172" i="4"/>
  <c r="D171" i="4"/>
  <c r="D170" i="4"/>
  <c r="D169" i="4"/>
  <c r="D168" i="4"/>
  <c r="D167" i="4"/>
  <c r="D166" i="4"/>
  <c r="D165" i="4"/>
  <c r="D164" i="4"/>
  <c r="D163" i="4"/>
  <c r="D162" i="4"/>
  <c r="D161" i="4"/>
  <c r="D160" i="4"/>
  <c r="D159" i="4"/>
  <c r="D158" i="4"/>
  <c r="D157" i="4"/>
  <c r="D156" i="4"/>
  <c r="D155" i="4"/>
  <c r="D154" i="4"/>
  <c r="D153" i="4"/>
  <c r="D152" i="4"/>
  <c r="D151" i="4"/>
  <c r="D150" i="4"/>
  <c r="D149" i="4"/>
  <c r="D148" i="4"/>
  <c r="D147" i="4"/>
  <c r="D146" i="4"/>
  <c r="D145" i="4"/>
  <c r="D144" i="4"/>
  <c r="D143" i="4"/>
  <c r="D142" i="4"/>
  <c r="D141" i="4"/>
  <c r="D140" i="4"/>
  <c r="D139" i="4"/>
  <c r="D138" i="4"/>
  <c r="D137" i="4"/>
  <c r="D136" i="4"/>
  <c r="D135" i="4"/>
  <c r="D134" i="4"/>
  <c r="D133" i="4"/>
  <c r="D132" i="4"/>
  <c r="D131" i="4"/>
  <c r="D130" i="4"/>
  <c r="D129" i="4"/>
  <c r="D128" i="4"/>
  <c r="D127" i="4"/>
  <c r="D126" i="4"/>
  <c r="D125" i="4"/>
  <c r="D124" i="4"/>
  <c r="D123" i="4"/>
  <c r="D122" i="4"/>
  <c r="D121" i="4"/>
  <c r="D120" i="4"/>
  <c r="D119" i="4"/>
  <c r="D118" i="4"/>
  <c r="D117" i="4"/>
  <c r="D116" i="4"/>
  <c r="D115" i="4"/>
  <c r="D114" i="4"/>
  <c r="D113" i="4"/>
  <c r="D112" i="4"/>
  <c r="D111" i="4"/>
  <c r="D110" i="4"/>
  <c r="D109" i="4"/>
  <c r="D108" i="4"/>
  <c r="D107" i="4"/>
  <c r="D106" i="4"/>
  <c r="D105" i="4"/>
  <c r="D104" i="4"/>
  <c r="D103" i="4"/>
  <c r="D102" i="4"/>
  <c r="D101" i="4"/>
  <c r="D100" i="4"/>
  <c r="D99" i="4"/>
  <c r="D98" i="4"/>
  <c r="D97" i="4"/>
  <c r="D96" i="4"/>
  <c r="D95" i="4"/>
  <c r="D94" i="4"/>
  <c r="D93" i="4"/>
  <c r="D92" i="4"/>
  <c r="D91" i="4"/>
  <c r="D90" i="4"/>
  <c r="D89" i="4"/>
  <c r="D88" i="4"/>
  <c r="D87" i="4"/>
  <c r="D86" i="4"/>
  <c r="D85" i="4"/>
  <c r="D84" i="4"/>
  <c r="D83" i="4"/>
  <c r="D82" i="4"/>
  <c r="D81" i="4"/>
  <c r="D80" i="4"/>
  <c r="D79" i="4"/>
  <c r="D78" i="4"/>
  <c r="D77" i="4"/>
  <c r="D76" i="4"/>
  <c r="D75" i="4"/>
  <c r="D74" i="4"/>
  <c r="D73" i="4"/>
  <c r="D72" i="4"/>
  <c r="D71" i="4"/>
  <c r="D70" i="4"/>
  <c r="D69" i="4"/>
  <c r="D68" i="4"/>
  <c r="D67" i="4"/>
  <c r="D66" i="4"/>
  <c r="D65" i="4"/>
  <c r="D64" i="4"/>
  <c r="D63" i="4"/>
  <c r="D62" i="4"/>
  <c r="D61" i="4"/>
  <c r="D60" i="4"/>
  <c r="D59" i="4"/>
  <c r="D58" i="4"/>
  <c r="D57" i="4"/>
  <c r="D56" i="4"/>
  <c r="D55" i="4"/>
  <c r="D54" i="4"/>
  <c r="D53" i="4"/>
  <c r="D52" i="4"/>
  <c r="D51" i="4"/>
  <c r="D50" i="4"/>
  <c r="D49" i="4"/>
  <c r="D48" i="4"/>
  <c r="D47" i="4"/>
  <c r="D46" i="4"/>
  <c r="D45" i="4"/>
  <c r="D44" i="4"/>
  <c r="D43" i="4"/>
  <c r="D42" i="4"/>
  <c r="D41" i="4"/>
  <c r="D40" i="4"/>
  <c r="D39" i="4"/>
  <c r="D38" i="4"/>
  <c r="D37" i="4"/>
  <c r="D36" i="4"/>
  <c r="D35" i="4"/>
  <c r="D34" i="4"/>
  <c r="D33" i="4"/>
  <c r="D32" i="4"/>
  <c r="D31" i="4"/>
  <c r="D30" i="4"/>
  <c r="D29" i="4"/>
  <c r="D28" i="4"/>
  <c r="D27" i="4"/>
  <c r="D26" i="4"/>
  <c r="D25" i="4"/>
  <c r="D24" i="4"/>
  <c r="D23" i="4"/>
  <c r="D22" i="4"/>
  <c r="D21" i="4"/>
  <c r="D20" i="4"/>
  <c r="D19" i="4"/>
  <c r="D18" i="4"/>
  <c r="D17" i="4"/>
  <c r="D16" i="4"/>
  <c r="D15" i="4"/>
  <c r="D14" i="4"/>
  <c r="D13" i="4"/>
  <c r="D12" i="4"/>
  <c r="D11" i="4"/>
  <c r="D10" i="4"/>
  <c r="D9" i="4"/>
  <c r="D8" i="4"/>
  <c r="D7" i="4"/>
  <c r="D6" i="4"/>
  <c r="D5" i="4"/>
  <c r="D4" i="4"/>
  <c r="D3" i="4"/>
  <c r="D2" i="4"/>
  <c r="B256" i="4"/>
  <c r="B255" i="4"/>
  <c r="B254" i="4"/>
  <c r="B253" i="4"/>
  <c r="B252" i="4"/>
  <c r="B251" i="4"/>
  <c r="B250" i="4"/>
  <c r="B249" i="4"/>
  <c r="B248" i="4"/>
  <c r="B247" i="4"/>
  <c r="B246" i="4"/>
  <c r="B245" i="4"/>
  <c r="B244" i="4"/>
  <c r="B243" i="4"/>
  <c r="B242" i="4"/>
  <c r="B241" i="4"/>
  <c r="B240" i="4"/>
  <c r="B239" i="4"/>
  <c r="B238" i="4"/>
  <c r="B237" i="4"/>
  <c r="B236" i="4"/>
  <c r="B235" i="4"/>
  <c r="B234" i="4"/>
  <c r="B233" i="4"/>
  <c r="B232" i="4"/>
  <c r="B231" i="4"/>
  <c r="B230" i="4"/>
  <c r="B229" i="4"/>
  <c r="B228" i="4"/>
  <c r="B227" i="4"/>
  <c r="B226" i="4"/>
  <c r="B225" i="4"/>
  <c r="B224" i="4"/>
  <c r="B223" i="4"/>
  <c r="B222" i="4"/>
  <c r="B221" i="4"/>
  <c r="B220" i="4"/>
  <c r="B219" i="4"/>
  <c r="B218" i="4"/>
  <c r="B217" i="4"/>
  <c r="B216" i="4"/>
  <c r="B215" i="4"/>
  <c r="B214" i="4"/>
  <c r="B213" i="4"/>
  <c r="B212" i="4"/>
  <c r="B211" i="4"/>
  <c r="B210" i="4"/>
  <c r="B209" i="4"/>
  <c r="B208" i="4"/>
  <c r="B207" i="4"/>
  <c r="B206" i="4"/>
  <c r="B205" i="4"/>
  <c r="B204" i="4"/>
  <c r="B203" i="4"/>
  <c r="B202" i="4"/>
  <c r="B201" i="4"/>
  <c r="B200" i="4"/>
  <c r="B199" i="4"/>
  <c r="B198" i="4"/>
  <c r="B197" i="4"/>
  <c r="B196" i="4"/>
  <c r="B195" i="4"/>
  <c r="B194" i="4"/>
  <c r="B193" i="4"/>
  <c r="B192" i="4"/>
  <c r="B191" i="4"/>
  <c r="B190" i="4"/>
  <c r="B189" i="4"/>
  <c r="B188" i="4"/>
  <c r="B187" i="4"/>
  <c r="B186" i="4"/>
  <c r="B185" i="4"/>
  <c r="B184" i="4"/>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B15" i="4"/>
  <c r="B14" i="4"/>
  <c r="B13" i="4"/>
  <c r="B12" i="4"/>
  <c r="B11" i="4"/>
  <c r="B10" i="4"/>
  <c r="B9" i="4"/>
  <c r="B8" i="4"/>
  <c r="B7" i="4"/>
  <c r="B6" i="4"/>
  <c r="B5" i="4"/>
  <c r="B4" i="4"/>
  <c r="B3" i="4"/>
  <c r="B2" i="4"/>
  <c r="D328" i="3"/>
  <c r="D327" i="3"/>
  <c r="D326" i="3"/>
  <c r="D325" i="3"/>
  <c r="D324" i="3"/>
  <c r="D323" i="3"/>
  <c r="D322" i="3"/>
  <c r="D321" i="3"/>
  <c r="D320" i="3"/>
  <c r="D319" i="3"/>
  <c r="D318" i="3"/>
  <c r="D317" i="3"/>
  <c r="D316" i="3"/>
  <c r="D315" i="3"/>
  <c r="D314" i="3"/>
  <c r="D313" i="3"/>
  <c r="D312" i="3"/>
  <c r="D311" i="3"/>
  <c r="D310" i="3"/>
  <c r="D309" i="3"/>
  <c r="D308" i="3"/>
  <c r="D307" i="3"/>
  <c r="D306" i="3"/>
  <c r="D305" i="3"/>
  <c r="D304" i="3"/>
  <c r="D303" i="3"/>
  <c r="D302" i="3"/>
  <c r="D301" i="3"/>
  <c r="D300" i="3"/>
  <c r="D299" i="3"/>
  <c r="D298" i="3"/>
  <c r="D297" i="3"/>
  <c r="D296" i="3"/>
  <c r="D295" i="3"/>
  <c r="D294" i="3"/>
  <c r="D293" i="3"/>
  <c r="D292" i="3"/>
  <c r="D291" i="3"/>
  <c r="D290" i="3"/>
  <c r="D289" i="3"/>
  <c r="D288" i="3"/>
  <c r="D287" i="3"/>
  <c r="D286" i="3"/>
  <c r="D285" i="3"/>
  <c r="D284" i="3"/>
  <c r="D283" i="3"/>
  <c r="D282" i="3"/>
  <c r="D281" i="3"/>
  <c r="D280" i="3"/>
  <c r="D279" i="3"/>
  <c r="D278" i="3"/>
  <c r="D277" i="3"/>
  <c r="D276" i="3"/>
  <c r="D275" i="3"/>
  <c r="D274" i="3"/>
  <c r="D273" i="3"/>
  <c r="D272" i="3"/>
  <c r="D271" i="3"/>
  <c r="D270" i="3"/>
  <c r="D269" i="3"/>
  <c r="D268" i="3"/>
  <c r="D267" i="3"/>
  <c r="D266" i="3"/>
  <c r="D265" i="3"/>
  <c r="D264" i="3"/>
  <c r="D263" i="3"/>
  <c r="D262" i="3"/>
  <c r="D261" i="3"/>
  <c r="D260" i="3"/>
  <c r="D259" i="3"/>
  <c r="D258" i="3"/>
  <c r="D256" i="3"/>
  <c r="B256" i="3"/>
  <c r="D255" i="3"/>
  <c r="B255" i="3"/>
  <c r="D254" i="3"/>
  <c r="B254" i="3"/>
  <c r="D253" i="3"/>
  <c r="B253" i="3"/>
  <c r="D252" i="3"/>
  <c r="B252" i="3"/>
  <c r="D251" i="3"/>
  <c r="B251" i="3"/>
  <c r="D250" i="3"/>
  <c r="B250" i="3"/>
  <c r="D249" i="3"/>
  <c r="B249" i="3"/>
  <c r="D248" i="3"/>
  <c r="B248" i="3"/>
  <c r="D247" i="3"/>
  <c r="B247" i="3"/>
  <c r="D246" i="3"/>
  <c r="B246" i="3"/>
  <c r="D245" i="3"/>
  <c r="B245" i="3"/>
  <c r="D244" i="3"/>
  <c r="B244" i="3"/>
  <c r="D243" i="3"/>
  <c r="B243" i="3"/>
  <c r="D242" i="3"/>
  <c r="B242" i="3"/>
  <c r="D241" i="3"/>
  <c r="B241" i="3"/>
  <c r="D240" i="3"/>
  <c r="B240" i="3"/>
  <c r="D239" i="3"/>
  <c r="B239" i="3"/>
  <c r="D238" i="3"/>
  <c r="B238" i="3"/>
  <c r="D237" i="3"/>
  <c r="B237" i="3"/>
  <c r="D236" i="3"/>
  <c r="B236" i="3"/>
  <c r="D235" i="3"/>
  <c r="B235" i="3"/>
  <c r="D234" i="3"/>
  <c r="B234" i="3"/>
  <c r="D233" i="3"/>
  <c r="B233" i="3"/>
  <c r="D232" i="3"/>
  <c r="B232" i="3"/>
  <c r="D231" i="3"/>
  <c r="B231" i="3"/>
  <c r="D230" i="3"/>
  <c r="B230" i="3"/>
  <c r="D229" i="3"/>
  <c r="B229" i="3"/>
  <c r="D228" i="3"/>
  <c r="B228" i="3"/>
  <c r="D227" i="3"/>
  <c r="B227" i="3"/>
  <c r="D226" i="3"/>
  <c r="B226" i="3"/>
  <c r="D225" i="3"/>
  <c r="B225" i="3"/>
  <c r="D224" i="3"/>
  <c r="B224" i="3"/>
  <c r="D223" i="3"/>
  <c r="B223" i="3"/>
  <c r="D222" i="3"/>
  <c r="B222" i="3"/>
  <c r="D221" i="3"/>
  <c r="B221" i="3"/>
  <c r="D220" i="3"/>
  <c r="B220" i="3"/>
  <c r="D219" i="3"/>
  <c r="B219" i="3"/>
  <c r="D218" i="3"/>
  <c r="B218" i="3"/>
  <c r="D217" i="3"/>
  <c r="B217" i="3"/>
  <c r="D216" i="3"/>
  <c r="B216" i="3"/>
  <c r="D215" i="3"/>
  <c r="B215" i="3"/>
  <c r="D214" i="3"/>
  <c r="B214" i="3"/>
  <c r="D213" i="3"/>
  <c r="B213" i="3"/>
  <c r="D212" i="3"/>
  <c r="B212" i="3"/>
  <c r="D211" i="3"/>
  <c r="B211" i="3"/>
  <c r="D210" i="3"/>
  <c r="B210" i="3"/>
  <c r="D209" i="3"/>
  <c r="B209" i="3"/>
  <c r="D208" i="3"/>
  <c r="B208" i="3"/>
  <c r="D207" i="3"/>
  <c r="B207" i="3"/>
  <c r="D206" i="3"/>
  <c r="B206" i="3"/>
  <c r="D205" i="3"/>
  <c r="B205" i="3"/>
  <c r="D204" i="3"/>
  <c r="B204" i="3"/>
  <c r="D203" i="3"/>
  <c r="B203" i="3"/>
  <c r="D202" i="3"/>
  <c r="B202" i="3"/>
  <c r="D201" i="3"/>
  <c r="B201" i="3"/>
  <c r="D200" i="3"/>
  <c r="B200" i="3"/>
  <c r="D199" i="3"/>
  <c r="B199" i="3"/>
  <c r="D198" i="3"/>
  <c r="B198" i="3"/>
  <c r="D197" i="3"/>
  <c r="B197" i="3"/>
  <c r="D196" i="3"/>
  <c r="B196" i="3"/>
  <c r="D195" i="3"/>
  <c r="B195" i="3"/>
  <c r="D194" i="3"/>
  <c r="B194" i="3"/>
  <c r="D193" i="3"/>
  <c r="B193" i="3"/>
  <c r="D192" i="3"/>
  <c r="B192" i="3"/>
  <c r="D191" i="3"/>
  <c r="B191" i="3"/>
  <c r="D190" i="3"/>
  <c r="B190" i="3"/>
  <c r="D189" i="3"/>
  <c r="B189" i="3"/>
  <c r="D188" i="3"/>
  <c r="B188" i="3"/>
  <c r="D187" i="3"/>
  <c r="B187" i="3"/>
  <c r="D186" i="3"/>
  <c r="B186" i="3"/>
  <c r="D185" i="3"/>
  <c r="B185" i="3"/>
  <c r="D184" i="3"/>
  <c r="B184" i="3"/>
  <c r="D183" i="3"/>
  <c r="B183" i="3"/>
  <c r="D182" i="3"/>
  <c r="B182" i="3"/>
  <c r="D181" i="3"/>
  <c r="B181" i="3"/>
  <c r="D180" i="3"/>
  <c r="B180" i="3"/>
  <c r="D179" i="3"/>
  <c r="B179" i="3"/>
  <c r="D178" i="3"/>
  <c r="B178" i="3"/>
  <c r="D177" i="3"/>
  <c r="B177" i="3"/>
  <c r="D176" i="3"/>
  <c r="B176" i="3"/>
  <c r="D175" i="3"/>
  <c r="B175" i="3"/>
  <c r="D174" i="3"/>
  <c r="B174" i="3"/>
  <c r="D173" i="3"/>
  <c r="B173" i="3"/>
  <c r="D172" i="3"/>
  <c r="B172" i="3"/>
  <c r="D171" i="3"/>
  <c r="B171" i="3"/>
  <c r="D170" i="3"/>
  <c r="B170" i="3"/>
  <c r="D169" i="3"/>
  <c r="B169" i="3"/>
  <c r="D168" i="3"/>
  <c r="B168" i="3"/>
  <c r="D167" i="3"/>
  <c r="B167" i="3"/>
  <c r="D166" i="3"/>
  <c r="B166" i="3"/>
  <c r="D165" i="3"/>
  <c r="B165" i="3"/>
  <c r="D164" i="3"/>
  <c r="B164" i="3"/>
  <c r="D163" i="3"/>
  <c r="B163" i="3"/>
  <c r="D162" i="3"/>
  <c r="B162" i="3"/>
  <c r="D161" i="3"/>
  <c r="B161" i="3"/>
  <c r="D160" i="3"/>
  <c r="B160" i="3"/>
  <c r="D159" i="3"/>
  <c r="B159" i="3"/>
  <c r="D158" i="3"/>
  <c r="B158" i="3"/>
  <c r="D157" i="3"/>
  <c r="B157" i="3"/>
  <c r="D156" i="3"/>
  <c r="B156" i="3"/>
  <c r="D155" i="3"/>
  <c r="B155" i="3"/>
  <c r="D154" i="3"/>
  <c r="B154" i="3"/>
  <c r="D153" i="3"/>
  <c r="B153" i="3"/>
  <c r="D152" i="3"/>
  <c r="B152" i="3"/>
  <c r="D151" i="3"/>
  <c r="B151" i="3"/>
  <c r="D150" i="3"/>
  <c r="B150" i="3"/>
  <c r="D149" i="3"/>
  <c r="B149" i="3"/>
  <c r="D148" i="3"/>
  <c r="B148" i="3"/>
  <c r="D147" i="3"/>
  <c r="B147" i="3"/>
  <c r="D146" i="3"/>
  <c r="B146" i="3"/>
  <c r="D145" i="3"/>
  <c r="B145" i="3"/>
  <c r="D144" i="3"/>
  <c r="B144" i="3"/>
  <c r="D143" i="3"/>
  <c r="B143" i="3"/>
  <c r="D142" i="3"/>
  <c r="B142" i="3"/>
  <c r="D141" i="3"/>
  <c r="B141" i="3"/>
  <c r="D140" i="3"/>
  <c r="B140" i="3"/>
  <c r="D139" i="3"/>
  <c r="B139" i="3"/>
  <c r="D138" i="3"/>
  <c r="B138" i="3"/>
  <c r="D137" i="3"/>
  <c r="B137" i="3"/>
  <c r="D136" i="3"/>
  <c r="B136" i="3"/>
  <c r="D135" i="3"/>
  <c r="B135" i="3"/>
  <c r="D134" i="3"/>
  <c r="B134" i="3"/>
  <c r="D133" i="3"/>
  <c r="B133" i="3"/>
  <c r="D132" i="3"/>
  <c r="B132" i="3"/>
  <c r="D131" i="3"/>
  <c r="B131" i="3"/>
  <c r="D130" i="3"/>
  <c r="B130" i="3"/>
  <c r="D129" i="3"/>
  <c r="B129" i="3"/>
  <c r="D128" i="3"/>
  <c r="B128" i="3"/>
  <c r="D127" i="3"/>
  <c r="B127" i="3"/>
  <c r="D126" i="3"/>
  <c r="B126" i="3"/>
  <c r="D125" i="3"/>
  <c r="B125" i="3"/>
  <c r="D124" i="3"/>
  <c r="B124" i="3"/>
  <c r="D123" i="3"/>
  <c r="B123" i="3"/>
  <c r="D122" i="3"/>
  <c r="B122" i="3"/>
  <c r="D121" i="3"/>
  <c r="B121" i="3"/>
  <c r="D120" i="3"/>
  <c r="B120" i="3"/>
  <c r="D119" i="3"/>
  <c r="B119" i="3"/>
  <c r="D118" i="3"/>
  <c r="B118" i="3"/>
  <c r="D117" i="3"/>
  <c r="B117" i="3"/>
  <c r="D116" i="3"/>
  <c r="B116" i="3"/>
  <c r="D115" i="3"/>
  <c r="B115" i="3"/>
  <c r="D114" i="3"/>
  <c r="B114" i="3"/>
  <c r="D113" i="3"/>
  <c r="B113" i="3"/>
  <c r="D112" i="3"/>
  <c r="B112" i="3"/>
  <c r="D111" i="3"/>
  <c r="B111" i="3"/>
  <c r="D110" i="3"/>
  <c r="B110" i="3"/>
  <c r="D109" i="3"/>
  <c r="B109" i="3"/>
  <c r="D108" i="3"/>
  <c r="B108" i="3"/>
  <c r="D107" i="3"/>
  <c r="B107" i="3"/>
  <c r="D106" i="3"/>
  <c r="B106" i="3"/>
  <c r="D105" i="3"/>
  <c r="B105" i="3"/>
  <c r="D104" i="3"/>
  <c r="B104" i="3"/>
  <c r="D103" i="3"/>
  <c r="B103" i="3"/>
  <c r="D102" i="3"/>
  <c r="B102" i="3"/>
  <c r="D101" i="3"/>
  <c r="B101" i="3"/>
  <c r="D100" i="3"/>
  <c r="B100" i="3"/>
  <c r="D99" i="3"/>
  <c r="B99" i="3"/>
  <c r="D98" i="3"/>
  <c r="B98" i="3"/>
  <c r="D97" i="3"/>
  <c r="B97" i="3"/>
  <c r="D96" i="3"/>
  <c r="B96" i="3"/>
  <c r="D95" i="3"/>
  <c r="B95" i="3"/>
  <c r="D94" i="3"/>
  <c r="B94" i="3"/>
  <c r="D93" i="3"/>
  <c r="B93" i="3"/>
  <c r="D92" i="3"/>
  <c r="B92" i="3"/>
  <c r="D91" i="3"/>
  <c r="B91" i="3"/>
  <c r="D90" i="3"/>
  <c r="B90" i="3"/>
  <c r="D89" i="3"/>
  <c r="B89" i="3"/>
  <c r="D88" i="3"/>
  <c r="B88" i="3"/>
  <c r="D87" i="3"/>
  <c r="B87" i="3"/>
  <c r="D86" i="3"/>
  <c r="B86" i="3"/>
  <c r="D85" i="3"/>
  <c r="B85" i="3"/>
  <c r="D84" i="3"/>
  <c r="B84" i="3"/>
  <c r="D83" i="3"/>
  <c r="B83" i="3"/>
  <c r="D82" i="3"/>
  <c r="B82" i="3"/>
  <c r="D81" i="3"/>
  <c r="B81" i="3"/>
  <c r="D80" i="3"/>
  <c r="B80" i="3"/>
  <c r="D79" i="3"/>
  <c r="B79" i="3"/>
  <c r="D78" i="3"/>
  <c r="B78" i="3"/>
  <c r="D77" i="3"/>
  <c r="B77" i="3"/>
  <c r="D76" i="3"/>
  <c r="B76" i="3"/>
  <c r="D75" i="3"/>
  <c r="B75" i="3"/>
  <c r="D74" i="3"/>
  <c r="B74" i="3"/>
  <c r="D73" i="3"/>
  <c r="B73" i="3"/>
  <c r="D72" i="3"/>
  <c r="B72" i="3"/>
  <c r="D71" i="3"/>
  <c r="B71" i="3"/>
  <c r="D70" i="3"/>
  <c r="B70" i="3"/>
  <c r="D69" i="3"/>
  <c r="B69" i="3"/>
  <c r="D68" i="3"/>
  <c r="B68" i="3"/>
  <c r="D67" i="3"/>
  <c r="B67" i="3"/>
  <c r="D66" i="3"/>
  <c r="B66" i="3"/>
  <c r="D65" i="3"/>
  <c r="B65" i="3"/>
  <c r="D64" i="3"/>
  <c r="B64" i="3"/>
  <c r="D63" i="3"/>
  <c r="B63" i="3"/>
  <c r="D62" i="3"/>
  <c r="B62" i="3"/>
  <c r="D61" i="3"/>
  <c r="B61" i="3"/>
  <c r="D60" i="3"/>
  <c r="B60" i="3"/>
  <c r="D59" i="3"/>
  <c r="B59" i="3"/>
  <c r="D58" i="3"/>
  <c r="B58" i="3"/>
  <c r="D57" i="3"/>
  <c r="B57" i="3"/>
  <c r="D56" i="3"/>
  <c r="B56" i="3"/>
  <c r="D55" i="3"/>
  <c r="B55" i="3"/>
  <c r="D54" i="3"/>
  <c r="B54" i="3"/>
  <c r="D53" i="3"/>
  <c r="B53" i="3"/>
  <c r="D52" i="3"/>
  <c r="B52" i="3"/>
  <c r="D51" i="3"/>
  <c r="B51" i="3"/>
  <c r="D50" i="3"/>
  <c r="B50" i="3"/>
  <c r="D49" i="3"/>
  <c r="B49" i="3"/>
  <c r="D48" i="3"/>
  <c r="B48" i="3"/>
  <c r="D47" i="3"/>
  <c r="B47" i="3"/>
  <c r="D46" i="3"/>
  <c r="B46" i="3"/>
  <c r="D45" i="3"/>
  <c r="B45" i="3"/>
  <c r="D44" i="3"/>
  <c r="B44" i="3"/>
  <c r="D43" i="3"/>
  <c r="B43" i="3"/>
  <c r="D42" i="3"/>
  <c r="B42" i="3"/>
  <c r="D41" i="3"/>
  <c r="B41" i="3"/>
  <c r="D40" i="3"/>
  <c r="B40" i="3"/>
  <c r="D39" i="3"/>
  <c r="B39" i="3"/>
  <c r="D38" i="3"/>
  <c r="B38" i="3"/>
  <c r="D37" i="3"/>
  <c r="B37" i="3"/>
  <c r="D36" i="3"/>
  <c r="B36" i="3"/>
  <c r="D35" i="3"/>
  <c r="B35" i="3"/>
  <c r="D34" i="3"/>
  <c r="B34" i="3"/>
  <c r="D33" i="3"/>
  <c r="B33" i="3"/>
  <c r="D32" i="3"/>
  <c r="B32" i="3"/>
  <c r="D31" i="3"/>
  <c r="B31" i="3"/>
  <c r="D30" i="3"/>
  <c r="B30" i="3"/>
  <c r="D29" i="3"/>
  <c r="B29" i="3"/>
  <c r="D28" i="3"/>
  <c r="B28" i="3"/>
  <c r="D27" i="3"/>
  <c r="B27" i="3"/>
  <c r="D26" i="3"/>
  <c r="B26" i="3"/>
  <c r="D25" i="3"/>
  <c r="B25" i="3"/>
  <c r="D24" i="3"/>
  <c r="B24" i="3"/>
  <c r="D23" i="3"/>
  <c r="B23" i="3"/>
  <c r="D22" i="3"/>
  <c r="B22" i="3"/>
  <c r="D21" i="3"/>
  <c r="B21" i="3"/>
  <c r="D20" i="3"/>
  <c r="B20" i="3"/>
  <c r="D19" i="3"/>
  <c r="B19" i="3"/>
  <c r="D18" i="3"/>
  <c r="B18" i="3"/>
  <c r="D17" i="3"/>
  <c r="B17" i="3"/>
  <c r="D16" i="3"/>
  <c r="B16" i="3"/>
  <c r="D15" i="3"/>
  <c r="B15" i="3"/>
  <c r="D14" i="3"/>
  <c r="B14" i="3"/>
  <c r="D13" i="3"/>
  <c r="B13" i="3"/>
  <c r="D12" i="3"/>
  <c r="B12" i="3"/>
  <c r="D11" i="3"/>
  <c r="B11" i="3"/>
  <c r="D10" i="3"/>
  <c r="B10" i="3"/>
  <c r="D9" i="3"/>
  <c r="B9" i="3"/>
  <c r="D8" i="3"/>
  <c r="B8" i="3"/>
  <c r="D7" i="3"/>
  <c r="B7" i="3"/>
  <c r="D6" i="3"/>
  <c r="B6" i="3"/>
  <c r="D5" i="3"/>
  <c r="B5" i="3"/>
  <c r="D4" i="3"/>
  <c r="B4" i="3"/>
  <c r="D3" i="3"/>
  <c r="B3" i="3"/>
  <c r="D2" i="3"/>
  <c r="B2" i="3"/>
  <c r="W38" i="1"/>
  <c r="U41" i="1" l="1"/>
  <c r="U40" i="1"/>
  <c r="U39" i="1"/>
  <c r="U38" i="1"/>
  <c r="U37" i="1"/>
  <c r="U36" i="1"/>
  <c r="U35" i="1"/>
  <c r="U34" i="1"/>
  <c r="U33" i="1"/>
  <c r="U32" i="1"/>
  <c r="U31" i="1"/>
  <c r="U30" i="1"/>
  <c r="U29" i="1"/>
  <c r="U28" i="1"/>
  <c r="U27" i="1"/>
  <c r="U26" i="1"/>
  <c r="U25" i="1"/>
  <c r="U24" i="1"/>
  <c r="U23" i="1"/>
  <c r="U22" i="1"/>
  <c r="U21" i="1"/>
</calcChain>
</file>

<file path=xl/sharedStrings.xml><?xml version="1.0" encoding="utf-8"?>
<sst xmlns="http://schemas.openxmlformats.org/spreadsheetml/2006/main" count="17742" uniqueCount="2468">
  <si>
    <t>VIS</t>
  </si>
  <si>
    <t>AAA</t>
  </si>
  <si>
    <t>Tissue Sample</t>
  </si>
  <si>
    <t>License</t>
  </si>
  <si>
    <t>s06_090nm_WM_a_</t>
  </si>
  <si>
    <t>https://biccn.bossdb.org/deliveries/z8d0vi3nfkyj4q4i</t>
  </si>
  <si>
    <t>s06_090nm_WM_a_1_</t>
  </si>
  <si>
    <t>s06_090nm_WM_a_2_</t>
  </si>
  <si>
    <t>s06_090nm_WM_a_3_</t>
  </si>
  <si>
    <t>s06_090nm_WM_a_4_</t>
  </si>
  <si>
    <t>s06_090nm_WM_b_</t>
  </si>
  <si>
    <t>s05_WM_107nm_bin2_2dist_</t>
  </si>
  <si>
    <t>s05_WM_107nm_bin2_2dist_1_</t>
  </si>
  <si>
    <t>https://biccn.bossdb.org/deliveries/9q5a2podd4qsqnje</t>
  </si>
  <si>
    <t>s06_top_fits05_090nm_1_</t>
  </si>
  <si>
    <t>s18_WM_090nm_</t>
  </si>
  <si>
    <t>s05_WM_107nm_bin2_2dist_2_</t>
  </si>
  <si>
    <t>s06_top_fits05b_090nm_</t>
  </si>
  <si>
    <t>s06_top_fits05b_090nm_1_</t>
  </si>
  <si>
    <t>s18_WM_090nm_1_</t>
  </si>
  <si>
    <t>s05_WM_160nm_2dist_</t>
  </si>
  <si>
    <t>s06_top_fits05b_090nm_2_</t>
  </si>
  <si>
    <t>s05_WM_160nm_2dist_1_</t>
  </si>
  <si>
    <t>s18_WM_090nm_2_</t>
  </si>
  <si>
    <t>s06_top_fits05b_090nm_3_</t>
  </si>
  <si>
    <t>s05_WM_160nm_2dist_2_</t>
  </si>
  <si>
    <t>s06_top_fits05b_090nm_4_</t>
  </si>
  <si>
    <t>s18_WM_090nm_3_</t>
  </si>
  <si>
    <t>s05_WM_fits06_090nm_</t>
  </si>
  <si>
    <t>s18_WM_090nm_4_</t>
  </si>
  <si>
    <t>s05_WM_fits06_090nm_1_</t>
  </si>
  <si>
    <t>s06_topm200um_fits05_090nm_1_</t>
  </si>
  <si>
    <t>s18_WM_090nm_good_</t>
  </si>
  <si>
    <t>s18_WM_090nm_good_1_</t>
  </si>
  <si>
    <t>s05_WM_fits06_090nm_2_</t>
  </si>
  <si>
    <t>s18_WM_090nm_good_2_</t>
  </si>
  <si>
    <t>s05_WM_fits06_090nm_3_</t>
  </si>
  <si>
    <t>s18_WM_090nm_good_3_</t>
  </si>
  <si>
    <t>s05_WM_fits06_090nm_4_</t>
  </si>
  <si>
    <t>s18_WM_090nm_good_4_</t>
  </si>
  <si>
    <t>s05_l12_fits06_090nm_</t>
  </si>
  <si>
    <t>s18_l22md_bin2_020nm_</t>
  </si>
  <si>
    <t>s05_l12_fits06_090nm_1_</t>
  </si>
  <si>
    <t>s18_l22md_bin2_020nm_1_</t>
  </si>
  <si>
    <t>s18_l22md_bin2_020nm_2_</t>
  </si>
  <si>
    <t>s05_l12_fits06_090nm_2_</t>
  </si>
  <si>
    <t>s18_l22md_bin2_020nm_3_</t>
  </si>
  <si>
    <t>s05_l12_fits06_090nm_3_</t>
  </si>
  <si>
    <t>s18_l22md_bin2_020nm_4_</t>
  </si>
  <si>
    <t>s05_l12_fits06_090nm_4_</t>
  </si>
  <si>
    <t>s18_l2_bin2_020nm_</t>
  </si>
  <si>
    <t>s18_l2_bin2_020nm_1_</t>
  </si>
  <si>
    <t>s18_l2_bin2_020nm_2_</t>
  </si>
  <si>
    <t>s05_l12m200um_fit06_110nm_</t>
  </si>
  <si>
    <t>s05_l12m200um_fit06_110nm_1_</t>
  </si>
  <si>
    <t>s18_l2_bin2_020nm_3_</t>
  </si>
  <si>
    <t>s05_l12m200um_fit06_110nm_2_</t>
  </si>
  <si>
    <t>s05_l12m200um_fit06_110nm_3_</t>
  </si>
  <si>
    <t>s18_l2_bin2_020nm_4_</t>
  </si>
  <si>
    <t>s05_l12m200um_fit06_110nm_4_</t>
  </si>
  <si>
    <t>s18_l5_030nm_hd_</t>
  </si>
  <si>
    <t>s18_l5_030nm_hd_1_</t>
  </si>
  <si>
    <t>s05_l12m200um_fits06_050nm_</t>
  </si>
  <si>
    <t>s18_l5_030nm_hd_2_</t>
  </si>
  <si>
    <t>s05_l12m200um_fits06_050nm_1_</t>
  </si>
  <si>
    <t>s05_l12m200um_fits06_050nm_2_</t>
  </si>
  <si>
    <t>s18_l5_030nm_hd_3_</t>
  </si>
  <si>
    <t>s05_l12m200um_fits06_050nm_3_</t>
  </si>
  <si>
    <t>s18_l5_030nm_hd_4_</t>
  </si>
  <si>
    <t>s05_l12m200um_fits06_050nm_4_</t>
  </si>
  <si>
    <t>s18_l5_110nm_2dist_</t>
  </si>
  <si>
    <t>s05_l12m200um_fits06_090nm_</t>
  </si>
  <si>
    <t>s18_l5_110nm_2dist_1_</t>
  </si>
  <si>
    <t>s05_l12m200um_fits06_090nm_1_</t>
  </si>
  <si>
    <t>s18_l5_110nm_2dist_2_</t>
  </si>
  <si>
    <t>s05_l12m200um_fits06_090nm_2_</t>
  </si>
  <si>
    <t>s05_l12m200um_fits06_090nm_3_</t>
  </si>
  <si>
    <t>s05_l4_bin2_080nm_</t>
  </si>
  <si>
    <t>s05_l12m200um_fits06_090nm_4_</t>
  </si>
  <si>
    <t>s05_l4_bin2_080nm_1_</t>
  </si>
  <si>
    <t>s05_l4_bin2_080nm_2_</t>
  </si>
  <si>
    <t>s05_l4_bin2_080nm_3_</t>
  </si>
  <si>
    <t>C2C_100nm_tile1_</t>
  </si>
  <si>
    <t>https://biccn.bossdb.org/deliveries/6F16B668-3268-4F17-BC83-7C1FEE5147D6</t>
  </si>
  <si>
    <t>C2C_100nm_tile1_1_</t>
  </si>
  <si>
    <t>https://biccn.bossdb.org/deliveries/6F16B668-3268-4F17-BC83-7C1FEE5147D7</t>
  </si>
  <si>
    <t>C2C_100nm_tile1_2_</t>
  </si>
  <si>
    <t>https://biccn.bossdb.org/deliveries/6F16B668-3268-4F17-BC83-7C1FEE5147D8</t>
  </si>
  <si>
    <t>C2C_100nm_tile1_3_</t>
  </si>
  <si>
    <t>https://biccn.bossdb.org/deliveries/6F16B668-3268-4F17-BC83-7C1FEE5147D9</t>
  </si>
  <si>
    <t>C2C_100nm_tile1_4_</t>
  </si>
  <si>
    <t>https://biccn.bossdb.org/deliveries/6F16B668-3268-4F17-BC83-7C1FEE5147D10</t>
  </si>
  <si>
    <t>C2C_100nm_tile2_</t>
  </si>
  <si>
    <t>https://biccn.bossdb.org/deliveries/6F16B668-3268-4F17-BC83-7C1FEE5147D11</t>
  </si>
  <si>
    <t>C2C_100nm_tile2_1_</t>
  </si>
  <si>
    <t>https://biccn.bossdb.org/deliveries/6F16B668-3268-4F17-BC83-7C1FEE5147D12</t>
  </si>
  <si>
    <t>C2C_100nm_tile2_2_</t>
  </si>
  <si>
    <t>https://biccn.bossdb.org/deliveries/6F16B668-3268-4F17-BC83-7C1FEE5147D13</t>
  </si>
  <si>
    <t>C2C_100nm_tile2_3_</t>
  </si>
  <si>
    <t>https://biccn.bossdb.org/deliveries/6F16B668-3268-4F17-BC83-7C1FEE5147D14</t>
  </si>
  <si>
    <t>C2C_100nm_tile2_4_</t>
  </si>
  <si>
    <t>https://biccn.bossdb.org/deliveries/6F16B668-3268-4F17-BC83-7C1FEE5147D15</t>
  </si>
  <si>
    <t>C2C_100nm_tile3_</t>
  </si>
  <si>
    <t>https://biccn.bossdb.org/deliveries/6F16B668-3268-4F17-BC83-7C1FEE5147D16</t>
  </si>
  <si>
    <t>C2C_100nm_tile3_1_</t>
  </si>
  <si>
    <t>https://biccn.bossdb.org/deliveries/6F16B668-3268-4F17-BC83-7C1FEE5147D17</t>
  </si>
  <si>
    <t>C2C_100nm_tile3_2_</t>
  </si>
  <si>
    <t>https://biccn.bossdb.org/deliveries/6F16B668-3268-4F17-BC83-7C1FEE5147D18</t>
  </si>
  <si>
    <t>C2C_100nm_tile3_3_</t>
  </si>
  <si>
    <t>https://biccn.bossdb.org/deliveries/6F16B668-3268-4F17-BC83-7C1FEE5147D19</t>
  </si>
  <si>
    <t>C2C_100nm_tile3_4_</t>
  </si>
  <si>
    <t>https://biccn.bossdb.org/deliveries/6F16B668-3268-4F17-BC83-7C1FEE5147D20</t>
  </si>
  <si>
    <t>C2C_ovw_150nm_sz1p1_</t>
  </si>
  <si>
    <t>https://biccn.bossdb.org/deliveries/6F16B668-3268-4F17-BC83-7C1FEE5147D21</t>
  </si>
  <si>
    <t>C2C_ovw_150nm_sz1p1_1_</t>
  </si>
  <si>
    <t>https://biccn.bossdb.org/deliveries/6F16B668-3268-4F17-BC83-7C1FEE5147D22</t>
  </si>
  <si>
    <t>C2C_ovw_150nm_sz1p4_</t>
  </si>
  <si>
    <t>https://biccn.bossdb.org/deliveries/6F16B668-3268-4F17-BC83-7C1FEE5147D23</t>
  </si>
  <si>
    <t>C2C_ovw_150nm_sz1p4_1_</t>
  </si>
  <si>
    <t>https://biccn.bossdb.org/deliveries/6F16B668-3268-4F17-BC83-7C1FEE5147D24</t>
  </si>
  <si>
    <t>C2D_060nm_tile1_</t>
  </si>
  <si>
    <t>https://biccn.bossdb.org/deliveries/6F16B668-3268-4F17-BC83-7C1FEE5147D25</t>
  </si>
  <si>
    <t>C2D_060nm_tile1_1_</t>
  </si>
  <si>
    <t>https://biccn.bossdb.org/deliveries/6F16B668-3268-4F17-BC83-7C1FEE5147D26</t>
  </si>
  <si>
    <t>C2D_060nm_tile1_2_</t>
  </si>
  <si>
    <t>https://biccn.bossdb.org/deliveries/6F16B668-3268-4F17-BC83-7C1FEE5147D27</t>
  </si>
  <si>
    <t>C2D_060nm_tile1_3_</t>
  </si>
  <si>
    <t>https://biccn.bossdb.org/deliveries/6F16B668-3268-4F17-BC83-7C1FEE5147D28</t>
  </si>
  <si>
    <t>C2D_060nm_tile1_4_</t>
  </si>
  <si>
    <t>https://biccn.bossdb.org/deliveries/6F16B668-3268-4F17-BC83-7C1FEE5147D29</t>
  </si>
  <si>
    <t>C2D_100nm_tile1_</t>
  </si>
  <si>
    <t>https://biccn.bossdb.org/deliveries/6F16B668-3268-4F17-BC83-7C1FEE5147D30</t>
  </si>
  <si>
    <t>C2D_100nm_tile1_1_</t>
  </si>
  <si>
    <t>https://biccn.bossdb.org/deliveries/6F16B668-3268-4F17-BC83-7C1FEE5147D31</t>
  </si>
  <si>
    <t>C2D_100nm_tile1_2_</t>
  </si>
  <si>
    <t>https://biccn.bossdb.org/deliveries/6F16B668-3268-4F17-BC83-7C1FEE5147D32</t>
  </si>
  <si>
    <t>C2D_100nm_tile1_3_</t>
  </si>
  <si>
    <t>https://biccn.bossdb.org/deliveries/6F16B668-3268-4F17-BC83-7C1FEE5147D33</t>
  </si>
  <si>
    <t>C2D_100nm_tile1_4_</t>
  </si>
  <si>
    <t>https://biccn.bossdb.org/deliveries/6F16B668-3268-4F17-BC83-7C1FEE5147D34</t>
  </si>
  <si>
    <t>C2D_100nm_tile2_</t>
  </si>
  <si>
    <t>https://biccn.bossdb.org/deliveries/6F16B668-3268-4F17-BC83-7C1FEE5147D35</t>
  </si>
  <si>
    <t>C2D_100nm_tile2_1_</t>
  </si>
  <si>
    <t>https://biccn.bossdb.org/deliveries/6F16B668-3268-4F17-BC83-7C1FEE5147D36</t>
  </si>
  <si>
    <t>C2D_100nm_tile2_2_</t>
  </si>
  <si>
    <t>https://biccn.bossdb.org/deliveries/6F16B668-3268-4F17-BC83-7C1FEE5147D37</t>
  </si>
  <si>
    <t>C2D_100nm_tile2_3_</t>
  </si>
  <si>
    <t>https://biccn.bossdb.org/deliveries/6F16B668-3268-4F17-BC83-7C1FEE5147D38</t>
  </si>
  <si>
    <t>C2D_100nm_tile2_4_</t>
  </si>
  <si>
    <t>https://biccn.bossdb.org/deliveries/6F16B668-3268-4F17-BC83-7C1FEE5147D39</t>
  </si>
  <si>
    <t>C2D_100nm_tile3_</t>
  </si>
  <si>
    <t>https://biccn.bossdb.org/deliveries/6F16B668-3268-4F17-BC83-7C1FEE5147D40</t>
  </si>
  <si>
    <t>C2D_100nm_tile3_1_</t>
  </si>
  <si>
    <t>https://biccn.bossdb.org/deliveries/6F16B668-3268-4F17-BC83-7C1FEE5147D41</t>
  </si>
  <si>
    <t>C2D_100nm_tile3_2_</t>
  </si>
  <si>
    <t>https://biccn.bossdb.org/deliveries/6F16B668-3268-4F17-BC83-7C1FEE5147D42</t>
  </si>
  <si>
    <t>C2D_100nm_tile3_3_</t>
  </si>
  <si>
    <t>https://biccn.bossdb.org/deliveries/6F16B668-3268-4F17-BC83-7C1FEE5147D43</t>
  </si>
  <si>
    <t>C2D_100nm_tile3_4_</t>
  </si>
  <si>
    <t>https://biccn.bossdb.org/deliveries/6F16B668-3268-4F17-BC83-7C1FEE5147D44</t>
  </si>
  <si>
    <t>C2D_100nm_tile4_</t>
  </si>
  <si>
    <t>https://biccn.bossdb.org/deliveries/6F16B668-3268-4F17-BC83-7C1FEE5147D45</t>
  </si>
  <si>
    <t>C2D_100nm_tile4_1_</t>
  </si>
  <si>
    <t>https://biccn.bossdb.org/deliveries/6F16B668-3268-4F17-BC83-7C1FEE5147D46</t>
  </si>
  <si>
    <t>C2D_100nm_tile4_2_</t>
  </si>
  <si>
    <t>https://biccn.bossdb.org/deliveries/6F16B668-3268-4F17-BC83-7C1FEE5147D47</t>
  </si>
  <si>
    <t>C2D_100nm_tile4_3_</t>
  </si>
  <si>
    <t>https://biccn.bossdb.org/deliveries/6F16B668-3268-4F17-BC83-7C1FEE5147D48</t>
  </si>
  <si>
    <t>C2D_ovw_160nm_sz1_</t>
  </si>
  <si>
    <t>https://biccn.bossdb.org/deliveries/6F16B668-3268-4F17-BC83-7C1FEE5147D49</t>
  </si>
  <si>
    <t>C2D_ovw_160nm_sz1_1_</t>
  </si>
  <si>
    <t>https://biccn.bossdb.org/deliveries/6F16B668-3268-4F17-BC83-7C1FEE5147D50</t>
  </si>
  <si>
    <t>pfinAaron</t>
  </si>
  <si>
    <t>https://biccn.bossdb.org/deliveries/6F16B668-3268-4F17-BC83-7C1FEE5147D51</t>
  </si>
  <si>
    <t>pfinAaron_090nm_</t>
  </si>
  <si>
    <t>https://biccn.bossdb.org/deliveries/6F16B668-3268-4F17-BC83-7C1FEE5147D52</t>
  </si>
  <si>
    <t>pfinAaron_090nm_1_</t>
  </si>
  <si>
    <t>https://biccn.bossdb.org/deliveries/6F16B668-3268-4F17-BC83-7C1FEE5147D53</t>
  </si>
  <si>
    <t>pfinAaron_090nm_2_</t>
  </si>
  <si>
    <t>https://biccn.bossdb.org/deliveries/6F16B668-3268-4F17-BC83-7C1FEE5147D54</t>
  </si>
  <si>
    <t>pfinAaron_090nm_3_</t>
  </si>
  <si>
    <t>https://biccn.bossdb.org/deliveries/6F16B668-3268-4F17-BC83-7C1FEE5147D55</t>
  </si>
  <si>
    <t>pfinAaron_090nm_4_</t>
  </si>
  <si>
    <t>https://biccn.bossdb.org/deliveries/6F16B668-3268-4F17-BC83-7C1FEE5147D56</t>
  </si>
  <si>
    <t>s21_WM_100nm_</t>
  </si>
  <si>
    <t>https://biccn.bossdb.org/deliveries/6F16B668-3268-4F17-BC83-7C1FEE5147D57</t>
  </si>
  <si>
    <t>s21_WM_100nm_1_</t>
  </si>
  <si>
    <t>https://biccn.bossdb.org/deliveries/6F16B668-3268-4F17-BC83-7C1FEE5147D58</t>
  </si>
  <si>
    <t>s21_WM_100nm_2_</t>
  </si>
  <si>
    <t>https://biccn.bossdb.org/deliveries/6F16B668-3268-4F17-BC83-7C1FEE5147D59</t>
  </si>
  <si>
    <t>s21_WM_100nm_3_</t>
  </si>
  <si>
    <t>https://biccn.bossdb.org/deliveries/6F16B668-3268-4F17-BC83-7C1FEE5147D60</t>
  </si>
  <si>
    <t>s21_WM_100nm_4_</t>
  </si>
  <si>
    <t>https://biccn.bossdb.org/deliveries/6F16B668-3268-4F17-BC83-7C1FEE5147D61</t>
  </si>
  <si>
    <t>s21_fov4_hd_030nm_1_</t>
  </si>
  <si>
    <t>https://biccn.bossdb.org/deliveries/6F16B668-3268-4F17-BC83-7C1FEE5147D62</t>
  </si>
  <si>
    <t>s21_fov4_hd_030nm_2_</t>
  </si>
  <si>
    <t>https://biccn.bossdb.org/deliveries/6F16B668-3268-4F17-BC83-7C1FEE5147D63</t>
  </si>
  <si>
    <t>s21_fov4_hd_030nm_3_</t>
  </si>
  <si>
    <t>https://biccn.bossdb.org/deliveries/6F16B668-3268-4F17-BC83-7C1FEE5147D64</t>
  </si>
  <si>
    <t>s21_fov4_hd_030nm_4_</t>
  </si>
  <si>
    <t>https://biccn.bossdb.org/deliveries/6F16B668-3268-4F17-BC83-7C1FEE5147D65</t>
  </si>
  <si>
    <t>s21_l56_030nm_</t>
  </si>
  <si>
    <t>https://biccn.bossdb.org/deliveries/6F16B668-3268-4F17-BC83-7C1FEE5147D66</t>
  </si>
  <si>
    <t>s21_l56_030nm_1_</t>
  </si>
  <si>
    <t>https://biccn.bossdb.org/deliveries/6F16B668-3268-4F17-BC83-7C1FEE5147D67</t>
  </si>
  <si>
    <t>s21_l56_030nm_2_</t>
  </si>
  <si>
    <t>https://biccn.bossdb.org/deliveries/6F16B668-3268-4F17-BC83-7C1FEE5147D68</t>
  </si>
  <si>
    <t>s21_l56_030nm_3_</t>
  </si>
  <si>
    <t>https://biccn.bossdb.org/deliveries/6F16B668-3268-4F17-BC83-7C1FEE5147D69</t>
  </si>
  <si>
    <t>s21_l56_030nm_4_</t>
  </si>
  <si>
    <t>https://biccn.bossdb.org/deliveries/6F16B668-3268-4F17-BC83-7C1FEE5147D70</t>
  </si>
  <si>
    <t>s21_l56_100nm_1_</t>
  </si>
  <si>
    <t>https://biccn.bossdb.org/deliveries/6F16B668-3268-4F17-BC83-7C1FEE5147D71</t>
  </si>
  <si>
    <t>s21_l56_100nm_2_</t>
  </si>
  <si>
    <t>https://biccn.bossdb.org/deliveries/6F16B668-3268-4F17-BC83-7C1FEE5147D72</t>
  </si>
  <si>
    <t>s21_l56_100nm_3_</t>
  </si>
  <si>
    <t>https://biccn.bossdb.org/deliveries/6F16B668-3268-4F17-BC83-7C1FEE5147D73</t>
  </si>
  <si>
    <t>s21_l56_100nm_4_</t>
  </si>
  <si>
    <t>https://biccn.bossdb.org/deliveries/6F16B668-3268-4F17-BC83-7C1FEE5147D74</t>
  </si>
  <si>
    <t>s22_WM_100nm_</t>
  </si>
  <si>
    <t>https://biccn.bossdb.org/deliveries/6F16B668-3268-4F17-BC83-7C1FEE5147D75</t>
  </si>
  <si>
    <t>s22_WM_100nm_1_</t>
  </si>
  <si>
    <t>https://biccn.bossdb.org/deliveries/6F16B668-3268-4F17-BC83-7C1FEE5147D76</t>
  </si>
  <si>
    <t>s22_WM_100nm_2_</t>
  </si>
  <si>
    <t>https://biccn.bossdb.org/deliveries/6F16B668-3268-4F17-BC83-7C1FEE5147D77</t>
  </si>
  <si>
    <t>s22_WM_100nm_3_</t>
  </si>
  <si>
    <t>https://biccn.bossdb.org/deliveries/6F16B668-3268-4F17-BC83-7C1FEE5147D78</t>
  </si>
  <si>
    <t>s22_WM_100nm_4_</t>
  </si>
  <si>
    <t>https://biccn.bossdb.org/deliveries/6F16B668-3268-4F17-BC83-7C1FEE5147D79</t>
  </si>
  <si>
    <t>s22_fov52_030nm_</t>
  </si>
  <si>
    <t>https://biccn.bossdb.org/deliveries/6F16B668-3268-4F17-BC83-7C1FEE5147D80</t>
  </si>
  <si>
    <t>s22_fov52_030nm_1_</t>
  </si>
  <si>
    <t>https://biccn.bossdb.org/deliveries/6F16B668-3268-4F17-BC83-7C1FEE5147D81</t>
  </si>
  <si>
    <t>s22_fov52_030nm_2_</t>
  </si>
  <si>
    <t>https://biccn.bossdb.org/deliveries/6F16B668-3268-4F17-BC83-7C1FEE5147D82</t>
  </si>
  <si>
    <t>s22_fov52_030nm_3_</t>
  </si>
  <si>
    <t>https://biccn.bossdb.org/deliveries/6F16B668-3268-4F17-BC83-7C1FEE5147D83</t>
  </si>
  <si>
    <t>s22_fov52_030nm_4_</t>
  </si>
  <si>
    <t>https://biccn.bossdb.org/deliveries/6F16B668-3268-4F17-BC83-7C1FEE5147D84</t>
  </si>
  <si>
    <t>s22_fov5_030nm_</t>
  </si>
  <si>
    <t>https://biccn.bossdb.org/deliveries/6F16B668-3268-4F17-BC83-7C1FEE5147D85</t>
  </si>
  <si>
    <t>s22_fov5_030nm_1_</t>
  </si>
  <si>
    <t>https://biccn.bossdb.org/deliveries/6F16B668-3268-4F17-BC83-7C1FEE5147D86</t>
  </si>
  <si>
    <t>s22_fov5_030nm_2_</t>
  </si>
  <si>
    <t>https://biccn.bossdb.org/deliveries/6F16B668-3268-4F17-BC83-7C1FEE5147D87</t>
  </si>
  <si>
    <t>s22_fov5_030nm_3_</t>
  </si>
  <si>
    <t>https://biccn.bossdb.org/deliveries/6F16B668-3268-4F17-BC83-7C1FEE5147D88</t>
  </si>
  <si>
    <t>s22_fov5_030nm_4_</t>
  </si>
  <si>
    <t>https://biccn.bossdb.org/deliveries/6F16B668-3268-4F17-BC83-7C1FEE5147D89</t>
  </si>
  <si>
    <t>s22_fov5_080nm_</t>
  </si>
  <si>
    <t>https://biccn.bossdb.org/deliveries/6F16B668-3268-4F17-BC83-7C1FEE5147D90</t>
  </si>
  <si>
    <t>s22_fov5_080nm_1_</t>
  </si>
  <si>
    <t>https://biccn.bossdb.org/deliveries/6F16B668-3268-4F17-BC83-7C1FEE5147D91</t>
  </si>
  <si>
    <t>s22_fov5_080nm_2_</t>
  </si>
  <si>
    <t>https://biccn.bossdb.org/deliveries/6F16B668-3268-4F17-BC83-7C1FEE5147D92</t>
  </si>
  <si>
    <t>s22_fov5_080nm_3_</t>
  </si>
  <si>
    <t>https://biccn.bossdb.org/deliveries/6F16B668-3268-4F17-BC83-7C1FEE5147D93</t>
  </si>
  <si>
    <t>s22_fov5_080nm_4_</t>
  </si>
  <si>
    <t>https://biccn.bossdb.org/deliveries/6F16B668-3268-4F17-BC83-7C1FEE5147D94</t>
  </si>
  <si>
    <t>s22_l3_md_025nm_1_</t>
  </si>
  <si>
    <t>https://biccn.bossdb.org/deliveries/6F16B668-3268-4F17-BC83-7C1FEE5147D95</t>
  </si>
  <si>
    <t>s22_l3_md_025nm_2_</t>
  </si>
  <si>
    <t>https://biccn.bossdb.org/deliveries/6F16B668-3268-4F17-BC83-7C1FEE5147D96</t>
  </si>
  <si>
    <t>s22_l3_md_025nm_3_</t>
  </si>
  <si>
    <t>https://biccn.bossdb.org/deliveries/6F16B668-3268-4F17-BC83-7C1FEE5147D97</t>
  </si>
  <si>
    <t>s22_l3_md_025nm_4_</t>
  </si>
  <si>
    <t>https://biccn.bossdb.org/deliveries/6F16B668-3268-4F17-BC83-7C1FEE5147D98</t>
  </si>
  <si>
    <t>s22_l5_025nm_</t>
  </si>
  <si>
    <t>https://biccn.bossdb.org/deliveries/6F16B668-3268-4F17-BC83-7C1FEE5147D99</t>
  </si>
  <si>
    <t>s22_l5_025nm_1_</t>
  </si>
  <si>
    <t>https://biccn.bossdb.org/deliveries/6F16B668-3268-4F17-BC83-7C1FEE5147D100</t>
  </si>
  <si>
    <t>s22_l5_025nm_2_</t>
  </si>
  <si>
    <t>https://biccn.bossdb.org/deliveries/6F16B668-3268-4F17-BC83-7C1FEE5147D101</t>
  </si>
  <si>
    <t>s22_l5_025nm_3_</t>
  </si>
  <si>
    <t>https://biccn.bossdb.org/deliveries/6F16B668-3268-4F17-BC83-7C1FEE5147D102</t>
  </si>
  <si>
    <t>s22_l5_025nm_4_</t>
  </si>
  <si>
    <t>https://biccn.bossdb.org/deliveries/6F16B668-3268-4F17-BC83-7C1FEE5147D103</t>
  </si>
  <si>
    <t>s24_hico_md1_030nm_</t>
  </si>
  <si>
    <t>https://biccn.bossdb.org/deliveries/6F16B668-3268-4F17-BC83-7C1FEE5147D104</t>
  </si>
  <si>
    <t>s24_hico_md1_030nm_1_</t>
  </si>
  <si>
    <t>https://biccn.bossdb.org/deliveries/6F16B668-3268-4F17-BC83-7C1FEE5147D105</t>
  </si>
  <si>
    <t>s24_hico_md1_030nm_2_</t>
  </si>
  <si>
    <t>https://biccn.bossdb.org/deliveries/6F16B668-3268-4F17-BC83-7C1FEE5147D106</t>
  </si>
  <si>
    <t>s24_hico_md1_030nm_3_</t>
  </si>
  <si>
    <t>https://biccn.bossdb.org/deliveries/6F16B668-3268-4F17-BC83-7C1FEE5147D107</t>
  </si>
  <si>
    <t>s24_hico_md1_030nm_4_</t>
  </si>
  <si>
    <t>https://biccn.bossdb.org/deliveries/6F16B668-3268-4F17-BC83-7C1FEE5147D108</t>
  </si>
  <si>
    <t>s24_hico_md2_030nm_</t>
  </si>
  <si>
    <t>https://biccn.bossdb.org/deliveries/6F16B668-3268-4F17-BC83-7C1FEE5147D109</t>
  </si>
  <si>
    <t>s24_hico_md2_030nm_1_</t>
  </si>
  <si>
    <t>https://biccn.bossdb.org/deliveries/6F16B668-3268-4F17-BC83-7C1FEE5147D110</t>
  </si>
  <si>
    <t>s24_hico_md2_030nm_2_</t>
  </si>
  <si>
    <t>https://biccn.bossdb.org/deliveries/6F16B668-3268-4F17-BC83-7C1FEE5147D111</t>
  </si>
  <si>
    <t>s24_hico_md2_030nm_3_</t>
  </si>
  <si>
    <t>https://biccn.bossdb.org/deliveries/6F16B668-3268-4F17-BC83-7C1FEE5147D112</t>
  </si>
  <si>
    <t>s24_hico_md2_030nm_4_</t>
  </si>
  <si>
    <t>https://biccn.bossdb.org/deliveries/6F16B668-3268-4F17-BC83-7C1FEE5147D113</t>
  </si>
  <si>
    <t>s24_hico_md3_030nmm_1_</t>
  </si>
  <si>
    <t>https://biccn.bossdb.org/deliveries/6F16B668-3268-4F17-BC83-7C1FEE5147D114</t>
  </si>
  <si>
    <t>s24_hico_md3_030nmm_2_</t>
  </si>
  <si>
    <t>https://biccn.bossdb.org/deliveries/6F16B668-3268-4F17-BC83-7C1FEE5147D115</t>
  </si>
  <si>
    <t>s24_hico_md3_030nmm_3_</t>
  </si>
  <si>
    <t>https://biccn.bossdb.org/deliveries/6F16B668-3268-4F17-BC83-7C1FEE5147D116</t>
  </si>
  <si>
    <t>s24_hico_md3_030nmm_4_</t>
  </si>
  <si>
    <t>https://biccn.bossdb.org/deliveries/6F16B668-3268-4F17-BC83-7C1FEE5147D117</t>
  </si>
  <si>
    <t>s24_hippo_050nm_</t>
  </si>
  <si>
    <t>https://biccn.bossdb.org/deliveries/6F16B668-3268-4F17-BC83-7C1FEE5147D118</t>
  </si>
  <si>
    <t>s24_hippo_050nm_1_</t>
  </si>
  <si>
    <t>https://biccn.bossdb.org/deliveries/6F16B668-3268-4F17-BC83-7C1FEE5147D119</t>
  </si>
  <si>
    <t>s24_hippo_050nm_2_</t>
  </si>
  <si>
    <t>https://biccn.bossdb.org/deliveries/6F16B668-3268-4F17-BC83-7C1FEE5147D120</t>
  </si>
  <si>
    <t>s24_hippo_050nm_3_</t>
  </si>
  <si>
    <t>https://biccn.bossdb.org/deliveries/6F16B668-3268-4F17-BC83-7C1FEE5147D121</t>
  </si>
  <si>
    <t>s24_hippo_050nm_4_</t>
  </si>
  <si>
    <t>https://biccn.bossdb.org/deliveries/6F16B668-3268-4F17-BC83-7C1FEE5147D122</t>
  </si>
  <si>
    <t>s24_hippo_halfDose_050nm_1_</t>
  </si>
  <si>
    <t>https://biccn.bossdb.org/deliveries/6F16B668-3268-4F17-BC83-7C1FEE5147D123</t>
  </si>
  <si>
    <t>s24_hippo_halfDosec_050nm_1_</t>
  </si>
  <si>
    <t>https://biccn.bossdb.org/deliveries/6F16B668-3268-4F17-BC83-7C1FEE5147D124</t>
  </si>
  <si>
    <t>s24_hippo_halfDosed_050nm_</t>
  </si>
  <si>
    <t>https://biccn.bossdb.org/deliveries/6F16B668-3268-4F17-BC83-7C1FEE5147D125</t>
  </si>
  <si>
    <t>s24_hippo_halfDosed_050nm_1_</t>
  </si>
  <si>
    <t>https://biccn.bossdb.org/deliveries/6F16B668-3268-4F17-BC83-7C1FEE5147D126</t>
  </si>
  <si>
    <t>s24_hippo_halfDosed_050nm_2_</t>
  </si>
  <si>
    <t>https://biccn.bossdb.org/deliveries/6F16B668-3268-4F17-BC83-7C1FEE5147D127</t>
  </si>
  <si>
    <t>s24_hippo_halfDosed_050nm_3_</t>
  </si>
  <si>
    <t>https://biccn.bossdb.org/deliveries/6F16B668-3268-4F17-BC83-7C1FEE5147D128</t>
  </si>
  <si>
    <t>s24_hippo_halfDosed_050nm_4_</t>
  </si>
  <si>
    <t>https://biccn.bossdb.org/deliveries/6F16B668-3268-4F17-BC83-7C1FEE5147D129</t>
  </si>
  <si>
    <t>s24_top_hd_030nm_</t>
  </si>
  <si>
    <t>https://biccn.bossdb.org/deliveries/6F16B668-3268-4F17-BC83-7C1FEE5147D130</t>
  </si>
  <si>
    <t>s24_top_hd_030nm_1_</t>
  </si>
  <si>
    <t>https://biccn.bossdb.org/deliveries/6F16B668-3268-4F17-BC83-7C1FEE5147D131</t>
  </si>
  <si>
    <t>s24_top_hd_030nm_2_</t>
  </si>
  <si>
    <t>https://biccn.bossdb.org/deliveries/6F16B668-3268-4F17-BC83-7C1FEE5147D132</t>
  </si>
  <si>
    <t>s24_top_hd_030nm_3_</t>
  </si>
  <si>
    <t>https://biccn.bossdb.org/deliveries/6F16B668-3268-4F17-BC83-7C1FEE5147D133</t>
  </si>
  <si>
    <t>s24_top_hd_030nm_4_</t>
  </si>
  <si>
    <t>https://biccn.bossdb.org/deliveries/6F16B668-3268-4F17-BC83-7C1FEE5147D134</t>
  </si>
  <si>
    <t>s24_top_md1_030nm_</t>
  </si>
  <si>
    <t>https://biccn.bossdb.org/deliveries/6F16B668-3268-4F17-BC83-7C1FEE5147D135</t>
  </si>
  <si>
    <t>s24_top_md1_030nm_1_</t>
  </si>
  <si>
    <t>https://biccn.bossdb.org/deliveries/6F16B668-3268-4F17-BC83-7C1FEE5147D136</t>
  </si>
  <si>
    <t>s24_top_md1_030nm_2_</t>
  </si>
  <si>
    <t>https://biccn.bossdb.org/deliveries/6F16B668-3268-4F17-BC83-7C1FEE5147D137</t>
  </si>
  <si>
    <t>s24_top_md1_030nm_3_</t>
  </si>
  <si>
    <t>https://biccn.bossdb.org/deliveries/6F16B668-3268-4F17-BC83-7C1FEE5147D138</t>
  </si>
  <si>
    <t>s24_top_md1_030nm_4_</t>
  </si>
  <si>
    <t>https://biccn.bossdb.org/deliveries/6F16B668-3268-4F17-BC83-7C1FEE5147D139</t>
  </si>
  <si>
    <t>https://biccn.bossdb.org/deliveries/08AB1A82-F779-44D2-BF16-1FD4C39858E2</t>
  </si>
  <si>
    <t>https://biccn.bossdb.org/deliveries/08AB1A82-F779-44D2-BF16-1FD4C39858E3</t>
  </si>
  <si>
    <t>https://biccn.bossdb.org/deliveries/08AB1A82-F779-44D2-BF16-1FD4C39858E4</t>
  </si>
  <si>
    <t>https://biccn.bossdb.org/deliveries/08AB1A82-F779-44D2-BF16-1FD4C39858E5</t>
  </si>
  <si>
    <t>https://biccn.bossdb.org/deliveries/08AB1A82-F779-44D2-BF16-1FD4C39858E6</t>
  </si>
  <si>
    <t>https://biccn.bossdb.org/deliveries/08AB1A82-F779-44D2-BF16-1FD4C39858E7</t>
  </si>
  <si>
    <t>https://biccn.bossdb.org/deliveries/08AB1A82-F779-44D2-BF16-1FD4C39858E8</t>
  </si>
  <si>
    <t>https://biccn.bossdb.org/deliveries/08AB1A82-F779-44D2-BF16-1FD4C39858E9</t>
  </si>
  <si>
    <t>https://biccn.bossdb.org/deliveries/08AB1A82-F779-44D2-BF16-1FD4C39858E10</t>
  </si>
  <si>
    <t>https://biccn.bossdb.org/deliveries/08AB1A82-F779-44D2-BF16-1FD4C39858E11</t>
  </si>
  <si>
    <t>https://biccn.bossdb.org/deliveries/08AB1A82-F779-44D2-BF16-1FD4C39858E12</t>
  </si>
  <si>
    <t>https://biccn.bossdb.org/deliveries/08AB1A82-F779-44D2-BF16-1FD4C39858E13</t>
  </si>
  <si>
    <t>https://biccn.bossdb.org/deliveries/08AB1A82-F779-44D2-BF16-1FD4C39858E14</t>
  </si>
  <si>
    <t>https://biccn.bossdb.org/deliveries/08AB1A82-F779-44D2-BF16-1FD4C39858E15</t>
  </si>
  <si>
    <t>https://biccn.bossdb.org/deliveries/08AB1A82-F779-44D2-BF16-1FD4C39858E16</t>
  </si>
  <si>
    <t>https://biccn.bossdb.org/deliveries/08AB1A82-F779-44D2-BF16-1FD4C39858E17</t>
  </si>
  <si>
    <t>https://biccn.bossdb.org/deliveries/08AB1A82-F779-44D2-BF16-1FD4C39858E18</t>
  </si>
  <si>
    <t>https://biccn.bossdb.org/deliveries/08AB1A82-F779-44D2-BF16-1FD4C39858E19</t>
  </si>
  <si>
    <t>https://biccn.bossdb.org/deliveries/08AB1A82-F779-44D2-BF16-1FD4C39858E20</t>
  </si>
  <si>
    <t>https://biccn.bossdb.org/deliveries/08AB1A82-F779-44D2-BF16-1FD4C39858E21</t>
  </si>
  <si>
    <t>https://biccn.bossdb.org/deliveries/08AB1A82-F779-44D2-BF16-1FD4C39858E22</t>
  </si>
  <si>
    <t>https://biccn.bossdb.org/deliveries/08AB1A82-F779-44D2-BF16-1FD4C39858E23</t>
  </si>
  <si>
    <t>https://biccn.bossdb.org/deliveries/08AB1A82-F779-44D2-BF16-1FD4C39858E24</t>
  </si>
  <si>
    <t>https://biccn.bossdb.org/deliveries/08AB1A82-F779-44D2-BF16-1FD4C39858E25</t>
  </si>
  <si>
    <t>https://biccn.bossdb.org/deliveries/08AB1A82-F779-44D2-BF16-1FD4C39858E26</t>
  </si>
  <si>
    <t>https://biccn.bossdb.org/deliveries/08AB1A82-F779-44D2-BF16-1FD4C39858E27</t>
  </si>
  <si>
    <t>https://biccn.bossdb.org/deliveries/08AB1A82-F779-44D2-BF16-1FD4C39858E28</t>
  </si>
  <si>
    <t>https://biccn.bossdb.org/deliveries/08AB1A82-F779-44D2-BF16-1FD4C39858E29</t>
  </si>
  <si>
    <t>https://biccn.bossdb.org/deliveries/08AB1A82-F779-44D2-BF16-1FD4C39858E30</t>
  </si>
  <si>
    <t>https://biccn.bossdb.org/deliveries/08AB1A82-F779-44D2-BF16-1FD4C39858E31</t>
  </si>
  <si>
    <t>https://biccn.bossdb.org/deliveries/08AB1A82-F779-44D2-BF16-1FD4C39858E32</t>
  </si>
  <si>
    <t>https://biccn.bossdb.org/deliveries/08AB1A82-F779-44D2-BF16-1FD4C39858E33</t>
  </si>
  <si>
    <t>https://biccn.bossdb.org/deliveries/08AB1A82-F779-44D2-BF16-1FD4C39858E34</t>
  </si>
  <si>
    <t>https://biccn.bossdb.org/deliveries/08AB1A82-F779-44D2-BF16-1FD4C39858E35</t>
  </si>
  <si>
    <t>https://biccn.bossdb.org/deliveries/08AB1A82-F779-44D2-BF16-1FD4C39858E36</t>
  </si>
  <si>
    <t>https://biccn.bossdb.org/deliveries/08AB1A82-F779-44D2-BF16-1FD4C39858E37</t>
  </si>
  <si>
    <t>https://biccn.bossdb.org/deliveries/08AB1A82-F779-44D2-BF16-1FD4C39858E38</t>
  </si>
  <si>
    <t>https://biccn.bossdb.org/deliveries/08AB1A82-F779-44D2-BF16-1FD4C39858E39</t>
  </si>
  <si>
    <t>https://biccn.bossdb.org/deliveries/08AB1A82-F779-44D2-BF16-1FD4C39858E40</t>
  </si>
  <si>
    <t>https://biccn.bossdb.org/deliveries/08AB1A82-F779-44D2-BF16-1FD4C39858E41</t>
  </si>
  <si>
    <t>https://biccn.bossdb.org/deliveries/08AB1A82-F779-44D2-BF16-1FD4C39858E42</t>
  </si>
  <si>
    <t>https://biccn.bossdb.org/deliveries/08AB1A82-F779-44D2-BF16-1FD4C39858E43</t>
  </si>
  <si>
    <t>https://biccn.bossdb.org/deliveries/08AB1A82-F779-44D2-BF16-1FD4C39858E44</t>
  </si>
  <si>
    <t>https://biccn.bossdb.org/deliveries/08AB1A82-F779-44D2-BF16-1FD4C39858E45</t>
  </si>
  <si>
    <t>https://biccn.bossdb.org/deliveries/08AB1A82-F779-44D2-BF16-1FD4C39858E46</t>
  </si>
  <si>
    <t>BCDCCollection</t>
  </si>
  <si>
    <t>BossDBURI</t>
  </si>
  <si>
    <t>Description</t>
  </si>
  <si>
    <t>ArchiveURL</t>
  </si>
  <si>
    <t>Creator</t>
  </si>
  <si>
    <t>DateCreated</t>
  </si>
  <si>
    <t>ChannelType</t>
  </si>
  <si>
    <t>DataType</t>
  </si>
  <si>
    <t>Public</t>
  </si>
  <si>
    <t>Contributors</t>
  </si>
  <si>
    <t>15h_L1</t>
  </si>
  <si>
    <t>em</t>
  </si>
  <si>
    <t>bossdb://mulcahy/15h_L1/em/</t>
  </si>
  <si>
    <t>https://api.bossdb.io/v1/mgmt/resources/mulcahy2022/</t>
  </si>
  <si>
    <t>bossadmin</t>
  </si>
  <si>
    <t>Image</t>
  </si>
  <si>
    <t>uint8</t>
  </si>
  <si>
    <t>Ben Mulcahy|Daniel K. Witvliet|James Mitchell|Richard Schalek|Daniel R. Berger|Yuelong Wu|Doug Holmyard|Yangning Lu|Tosif Ahamed|Aravinthan D.T. Samuel|Andrew D. Chisholm|Jeff W. Lichtman|Mei Zhen</t>
  </si>
  <si>
    <t>CC-BY 4.0</t>
  </si>
  <si>
    <t>16h_L1</t>
  </si>
  <si>
    <t>bossdb://mulcahy/16h_L1/em/</t>
  </si>
  <si>
    <t>18h_L2</t>
  </si>
  <si>
    <t>bossdb://mulcahy/18_L2/em/</t>
  </si>
  <si>
    <t>1h_L1</t>
  </si>
  <si>
    <t>bossdb://mulcahy/1h_L1/em/</t>
  </si>
  <si>
    <t>23h_L2</t>
  </si>
  <si>
    <t>bossdb://mulcahy/23h_L2/em/</t>
  </si>
  <si>
    <t>NAc_dat1_saline_control_axons_2ndmouse_15nm_bottom</t>
  </si>
  <si>
    <t>image</t>
  </si>
  <si>
    <t>bossdb://wildenberg2021/NAc_dat1_saline_control_axons_2ndmouse_15nm_bottom/image</t>
  </si>
  <si>
    <t>https://api.bossdb.io/v1/mgmt/resources/wildenberg2021</t>
  </si>
  <si>
    <t>Gregg Wildenberg|Anastasia Sorokina|Jessica Koranda|Alexis Monical|Chad Heer|Mark Sheffield|Xiaoxi Zhuang|Daniel McGehee|Bobby Kasthuri</t>
  </si>
  <si>
    <t>NAc_dat1_saline_control_axons_2ndmouse_15nm_top</t>
  </si>
  <si>
    <t>bossdb://wildenberg2021/NAc_dat1_saline_control_axons_2ndmouse_15nm_top/image</t>
  </si>
  <si>
    <t>NAc_dat1_saline_control_axons_2ndmouse_7nm</t>
  </si>
  <si>
    <t>bossdb://wildenberg2021/NAc_dat1_saline_control_axons_2ndmouse_7nm/image</t>
  </si>
  <si>
    <t>Nac_dat29_cocaine_axon_2ndmouse_15nm_aligned</t>
  </si>
  <si>
    <t>bossdb://wildenberg2021/NAc_dat29_cocaine_axon_2ndmouse_15nm_aligned/image</t>
  </si>
  <si>
    <t>NAc_dat2b_saline_control_axons_1stmouse_20nm_aligned</t>
  </si>
  <si>
    <t>bossdb://wildenberg2021/NAc_dat2b_saline_control_axons_1stmouse_20nm_aligned/image</t>
  </si>
  <si>
    <t>NAc_dat2b_saline_control_axons_1stmouse_6nm_aligned</t>
  </si>
  <si>
    <t>bossdb://wildenberg2021/NAc_dat2_saline_control_axons_1stmouse_6nm_aligned/image</t>
  </si>
  <si>
    <t>NAc_dat30_cocaine_axon_1stmouse_aligned_6nm</t>
  </si>
  <si>
    <t>bossdb://wildenberg2021/NAc_dat30_cocaine_axons_1stmouse_aligned_6nm/image</t>
  </si>
  <si>
    <t>NAc_dat30_cocaine_axon_1stmouse_aligned_6nm_2ndstack</t>
  </si>
  <si>
    <t>bossdb://wildenberg2021/NAc_dat30_cocaine_axons_1stmouse_aligned_6nm_2ndstack/image</t>
  </si>
  <si>
    <t>NAc_dat30_cocaine_axons_1stmouse_20nm_aligned</t>
  </si>
  <si>
    <t>bossdb://wildenberg2021/NAc_dat30_cocaine_axons_1stmouse_20nm_aligned/image</t>
  </si>
  <si>
    <t>NAc_mito_apex_aligned01_6nm</t>
  </si>
  <si>
    <t>bossdb://wildenberg2021/Nac_mito_apex_aligned01_6nm/image</t>
  </si>
  <si>
    <t>NAc_mito_apex_aligned02_6nm</t>
  </si>
  <si>
    <t>bossdb://wildenberg2021/Nac_mito_apex_aligned02_6nm/image</t>
  </si>
  <si>
    <t>VTA_dat12a_saline_control_Dendrites_6nm_aligned</t>
  </si>
  <si>
    <t>bossdb://wildenberg2021/VTA_dat12a_saline_control_Dendrites_6nm_aligned/image</t>
  </si>
  <si>
    <t>VTA_dat39_cocaine_Dendrites_6nm_aligned</t>
  </si>
  <si>
    <t>bossdb://wildenberg2021/VTA_dat39_cocaine_Dendrites_6nm_aligned/image</t>
  </si>
  <si>
    <t>EM1</t>
  </si>
  <si>
    <t>bossdb://ishibashi2021/EM1/em</t>
  </si>
  <si>
    <t>https://api.bossdb.io/v1/mgmt/resources/ishibashi2021</t>
  </si>
  <si>
    <t>Munenori Ishibashi|Joyce Keung|Catherine W Morgans|Sue A Aicher|James R Carroll|Joshua H Singer|Li Jia|Wei Li|Iris Fahrenfort|Christophe P Ribelayga|Stephen C Massey</t>
  </si>
  <si>
    <t>EM2</t>
  </si>
  <si>
    <t>bossdb://ishibashi2021/EM2/em</t>
  </si>
  <si>
    <t>fafbv14</t>
  </si>
  <si>
    <t>bossdb://flywire/fafbv14/em</t>
  </si>
  <si>
    <t>https://api.bossdb.io/v1/mgmt/resources/flywire</t>
  </si>
  <si>
    <t>Sven Dorkenwald|Claire E. McKellar|Thomas Macrina|Nico Kemnitz|Kisuk Lee|Ran Lu|Jingpeng Wu|Sergiy Popovych|Eric Mitchell|Barak Nehoran|Zhen Jia|J. Alexander Bae|Shang Mu|Dodam Ih|Manuel Castro|Oluwaseun Ogedengbe|Akhilesh Halageri|Kai Kuehner|Amy R. Sterling|Zoe Ashwood|Jonathan Zung|Derrick Brittain|Forrest Collman|Casey Schneider-Mizell|Chris Jordan|William Silversmith|Christa Baker|David Deutsch|Lucas Encarnacion-Rivera|Sandeep Kumar|Austin Burke|Doug Bland|Jay Gager|James Hebditch|Selden Koolman|Merlin Moore|Sarah Morejohn|Ben Silverman|Kyle Willie|Ryan Willie|Szi-chieh Yu|Mala Murthy|H. Sebastian Seung</t>
  </si>
  <si>
    <t>fafbv14_fix</t>
  </si>
  <si>
    <t>boss://flywire/fafbv14_fix</t>
  </si>
  <si>
    <t>bossdb://witvliet2020/Dataset_1/em</t>
  </si>
  <si>
    <t>https://api.bossdb.io/v1/mgmt/resources/witvliet2020</t>
  </si>
  <si>
    <t xml:space="preserve">Daniel Witvliet|Ben Mulcahy|James K. Mitchell|Yaron Meirovitch|Daniel R. Berger|Yuelong Wu|Yufang Liu|Wan Xian Koh|Rajeev Parvathala|Douglas Holmyard|Richard L. Schalek|Nir Shavit|Andrew D. Chisholm|Jeff W. Lichtman|Aravinthan D. T. Samuel|Mei Zhen </t>
  </si>
  <si>
    <t>segmentation</t>
  </si>
  <si>
    <t>bossdb://witvliet2020/Dataset_1/segmentation</t>
  </si>
  <si>
    <t>segmentation16</t>
  </si>
  <si>
    <t>bossdb://witvliet2020/segmentation16</t>
  </si>
  <si>
    <t>bossdb://witvliet2020/Dataset_2/em</t>
  </si>
  <si>
    <t>bossdb://witvliet2020/Dataset_2/segmentation</t>
  </si>
  <si>
    <t>bossdb://witvliet2020/Dataset_2/segmentation16</t>
  </si>
  <si>
    <t>bossdb://witvliet2020/Dataset_3/em</t>
  </si>
  <si>
    <t>bossdb://witvliet2020/Dataset_3/segmentation</t>
  </si>
  <si>
    <t>bossdb://witvliet2020/Dataset_3/segmentation16</t>
  </si>
  <si>
    <t>bossdb://witvliet2020/Dataset_4/em</t>
  </si>
  <si>
    <t>bossdb://witvliet2020/Dataset_4/segmentation</t>
  </si>
  <si>
    <t>bossdb://witvliet2020/Dataset_4/segmentation16</t>
  </si>
  <si>
    <t>bossdb://witvliet2020/Dataset_5/em</t>
  </si>
  <si>
    <t>bossdb://witvliet2020/Dataset_5/segmentation</t>
  </si>
  <si>
    <t>bossdb://witvliet2020/Dataset_5/segmentation16</t>
  </si>
  <si>
    <t>bossdb://witvliet2020/Dataset_6/em</t>
  </si>
  <si>
    <t>bossdb://witvliet2020/Dataset_6/segmentation</t>
  </si>
  <si>
    <t>bossdb://witvliet2020/Dataset_7/em</t>
  </si>
  <si>
    <t>bossdb://witvliet2020/Dataset_8/em</t>
  </si>
  <si>
    <t>bossdb://witvliet2020/Dataset_8/segmentation</t>
  </si>
  <si>
    <t>bossdb://witvliet2020/Dataset_8segmentation16</t>
  </si>
  <si>
    <t>https://api.bossdb.io/v1/mgmt/resources/microns</t>
  </si>
  <si>
    <t>minnie35_8x8x40</t>
  </si>
  <si>
    <t>cleft</t>
  </si>
  <si>
    <t>bossdb://microns/minnie35_8x8x40/clefts</t>
  </si>
  <si>
    <t>bossdb://microns/minnie35_8x8x40/em</t>
  </si>
  <si>
    <t>seg</t>
  </si>
  <si>
    <t>bossdb://microns/minnie35_8x8x40/seg</t>
  </si>
  <si>
    <t>ws</t>
  </si>
  <si>
    <t>bossdb://microns/minnie35_8x8x40/ws</t>
  </si>
  <si>
    <t>minnie65_8x8x40</t>
  </si>
  <si>
    <t>bossdb://microns/minnie65_8x8x40/cleft</t>
  </si>
  <si>
    <t>bossdb://microns/minnie65_8x8x40/em</t>
  </si>
  <si>
    <t>membranes</t>
  </si>
  <si>
    <t>bossdb://microns/minnie65_8x8x40/membranes</t>
  </si>
  <si>
    <t>nuclei</t>
  </si>
  <si>
    <t>bossdb://microns/minnie65_8x8x40/nuclei</t>
  </si>
  <si>
    <t>bossdb://microns/minnie65_8x8x40/seg</t>
  </si>
  <si>
    <t>bossdb://microns/minnie65_8x8x40/ws</t>
  </si>
  <si>
    <t>pinky100</t>
  </si>
  <si>
    <t>bossdb://microns/pinky100/em</t>
  </si>
  <si>
    <t>pinky100_8x8x40</t>
  </si>
  <si>
    <t>bossdb://microns/pinky100_8x8x40/segmentation</t>
  </si>
  <si>
    <t>template</t>
  </si>
  <si>
    <t>bossdb://microns/pinky100_8x8x40/template</t>
  </si>
  <si>
    <t>11_YAaLR</t>
  </si>
  <si>
    <t>BLUE</t>
  </si>
  <si>
    <t>bossdb://NeuroPAL_Left_Right_Views/11_YAaLR/BLUE</t>
  </si>
  <si>
    <t>https://api.bossdb.io/v1/mgmt/resources/NeuroPAL_Left_Right_Views</t>
  </si>
  <si>
    <t>Eviatar Yemini|Albert Lin|Amin Nejatbakhsh|Erdem Varol|Ruoxi Sun|Gonzalo E.Mena|Aravinthan D.T. Samuel|Liam Paninski|Vivek Venkatachalam|Oliver Hobert</t>
  </si>
  <si>
    <t>DIC</t>
  </si>
  <si>
    <t>bossdb://NeuroPAL_Left_Right_Views/11_YAaLR/DIC</t>
  </si>
  <si>
    <t>GREEN</t>
  </si>
  <si>
    <t>bossdb://NeuroPAL_Left_Right_Views/11_YAaLR/GREEN</t>
  </si>
  <si>
    <t>RED</t>
  </si>
  <si>
    <t>bossdb://NeuroPAL_Left_Right_Views/11_YAaLR/RED</t>
  </si>
  <si>
    <t>WHITE</t>
  </si>
  <si>
    <t>bossdb://NeuroPAL_Left_Right_Views/11_YAaLR/WHITE</t>
  </si>
  <si>
    <t>11_YApLR</t>
  </si>
  <si>
    <t>bossdb://NeuroPAL_Left_Right_Views/11_YApLR/BLUE</t>
  </si>
  <si>
    <t>bossdb://NeuroPAL_Left_Right_Views/11_YApLR/DIC</t>
  </si>
  <si>
    <t>bossdb://NeuroPAL_Left_Right_Views/11_YApLR/GREEN</t>
  </si>
  <si>
    <t>bossdb://NeuroPAL_Left_Right_Views/11_YApLR/RED</t>
  </si>
  <si>
    <t>bossdb://NeuroPAL_Left_Right_Views/11_YApLR/WHITE</t>
  </si>
  <si>
    <t>20_YAaLR</t>
  </si>
  <si>
    <t>bossdb://NeuroPAL_Left_Right_Views/20_YaLR/BLUE</t>
  </si>
  <si>
    <t>bossdb://NeuroPAL_Left_Right_Views/20_YaLR/DIC</t>
  </si>
  <si>
    <t>bossdb://NeuroPAL_Left_Right_Views/20_YaLR/GRREN</t>
  </si>
  <si>
    <t>bossdb://NeuroPAL_Left_Right_Views/20_YaLR/RED</t>
  </si>
  <si>
    <t>bossdb://NeuroPAL_Left_Right_Views/20_YaLR/WHITE</t>
  </si>
  <si>
    <t>20_YApLR</t>
  </si>
  <si>
    <t>bossdb://NeuroPAL_Left_Right_Views/20_YApLR/BLUE</t>
  </si>
  <si>
    <t>bossdb://NeuroPAL_Left_Right_Views/20_YApLR/DIC</t>
  </si>
  <si>
    <t>bossdb://NeuroPAL_Left_Right_Views/20_YApLR/GREEN</t>
  </si>
  <si>
    <t>bossdb://NeuroPAL_Left_Right_Views/20_YApLR/RED</t>
  </si>
  <si>
    <t>bossdb://NeuroPAL_Left_Right_Views/20_YApLR/WHITE</t>
  </si>
  <si>
    <t>62_YAaLR</t>
  </si>
  <si>
    <t>bossdb://NeuroPAL_Left_Right_Views/62_YAaLR/BLUE</t>
  </si>
  <si>
    <t>bossdb://NeuroPAL_Left_Right_Views/62_YAaLR/DIC</t>
  </si>
  <si>
    <t>bossdb://NeuroPAL_Left_Right_Views/62_YAaLR/GREEN</t>
  </si>
  <si>
    <t>bossdb://NeuroPAL_Left_Right_Views/62_YAaLR/RED</t>
  </si>
  <si>
    <t>bossdb://NeuroPAL_Left_Right_Views/62_YAaLR/WHITE</t>
  </si>
  <si>
    <t>62_YApLR</t>
  </si>
  <si>
    <t>bossdb://NeuroPAL_Left_Right_Views/62_YApLR/BLUE</t>
  </si>
  <si>
    <t>bossdb://NeuroPAL_Left_Right_Views/62_YApLR/DIC</t>
  </si>
  <si>
    <t>bossdb://NeuroPAL_Left_Right_Views/62_YApLR/GREEN</t>
  </si>
  <si>
    <t>bossdb://NeuroPAL_Left_Right_Views/62_YApLR/RED</t>
  </si>
  <si>
    <t>bossdb://NeuroPAL_Left_Right_Views/62_YApLR/WHITE</t>
  </si>
  <si>
    <t>7_YAaLR</t>
  </si>
  <si>
    <t>bossdb://NeuroPAL_Left_Right_Views/7_YAaLR/BLUE</t>
  </si>
  <si>
    <t>bossdb://NeuroPAL_Left_Right_Views/7_YAaLR/DIC</t>
  </si>
  <si>
    <t>bossdb://NeuroPAL_Left_Right_Views/7_YAaLR/GREEN</t>
  </si>
  <si>
    <t>bossdb://NeuroPAL_Left_Right_Views/7_YAaLR/RED</t>
  </si>
  <si>
    <t>bossdb://NeuroPAL_Left_Right_Views/7_YAaLR/WHITE</t>
  </si>
  <si>
    <t>7_YApLR</t>
  </si>
  <si>
    <t>bossdb://NeuroPAL_Left_Right_Views/7_YApLR/BLUE</t>
  </si>
  <si>
    <t>bossdb://NeuroPAL_Left_Right_Views/7_YApLR/DIC</t>
  </si>
  <si>
    <t>bossdb://NeuroPAL_Left_Right_Views/7_YApLR/GREEN</t>
  </si>
  <si>
    <t>bossdb://NeuroPAL_Left_Right_Views/7_YApLR/RED</t>
  </si>
  <si>
    <t>bossdb://NeuroPAL_Left_Right_Views/7_YApLR/WHITE</t>
  </si>
  <si>
    <t>70_YAaLR</t>
  </si>
  <si>
    <t>bossdb://NeuroPAL_Left_Right_Views/70_YAaLR/BLUE</t>
  </si>
  <si>
    <t>bossdb://NeuroPAL_Left_Right_Views/70_YAaLR/DIC</t>
  </si>
  <si>
    <t>bossdb://NeuroPAL_Left_Right_Views/70_YAaLR/GREEN</t>
  </si>
  <si>
    <t>bossdb://NeuroPAL_Left_Right_Views/70_YAaLR/RED</t>
  </si>
  <si>
    <t>bossdb://NeuroPAL_Left_Right_Views/70_YAaLR/WHITE</t>
  </si>
  <si>
    <t>70_YApLR</t>
  </si>
  <si>
    <t>bossdb://NeuroPAL_Left_Right_Views/70_YApLR/BLUE</t>
  </si>
  <si>
    <t>bossdb://NeuroPAL_Left_Right_Views/70_YApLR/DIC</t>
  </si>
  <si>
    <t>bossdb://NeuroPAL_Left_Right_Views/70_YApLR/GREEN</t>
  </si>
  <si>
    <t>bossdb://NeuroPAL_Left_Right_Views/70_YApLR/RED</t>
  </si>
  <si>
    <t>bossdb://NeuroPAL_Left_Right_Views/70_YApLR/WHITE</t>
  </si>
  <si>
    <t>FANC</t>
  </si>
  <si>
    <t>bossdb://phelps_hildebrand_graham2021/FANC/em</t>
  </si>
  <si>
    <t>https://api.bossdb.io/v1/mgmt/resources/phelps_hildebrand_graham2021</t>
  </si>
  <si>
    <t>Jasper S.Phelps|David Grant|Colburn Hildebrand|Brett J.Graham|Aaron T.Kuan|Logan A.Thomas|Tri M.Nguyen|Julia Buhmann|Anthony W.Azevedo|Anne Sustar|Sweta Agrawal|Mingguan Liu|Brendan L.Shanny|Jan Funke|John C.Tuthill|Wei-Chung|Allen Lee</t>
  </si>
  <si>
    <t>https://api.bossdb.io/v1/mgmt/resources/kuan_phelps2020</t>
  </si>
  <si>
    <t>Aaron T. Kuan|Jasper S. Phelps|Logan A. Thomas|Tri M. Nguyen|Julie Han|Chiao-Lin Chen|Anthony W. Azevedo|John C. Tuthill|Jan Funke|Peter Cloetens|Alexandra Pacureanu|Wei-Chung|Allen Lee</t>
  </si>
  <si>
    <t>drBrain_120nm_rec</t>
  </si>
  <si>
    <t>bossdb://kuan_phelps2020/drosophila_brain_120nm/drBrain_120nm_rec</t>
  </si>
  <si>
    <t>190515_merged_fullres</t>
  </si>
  <si>
    <t>bossdb://kuan_phelps2020/drosophila_leg_75nm/190515_merged_fullres</t>
  </si>
  <si>
    <t>jaspersLegCryo_r1_50nm_rec</t>
  </si>
  <si>
    <t>bossdb://kuan_phelps2020/drosophila_VNC_50nm/jaspersLegCryo_r1_50nm_rec</t>
  </si>
  <si>
    <t>mCTXsmall_17keV_850umBS_30nm</t>
  </si>
  <si>
    <t>bossdb://kuan_phelps2020/mouse_cortex_30nm/mCTXsmall_17keV_850umBS_30nm</t>
  </si>
  <si>
    <t>mCTXsmall_higher_40nm</t>
  </si>
  <si>
    <t>bossdb://kuans_phelps2020/mouse_cortex_40nm/mCTXsmall_higher_40nm</t>
  </si>
  <si>
    <t>bossdbdb://parsad/parsad2020/image</t>
  </si>
  <si>
    <t>https://api.bossdb.io/v1/mgmt/resources/prasad</t>
  </si>
  <si>
    <t>Judy A. Prasad|Aishwarya H. Balwani|Erik C. Johnson|Joseph D. Miano|Vandana Sampathkumar|Vincent De Andrade|Kamel Fezzaa|Ming Du|Rafael Vescovi|Chris Jacobsen|Konrad P. Kording|Doga Gürsoy|William Gray Roncal|Narayanan Kasthuri|Eva L. Dyer</t>
  </si>
  <si>
    <t>pixel_annoation</t>
  </si>
  <si>
    <t>bossdbdb://parsad/parsad2020/pixel_annotation</t>
  </si>
  <si>
    <t>region_of_interest</t>
  </si>
  <si>
    <t>bossdbdb://parsad/parsad2020/region_of_interest</t>
  </si>
  <si>
    <t>unet_microseg</t>
  </si>
  <si>
    <t>bossdbdb://parsad/parsad2020/unet_microseg</t>
  </si>
  <si>
    <t>inet_microseg_masked</t>
  </si>
  <si>
    <t>bossdbdb://parsad/parsad2020/unet_microseg_masked</t>
  </si>
  <si>
    <t>unet_region</t>
  </si>
  <si>
    <t>bossdbdb://parsad/parsad2020/unet_region</t>
  </si>
  <si>
    <t>unet_region_16res</t>
  </si>
  <si>
    <t>bossdbdb://parsad/parsad2020/unet_region_16res</t>
  </si>
  <si>
    <t>bossdb://morgan2020lgn/em</t>
  </si>
  <si>
    <t>https://api.bossdb.io/v1/mgmt/resources/morgan2020</t>
  </si>
  <si>
    <t>Josh L. Morgan|Jeff W. Lichtman</t>
  </si>
  <si>
    <t>https://api.bossdb.io/v1/mgmt/resources/templier/</t>
  </si>
  <si>
    <t>Thomas Templier</t>
  </si>
  <si>
    <t>C1_Beads_488</t>
  </si>
  <si>
    <t>bossdb://templier/Wafer1/C1_Beads_488</t>
  </si>
  <si>
    <t>C1_Beads_546</t>
  </si>
  <si>
    <t>bossdb://templier/Wafer1/C1_Beads_546</t>
  </si>
  <si>
    <t>C1_EM</t>
  </si>
  <si>
    <t>bossdb://templier/Wafer1/C1_EM</t>
  </si>
  <si>
    <t>C1_LM_448</t>
  </si>
  <si>
    <t>bossdb://templier/Wafer1/C1_LM_448</t>
  </si>
  <si>
    <t>C`LM_546</t>
  </si>
  <si>
    <t>bossdb://templier/Wafer1/C1_LM_546</t>
  </si>
  <si>
    <t>C1_LM_647</t>
  </si>
  <si>
    <t>bossdb://templier/Wafer1/C1_LM_647</t>
  </si>
  <si>
    <t>C1_LM_brightfield</t>
  </si>
  <si>
    <t>bossdb://templier/Wafer1/C1_LM_brightfield</t>
  </si>
  <si>
    <t>C1_LM_contrastedbrightfiled</t>
  </si>
  <si>
    <t>bossdb://templier/Wafer1/C1_LM_contrastedbrightfiled</t>
  </si>
  <si>
    <t>B6_Beads_488</t>
  </si>
  <si>
    <t>bossdb://templier/Wafer3/B6_Beads_488</t>
  </si>
  <si>
    <t>B6_Beads_546</t>
  </si>
  <si>
    <t>bossdb://templier/Wafer3/B6_Beads_546</t>
  </si>
  <si>
    <t>B6_LM_647</t>
  </si>
  <si>
    <t>bossdb://templier/Wafer3/B6_LM_647</t>
  </si>
  <si>
    <t>B6_LM_brightfield</t>
  </si>
  <si>
    <t>bossdb://templier/Wafer3/B6_LM_brightfield</t>
  </si>
  <si>
    <t>B6_LM_contrastedbrightfield</t>
  </si>
  <si>
    <t>bossdb://templier/Wafer3/B6_LM_contrastedbrightfield</t>
  </si>
  <si>
    <t>B6_SegmentedLM_647</t>
  </si>
  <si>
    <t>bossdb://templier/Wafer3/B6_SegmentedLM_647</t>
  </si>
  <si>
    <t>EM</t>
  </si>
  <si>
    <t>bossdb://templier/Wafer3/EM</t>
  </si>
  <si>
    <t>bossdb://wilson2019/P3/em</t>
  </si>
  <si>
    <t>https://api.bossdb.io/v1/mgmt/resources/wilson2019</t>
  </si>
  <si>
    <t>Alyssa Michelle Wilson|Richard Schalek|Adi Suissa-Peleg|Thouis R. Jones|Seymour Knowles-Barley|Hanspeter Pfister|Jeff W. Lichtman</t>
  </si>
  <si>
    <t>bossdb://wilson2019/P7/em</t>
  </si>
  <si>
    <t>Ch0</t>
  </si>
  <si>
    <t>bossdb://Abagmouse/dentateECcagGFP3/Ch0</t>
  </si>
  <si>
    <t>https://api.bossdb.io/v1/mgmt/resources/ABagemouse</t>
  </si>
  <si>
    <t>channel0</t>
  </si>
  <si>
    <t>bossdb://bloss/bloss16/channel0</t>
  </si>
  <si>
    <t>https://api.bossdb.io/v1/mgmt/resources/bloss</t>
  </si>
  <si>
    <t>Erik B. Bloss|Mark S. Cembrowski|Bill Karsh|Jennifer Colonell|Richard D. Fetter|Nelson Spruston</t>
  </si>
  <si>
    <t>channel1</t>
  </si>
  <si>
    <t>bossdb://bloss/bloss16/channel1</t>
  </si>
  <si>
    <t>channel2</t>
  </si>
  <si>
    <t>bossdb://bloss/bloss16/channel2</t>
  </si>
  <si>
    <t>channel3</t>
  </si>
  <si>
    <t>bossdb://bloss/bloss16/channel3</t>
  </si>
  <si>
    <t>bossdb://bloss/bloss18/inage</t>
  </si>
  <si>
    <t>bossdb://gerhard2017/drosophilia_melanogaster_third_instar_larva/em</t>
  </si>
  <si>
    <t>https://api.bossdb.io/v1/mgmt/resources/gerhard2017</t>
  </si>
  <si>
    <t>Stephan Gerhard|Ingrid Andrade|Richard D Fetter|Albert Cardona|Casey M Schneider-Mizell</t>
  </si>
  <si>
    <t>ssTEM_stack</t>
  </si>
  <si>
    <t>bossdb://gerhard2017/drosophilia_melanogaster_third_instar_larva/ssTEM_stack</t>
  </si>
  <si>
    <t>Proj4</t>
  </si>
  <si>
    <t>cells_Pub</t>
  </si>
  <si>
    <t>XBrainGTech5</t>
  </si>
  <si>
    <t>https://api.bossdb.io/v1/mgmt/resources/XBrainGTech5</t>
  </si>
  <si>
    <t>annotation</t>
  </si>
  <si>
    <t>uint64</t>
  </si>
  <si>
    <t>full_vol</t>
  </si>
  <si>
    <t>vessels_Pub</t>
  </si>
  <si>
    <t>sagittal_100um</t>
  </si>
  <si>
    <t>annotation_100um_2016</t>
  </si>
  <si>
    <t>ara_2016</t>
  </si>
  <si>
    <t>https://api.bossdb.io/v1/mgmt/resources/ara_2016</t>
  </si>
  <si>
    <t>annotation_100um_2017</t>
  </si>
  <si>
    <t>average_100um</t>
  </si>
  <si>
    <t>uint16</t>
  </si>
  <si>
    <t>sagittal_10um</t>
  </si>
  <si>
    <t>annotation_10um_2017</t>
  </si>
  <si>
    <t>average_10um</t>
  </si>
  <si>
    <t>nissl_10um</t>
  </si>
  <si>
    <t>sagittal_25um</t>
  </si>
  <si>
    <t>annotation_25um_2016</t>
  </si>
  <si>
    <t>annotation_25um_2017</t>
  </si>
  <si>
    <t>average_25um</t>
  </si>
  <si>
    <t xml:space="preserve">nissl_25um </t>
  </si>
  <si>
    <t>sagittal_50um</t>
  </si>
  <si>
    <t>annotation_50um</t>
  </si>
  <si>
    <t xml:space="preserve"> average_50um</t>
  </si>
  <si>
    <t>nissl_50um</t>
  </si>
  <si>
    <t>120809zf104</t>
  </si>
  <si>
    <t>hildebrand</t>
  </si>
  <si>
    <t>https://api.bossdb.io/v1/mgmt/resources/hildebrand</t>
  </si>
  <si>
    <t>130201zf142</t>
  </si>
  <si>
    <t>160515_SWiFT_60nmpx</t>
  </si>
  <si>
    <t>AA201605</t>
  </si>
  <si>
    <t>SBEM1</t>
  </si>
  <si>
    <t>wanner16</t>
  </si>
  <si>
    <t>https://api.bossdb.io/v1/mgmt/resources/wanner16/AA201605</t>
  </si>
  <si>
    <t>5HT1A_6th</t>
  </si>
  <si>
    <t>kristina15</t>
  </si>
  <si>
    <t>CR1_2ndA</t>
  </si>
  <si>
    <t xml:space="preserve">dapi_1stA </t>
  </si>
  <si>
    <t xml:space="preserve">GABABR1_3rdA </t>
  </si>
  <si>
    <t xml:space="preserve">GABARa1_4thA </t>
  </si>
  <si>
    <t>GAD_6thA</t>
  </si>
  <si>
    <t>gephyrin_1stA</t>
  </si>
  <si>
    <t>GluR2_2ndA</t>
  </si>
  <si>
    <t>NMDAR1_6thA</t>
  </si>
  <si>
    <t>NOS_9thA</t>
  </si>
  <si>
    <t xml:space="preserve">Cocaine174 </t>
  </si>
  <si>
    <t>Grayscale</t>
  </si>
  <si>
    <t>kutten</t>
  </si>
  <si>
    <t>https://api.bossdb.io/v1/mgmt/resources/kutten/</t>
  </si>
  <si>
    <t>Cocaine175</t>
  </si>
  <si>
    <t>Cocaine178</t>
  </si>
  <si>
    <t>Control181</t>
  </si>
  <si>
    <t>Control182</t>
  </si>
  <si>
    <t>Control189</t>
  </si>
  <si>
    <t>Control239</t>
  </si>
  <si>
    <t>Control258</t>
  </si>
  <si>
    <t>Fear187</t>
  </si>
  <si>
    <t>Fear197</t>
  </si>
  <si>
    <t>dyer16 </t>
  </si>
  <si>
    <t>dyer </t>
  </si>
  <si>
    <t>lee16 </t>
  </si>
  <si>
    <t>lee</t>
  </si>
  <si>
    <t>https://api.bossdb.io/v1/mgmt/resources/lee/lee16</t>
  </si>
  <si>
    <t>bloss16 </t>
  </si>
  <si>
    <t>bloss </t>
  </si>
  <si>
    <t>https://api.bossdb.io/v1/mgmt/resources/bloss/bloss16</t>
  </si>
  <si>
    <t>Webpage not found</t>
  </si>
  <si>
    <t>Webpage not available</t>
  </si>
  <si>
    <t>https://api.bossdb.io/v1/mgmt/resources/ZBrain/</t>
  </si>
  <si>
    <t>Not Public Information</t>
  </si>
  <si>
    <t>apical</t>
  </si>
  <si>
    <t>anno</t>
  </si>
  <si>
    <t>kharris15</t>
  </si>
  <si>
    <t>https://api.bossdb.io/v1/mgmt/resources/kharris15</t>
  </si>
  <si>
    <t>oblique</t>
  </si>
  <si>
    <t>spine</t>
  </si>
  <si>
    <t xml:space="preserve">ritaN2 </t>
  </si>
  <si>
    <t xml:space="preserve">bhatla </t>
  </si>
  <si>
    <t>https://api.bossdb.io/v1/mgmt/resources/bhatla/ritaN2</t>
  </si>
  <si>
    <t>ac4</t>
  </si>
  <si>
    <t>Kasthuri</t>
  </si>
  <si>
    <t>https://api.bossdb.io/v1/mgmt/resources/Kasthuri</t>
  </si>
  <si>
    <t>emblack</t>
  </si>
  <si>
    <t>membrane</t>
  </si>
  <si>
    <t>neuron</t>
  </si>
  <si>
    <t>synapse</t>
  </si>
  <si>
    <t>connectomics2019_results</t>
  </si>
  <si>
    <t xml:space="preserve">NA </t>
  </si>
  <si>
    <t>NA</t>
  </si>
  <si>
    <t>I2G_Membranes_i_Pub</t>
  </si>
  <si>
    <t xml:space="preserve">I2G_Synapses_i_Pub </t>
  </si>
  <si>
    <t>images</t>
  </si>
  <si>
    <t>mitochondria_raw</t>
  </si>
  <si>
    <t>release2015 </t>
  </si>
  <si>
    <t>bigbrain</t>
  </si>
  <si>
    <t>https://api.bossdb.io/v1/mgmt/resources/bigbrain/release2015</t>
  </si>
  <si>
    <t>acardona_0111_8__12_03_2017</t>
  </si>
  <si>
    <t xml:space="preserve">image </t>
  </si>
  <si>
    <t>cardona</t>
  </si>
  <si>
    <t>acardona_abd1_5</t>
  </si>
  <si>
    <t>collman14v2</t>
  </si>
  <si>
    <t xml:space="preserve">annotation </t>
  </si>
  <si>
    <t>collman</t>
  </si>
  <si>
    <t>https://api.bossdb.io/v1/mgmt/resources/collman</t>
  </si>
  <si>
    <t xml:space="preserve"> bIIItubulin</t>
  </si>
  <si>
    <t xml:space="preserve">DAPI_2nd </t>
  </si>
  <si>
    <t>DAPI_3rd</t>
  </si>
  <si>
    <t>EM10K</t>
  </si>
  <si>
    <t xml:space="preserve">GABA </t>
  </si>
  <si>
    <t>GAD2</t>
  </si>
  <si>
    <t>gephyrin</t>
  </si>
  <si>
    <t>NR1</t>
  </si>
  <si>
    <t>PSDr</t>
  </si>
  <si>
    <t>collman15v2</t>
  </si>
  <si>
    <t>DAPI1st</t>
  </si>
  <si>
    <t>DAPI2nd</t>
  </si>
  <si>
    <t>DAPI3rd</t>
  </si>
  <si>
    <t>EM25K</t>
  </si>
  <si>
    <t>EM2k</t>
  </si>
  <si>
    <t>GABA488</t>
  </si>
  <si>
    <t>GAD647</t>
  </si>
  <si>
    <t>gephyrin594</t>
  </si>
  <si>
    <t>GS594</t>
  </si>
  <si>
    <t>Ex10R55</t>
  </si>
  <si>
    <t xml:space="preserve">Arc_5 </t>
  </si>
  <si>
    <t>weiler14</t>
  </si>
  <si>
    <t>https://api.bossdb.io/v1/mgmt/resources/weiler14/</t>
  </si>
  <si>
    <t xml:space="preserve"> Calbindin_7</t>
  </si>
  <si>
    <t>DAPI_1</t>
  </si>
  <si>
    <t>DAPI_2</t>
  </si>
  <si>
    <t>DAPI_3</t>
  </si>
  <si>
    <t>DAPI_4</t>
  </si>
  <si>
    <t>DAPI_5</t>
  </si>
  <si>
    <t>DAPI_6</t>
  </si>
  <si>
    <t>DAPI_7</t>
  </si>
  <si>
    <t>DAPI_8</t>
  </si>
  <si>
    <t>Ex12R75</t>
  </si>
  <si>
    <t>GABAARa1_6</t>
  </si>
  <si>
    <t>GAD2_3</t>
  </si>
  <si>
    <t>Gephyrin_2</t>
  </si>
  <si>
    <t xml:space="preserve">GluR1_4 </t>
  </si>
  <si>
    <t>Ex12R76</t>
  </si>
  <si>
    <t>takemura13 </t>
  </si>
  <si>
    <t>takemura</t>
  </si>
  <si>
    <t>https://api.bossdb.io/v1/mgmt/resources/takemura/takemura13</t>
  </si>
  <si>
    <t>mouse_retina </t>
  </si>
  <si>
    <t xml:space="preserve">080823_e2006_mouseHRP_mag1 </t>
  </si>
  <si>
    <t>helmstaedter13 </t>
  </si>
  <si>
    <t xml:space="preserve"> e2006_segmentation_recol</t>
  </si>
  <si>
    <t>helmstaedter13</t>
  </si>
  <si>
    <t>bumbarger13</t>
  </si>
  <si>
    <t xml:space="preserve">bumbarger  </t>
  </si>
  <si>
    <t>https://api.bossdb.io/v1/mgmt/resources/bumbarger/bumbarger13</t>
  </si>
  <si>
    <t>bock11 </t>
  </si>
  <si>
    <t>bock </t>
  </si>
  <si>
    <t>https://api.bossdb.io/v1/mgmt/resources/bock/bock11</t>
  </si>
  <si>
    <t>ID</t>
  </si>
  <si>
    <t>Experiment Name</t>
  </si>
  <si>
    <t>SampleType</t>
  </si>
  <si>
    <t>SpeciesCommonName</t>
  </si>
  <si>
    <t>SpeciesTaxonomyID</t>
  </si>
  <si>
    <t>Genotype</t>
  </si>
  <si>
    <t>SubjectID</t>
  </si>
  <si>
    <t>Age</t>
  </si>
  <si>
    <t>Sex</t>
  </si>
  <si>
    <t>Modality</t>
  </si>
  <si>
    <t>Technique</t>
  </si>
  <si>
    <t>SubspecimenType</t>
  </si>
  <si>
    <t>SubspecimenQuantity</t>
  </si>
  <si>
    <t>Investigator</t>
  </si>
  <si>
    <t>BICCNDeliveryQuarter</t>
  </si>
  <si>
    <t>Protocol</t>
  </si>
  <si>
    <t>DataCreated</t>
  </si>
  <si>
    <t>DateModified</t>
  </si>
  <si>
    <t>Version</t>
  </si>
  <si>
    <t>Channels</t>
  </si>
  <si>
    <t>AAA378</t>
  </si>
  <si>
    <t>tissue sample</t>
  </si>
  <si>
    <t>C. elegans</t>
  </si>
  <si>
    <t>NCBI:txid6239</t>
  </si>
  <si>
    <t>AAA379</t>
  </si>
  <si>
    <t>Unknown</t>
  </si>
  <si>
    <t>anatomy</t>
  </si>
  <si>
    <t>Has not been assigned</t>
  </si>
  <si>
    <t>Ben Mulcahy</t>
  </si>
  <si>
    <t>2022Q3</t>
  </si>
  <si>
    <t>dx.doi.org/xyz/protocols.io.happygoodproject</t>
  </si>
  <si>
    <t>x/x/xxxx</t>
  </si>
  <si>
    <t>AAA380</t>
  </si>
  <si>
    <t>Ben Mulcahy</t>
  </si>
  <si>
    <t>AAA381</t>
  </si>
  <si>
    <t>AAA382</t>
  </si>
  <si>
    <t>AAA383</t>
  </si>
  <si>
    <t>mouse</t>
  </si>
  <si>
    <t>NCBI:txid10090</t>
  </si>
  <si>
    <t>AAA384</t>
  </si>
  <si>
    <t>Male</t>
  </si>
  <si>
    <t>Scanning Electron Microscope</t>
  </si>
  <si>
    <t>Gregg Wildenberg</t>
  </si>
  <si>
    <t>AAA385</t>
  </si>
  <si>
    <t>AAA386</t>
  </si>
  <si>
    <t>AAA387</t>
  </si>
  <si>
    <t>AAA388</t>
  </si>
  <si>
    <t>AAA389</t>
  </si>
  <si>
    <t>AAA390</t>
  </si>
  <si>
    <t>AAA391</t>
  </si>
  <si>
    <t>AAA392</t>
  </si>
  <si>
    <t>AAA393</t>
  </si>
  <si>
    <t>AAA394</t>
  </si>
  <si>
    <t>AAA395</t>
  </si>
  <si>
    <t>AAA396</t>
  </si>
  <si>
    <t>AAA397</t>
  </si>
  <si>
    <t>Christophe P Ribelayga</t>
  </si>
  <si>
    <t>FIB-SEM of the outer plexiform layer in light-adapted mouse retina.</t>
  </si>
  <si>
    <t>AAA398</t>
  </si>
  <si>
    <t>FlyWire</t>
  </si>
  <si>
    <t>fly</t>
  </si>
  <si>
    <t>NCBI:txid7215</t>
  </si>
  <si>
    <t>AAA399</t>
  </si>
  <si>
    <t>Transmission Electron Microscope</t>
  </si>
  <si>
    <t>H. Sebastian Seung</t>
  </si>
  <si>
    <t>AAA400</t>
  </si>
  <si>
    <t>Dataset_1</t>
  </si>
  <si>
    <t>AAA401</t>
  </si>
  <si>
    <t>sTEM</t>
  </si>
  <si>
    <t>Daniel Witvliet</t>
  </si>
  <si>
    <t>ATUM-SEM volume of a hermaphroditic wildtype (N2) C. elegans L1 larva brain prepared by high-pressure freezing midway through to the L2 larval stage. BossDB ingest by @j6m8.</t>
  </si>
  <si>
    <t>Dataset_1_Segmentation</t>
  </si>
  <si>
    <t>AAA402</t>
  </si>
  <si>
    <t>Created with intern</t>
  </si>
  <si>
    <t>Dataset_2</t>
  </si>
  <si>
    <t>AAA403</t>
  </si>
  <si>
    <t>TEM volume of a hermaphroditic wildtype (N2) C. elegans L1 larva brain prepared by high-pressure freezing shortly after hatching. BossDB ingest by @j6m8.</t>
  </si>
  <si>
    <t>Dataset_2_Segmentation</t>
  </si>
  <si>
    <t>AAA404</t>
  </si>
  <si>
    <t>Dataset_3</t>
  </si>
  <si>
    <t>AAA405</t>
  </si>
  <si>
    <t>Dataset_3_Segmentation</t>
  </si>
  <si>
    <t>AAA406</t>
  </si>
  <si>
    <t>Dataset_4</t>
  </si>
  <si>
    <t>AAA407</t>
  </si>
  <si>
    <t>ATUM-SEM volume of a hermaphroditic wildtype (N2) C. elegans L1 larva brain prepared by high-pressure shortly before entering the L2 larval stage. BossDB ingest by @j6m8.</t>
  </si>
  <si>
    <t>Dataset_4_Segmentation</t>
  </si>
  <si>
    <t>AAA408</t>
  </si>
  <si>
    <t>Dataset_5</t>
  </si>
  <si>
    <t>AAA409</t>
  </si>
  <si>
    <t>ATUM-SEM volume of a hermaphroditic wildtype (N2) C. elegans L2 larva brain prepared by high-pressure. BossDB ingest by @j6m8.</t>
  </si>
  <si>
    <t>Dataset_5_Segmentation</t>
  </si>
  <si>
    <t>AAA410</t>
  </si>
  <si>
    <t>Dataset_6</t>
  </si>
  <si>
    <t>AAA411</t>
  </si>
  <si>
    <t>TEM volume of a hermaphroditic wildtype (N2) C. elegans L3 larva brain prepared by high-pressure. The images are aligned. One missing image represents a broken section. BossDB ingest by @j6m8.</t>
  </si>
  <si>
    <t>Dataset_6_Segmentation</t>
  </si>
  <si>
    <t>AAA412</t>
  </si>
  <si>
    <t>Dataset_7</t>
  </si>
  <si>
    <t>AAA413</t>
  </si>
  <si>
    <t>TEM volume of a hermaphroditic wildtype (N2) C. elegans adult brain prepared by high-pressure. BossDB ingest by @j6m8.</t>
  </si>
  <si>
    <t>Dataset_8</t>
  </si>
  <si>
    <t>AAA414</t>
  </si>
  <si>
    <t>ATUM-SEM volume of a hermaphroditic wildtype (N2) C. elegans adult brain prepared by high-pressure.Six missing images represent broken sections. BossDB ingest by @j6m8.</t>
  </si>
  <si>
    <t>Dataset_8_Segmentation</t>
  </si>
  <si>
    <t>AAA415</t>
  </si>
  <si>
    <t>IARPA MICrONS Pinky100</t>
  </si>
  <si>
    <t>basil</t>
  </si>
  <si>
    <t>AAA416</t>
  </si>
  <si>
    <t>basil_8x8x40</t>
  </si>
  <si>
    <t>AAA417</t>
  </si>
  <si>
    <t>intermeuron_8x8x40</t>
  </si>
  <si>
    <t>AAA418</t>
  </si>
  <si>
    <t>AAA419</t>
  </si>
  <si>
    <t>AAA420</t>
  </si>
  <si>
    <t>AAA421</t>
  </si>
  <si>
    <t>AAA422</t>
  </si>
  <si>
    <t>AAA423</t>
  </si>
  <si>
    <t>Eviatar Yemini</t>
  </si>
  <si>
    <t>AAA424</t>
  </si>
  <si>
    <t>AAA425</t>
  </si>
  <si>
    <t>AAA426</t>
  </si>
  <si>
    <t>AAA427</t>
  </si>
  <si>
    <t>AAA428</t>
  </si>
  <si>
    <t>AAA429</t>
  </si>
  <si>
    <t>AAA430</t>
  </si>
  <si>
    <t>AAA431</t>
  </si>
  <si>
    <t>AAA432</t>
  </si>
  <si>
    <t>AAA433</t>
  </si>
  <si>
    <t>Female</t>
  </si>
  <si>
    <t>Wei-Chung Allen Lee</t>
  </si>
  <si>
    <t>drosophila_brain_120nm</t>
  </si>
  <si>
    <t>fly|mouse</t>
  </si>
  <si>
    <t>NCBI:txid7215|NCBI:txid10090</t>
  </si>
  <si>
    <t>AAA434</t>
  </si>
  <si>
    <t>X-ray holographic nanotomography</t>
  </si>
  <si>
    <t>Alexandra Pacureanu|wei-Chung Allen Lee</t>
  </si>
  <si>
    <t>drosophila_leg_75nm</t>
  </si>
  <si>
    <t>AAA435</t>
  </si>
  <si>
    <t>drosophila_VNC_50nm</t>
  </si>
  <si>
    <t>fly/mouse</t>
  </si>
  <si>
    <t>AAA436</t>
  </si>
  <si>
    <t>mouse_cortex_30nm</t>
  </si>
  <si>
    <t>AAA437</t>
  </si>
  <si>
    <t>mouse_cortex_40nm</t>
  </si>
  <si>
    <t>AAA438</t>
  </si>
  <si>
    <t>Prasad et al. 2020</t>
  </si>
  <si>
    <t>prasad_analysis</t>
  </si>
  <si>
    <t>AAA439</t>
  </si>
  <si>
    <t xml:space="preserve">
X-ray microscope</t>
  </si>
  <si>
    <t>Eva L. Dyer</t>
  </si>
  <si>
    <t>prasad2020</t>
  </si>
  <si>
    <t>AAA440</t>
  </si>
  <si>
    <t>Ign</t>
  </si>
  <si>
    <t>AAA441</t>
  </si>
  <si>
    <t>Electron microscope</t>
  </si>
  <si>
    <t>Wafer_3</t>
  </si>
  <si>
    <t>AAA442</t>
  </si>
  <si>
    <t>Silicon Wafers|Electron microscope</t>
  </si>
  <si>
    <t>Wafer1</t>
  </si>
  <si>
    <t>AAA443</t>
  </si>
  <si>
    <t>Wafer3</t>
  </si>
  <si>
    <t>AAA444</t>
  </si>
  <si>
    <t>Wilson et al. 2019</t>
  </si>
  <si>
    <t>P3</t>
  </si>
  <si>
    <t>AAA445</t>
  </si>
  <si>
    <t>Alyssa Michelle Wilson</t>
  </si>
  <si>
    <t>P7</t>
  </si>
  <si>
    <t>AAA446</t>
  </si>
  <si>
    <t>Unknwon</t>
  </si>
  <si>
    <t>Branch et al. 2018</t>
  </si>
  <si>
    <t>dentateECcagGFP3</t>
  </si>
  <si>
    <t>AAA447</t>
  </si>
  <si>
    <t>Joshua T. Vogelstein</t>
  </si>
  <si>
    <t>Bloss et al. 2018</t>
  </si>
  <si>
    <t>bloss16</t>
  </si>
  <si>
    <t>AAA448</t>
  </si>
  <si>
    <t>Nelson Spruston</t>
  </si>
  <si>
    <t>bloss18</t>
  </si>
  <si>
    <t>AAA449</t>
  </si>
  <si>
    <t>shifted down 1 plane in the z axis (in comparison to neurodata)</t>
  </si>
  <si>
    <t>drosophilia_melanogaster_third_instar_larva</t>
  </si>
  <si>
    <t>AAA450</t>
  </si>
  <si>
    <t>Dyer et. al. 2017</t>
  </si>
  <si>
    <t>bossdb://XBrainGTech5/Proj4/cells_Pub</t>
  </si>
  <si>
    <t>Tissue sample</t>
  </si>
  <si>
    <t>Mouse</t>
  </si>
  <si>
    <t>Adult</t>
  </si>
  <si>
    <t>Anatomy</t>
  </si>
  <si>
    <t>X-Ray Microtomography</t>
  </si>
  <si>
    <t>Eva Dyer</t>
  </si>
  <si>
    <t>bossdb://XBrainGTech5/Proj4/full_vol</t>
  </si>
  <si>
    <t>bossdb://XBrainGTech5/Proj4/vessels_Pub</t>
  </si>
  <si>
    <t>Allen Institute 2017 </t>
  </si>
  <si>
    <t>bossdb://ara_2016/sagittal_100um/annotation_100um_2016</t>
  </si>
  <si>
    <t>Young dult (56 days old)</t>
  </si>
  <si>
    <t>Situ hybridization and ISH anatomic mapping</t>
  </si>
  <si>
    <t>Allen Institute for Brain Science</t>
  </si>
  <si>
    <t>bossdb://ara_2016/sagittal_100um/annotation_100um_2017</t>
  </si>
  <si>
    <t>bossdb://ara_2016/sagittal_100um/average_100um</t>
  </si>
  <si>
    <t>bossdb://ara_2016/sagittal_10um/annotation_10um_2017</t>
  </si>
  <si>
    <t>bossdb://ara_2016/sagittal_10um/average_10um</t>
  </si>
  <si>
    <t>bossdb://ara_2016/sagittal_10um/nissl_10um</t>
  </si>
  <si>
    <t>bossdb://ara_2016/sagittal_25um/annotation_25um_2016</t>
  </si>
  <si>
    <t>bossdb://ara_2016/sagittal_25um/annotation_25um_2017</t>
  </si>
  <si>
    <t>bossdb://ara_2016/sagittal_25um/average_25um</t>
  </si>
  <si>
    <t xml:space="preserve">bossdb://ara_2016/sagittal_25um/nissl_25um </t>
  </si>
  <si>
    <t>bossdb://ara_2016/sagittal_50um/annotation_50um</t>
  </si>
  <si>
    <t>bossdb://ara_2016/sagittal_50um/ average_50um</t>
  </si>
  <si>
    <t>bossdb://ara_2016/sagittal_50um/nissl_50um</t>
  </si>
  <si>
    <t>Hildebrand et al. 2017</t>
  </si>
  <si>
    <t>bossdb://hildebrand/120809zf104/151009</t>
  </si>
  <si>
    <t>Zebrafish</t>
  </si>
  <si>
    <t>NCBI:txid7955</t>
  </si>
  <si>
    <t>Larval</t>
  </si>
  <si>
    <t>Electron microscopy</t>
  </si>
  <si>
    <t>bossdb://hildebrand/130201zf142/160515_SWiFT_60nmpx</t>
  </si>
  <si>
    <t>Wanner et al. 2016</t>
  </si>
  <si>
    <t>bossdb://wanner16/AA201605/SBEM1</t>
  </si>
  <si>
    <t>Serial block face scanning EM</t>
  </si>
  <si>
    <t>Adrian A. Wanner</t>
  </si>
  <si>
    <t>bossdb://kristina15/image/5HT1A_6th</t>
  </si>
  <si>
    <t>Young adults</t>
  </si>
  <si>
    <t>Multi-channel array tomography</t>
  </si>
  <si>
    <t>Kristina D. Micheva</t>
  </si>
  <si>
    <t>bossdb://kristina15/image/CR1_2ndA</t>
  </si>
  <si>
    <t>Kristina D Micheva</t>
  </si>
  <si>
    <t xml:space="preserve">bossdb://kristina15/image/dapi_1stA </t>
  </si>
  <si>
    <t xml:space="preserve">bossdb://kristina15/image/GABABR1_3rdA </t>
  </si>
  <si>
    <t xml:space="preserve">bossdb://kristina15/image/GABARa1_4thA </t>
  </si>
  <si>
    <t>bossdb://kristina15/image/GAD_6thA</t>
  </si>
  <si>
    <t>bossdb://kristina15/image/gephyrin_1stA</t>
  </si>
  <si>
    <t>bossdb://kristina15/image/GluR2_2ndA</t>
  </si>
  <si>
    <t>bossdb://kristina15/image/NMDAR1_6thA</t>
  </si>
  <si>
    <t>bossdb://kristina15/image/NOS_9thA</t>
  </si>
  <si>
    <t>bossdb://kutten/Cocaine174 /Grayscale</t>
  </si>
  <si>
    <t>CLARITY method</t>
  </si>
  <si>
    <t>Kwame S. Kutten</t>
  </si>
  <si>
    <t>bossdb://kutten/Cocaine175/Grayscale</t>
  </si>
  <si>
    <t>bossdb://kutten/Cocaine178/Grayscale</t>
  </si>
  <si>
    <t>bossdb://kutten/Control181/Grayscale</t>
  </si>
  <si>
    <t>bossdb://kutten/Control182/Grayscale</t>
  </si>
  <si>
    <t>bossdb://kutten/Control189/Grayscale</t>
  </si>
  <si>
    <t>bossdb://kutten/Control239/Grayscale</t>
  </si>
  <si>
    <t>bossdb://kutten/Control258/Grayscale</t>
  </si>
  <si>
    <t>bossdb://kutten/Fear187/Grayscale</t>
  </si>
  <si>
    <t>bossdb://kutten/Fear197/Grayscale</t>
  </si>
  <si>
    <t>Dyer et al. 2016</t>
  </si>
  <si>
    <t>bossdb://dyer /dyer16 /image</t>
  </si>
  <si>
    <t>X-ray microtomography</t>
  </si>
  <si>
    <t>Lee et al. 2016</t>
  </si>
  <si>
    <t>bossdb://lee/lee16 /image</t>
  </si>
  <si>
    <t>Erik B.Bloss</t>
  </si>
  <si>
    <t>Bloss et al. 2016</t>
  </si>
  <si>
    <t>bossdb://bloss /bloss16 /channel0</t>
  </si>
  <si>
    <t>10-12 weeks</t>
  </si>
  <si>
    <t>Light-electron microscopy</t>
  </si>
  <si>
    <t>Janelia Research Campus</t>
  </si>
  <si>
    <t>bossdb://bloss /bloss16 /channel1</t>
  </si>
  <si>
    <t>bossdb://bloss /bloss16 /channel2</t>
  </si>
  <si>
    <t>bossdb://bloss /bloss16 /channel3</t>
  </si>
  <si>
    <t>bossdb://Webpage not available/Webpage not found/Webpage not available</t>
  </si>
  <si>
    <t>Larvae and Adult</t>
  </si>
  <si>
    <t>MAP-mapping</t>
  </si>
  <si>
    <t>Owen Randlett</t>
  </si>
  <si>
    <t>Harris et al. 2015</t>
  </si>
  <si>
    <t>bossdb://kharris15/apical/anno</t>
  </si>
  <si>
    <t>Rat</t>
  </si>
  <si>
    <t>NCBI:txid10114</t>
  </si>
  <si>
    <t>3D electron microscopy</t>
  </si>
  <si>
    <t>Kristen M. Harris</t>
  </si>
  <si>
    <t>bossdb://kharris15/apical/em</t>
  </si>
  <si>
    <t>bossdb://kharris15/oblique/anno</t>
  </si>
  <si>
    <t>bossdb://kharris15/oblique/em</t>
  </si>
  <si>
    <t>bossdb://kharris15/spine/anno</t>
  </si>
  <si>
    <t>bossdb://kharris15/spine/em</t>
  </si>
  <si>
    <t>bossdb://bhatla /ritaN2 /annotation</t>
  </si>
  <si>
    <t>Caenorhabditis elegans</t>
  </si>
  <si>
    <t xml:space="preserve"> Serial section transmission electron microscopy (ssTEM) imaging, digital alignment and manual tracing</t>
  </si>
  <si>
    <t>Nikhil Bhatla</t>
  </si>
  <si>
    <t>Howard Hughes Medical Institute</t>
  </si>
  <si>
    <t>bossdb://bhatla /ritaN2 /image</t>
  </si>
  <si>
    <t>bossdb://Kasthuri/ac4/em</t>
  </si>
  <si>
    <t>Young adult</t>
  </si>
  <si>
    <t>Tape-based pipeline for electron microscopic reconstruction</t>
  </si>
  <si>
    <t xml:space="preserve">Narayanan Kasthuri </t>
  </si>
  <si>
    <t>bossdb://Kasthuri/ac4/emblack</t>
  </si>
  <si>
    <t>bossdb://Kasthuri/ac4/membrane</t>
  </si>
  <si>
    <t>bossdb://Kasthuri/ac4/neuron</t>
  </si>
  <si>
    <t>bossdb://Kasthuri/ac4/synapse</t>
  </si>
  <si>
    <t xml:space="preserve">bossdb://Kasthuri/connectomics2019_results/NA </t>
  </si>
  <si>
    <t>bossdb://Kasthuri/em/I2G_Membranes_i_Pub</t>
  </si>
  <si>
    <t xml:space="preserve">bossdb://Kasthuri/em/I2G_Synapses_i_Pub </t>
  </si>
  <si>
    <t>bossdb://Kasthuri/em/images</t>
  </si>
  <si>
    <t>bossdb://Kasthuri/em/mitochondria_raw</t>
  </si>
  <si>
    <t xml:space="preserve">bossdb://Kasthuri/em/NA </t>
  </si>
  <si>
    <t>bossdb://bigbrain/release2015 /image</t>
  </si>
  <si>
    <t>Human</t>
  </si>
  <si>
    <t>NCBI:txid9606</t>
  </si>
  <si>
    <t>Ultrahigh-resolution three-dimensional model at 20 micrometer resolution</t>
  </si>
  <si>
    <t>Katrin Amunts</t>
  </si>
  <si>
    <t>Ohyama et al 2015</t>
  </si>
  <si>
    <t xml:space="preserve">bossdb://cardona/acardona_0111_8__12_03_2017/image </t>
  </si>
  <si>
    <t>Drosophila</t>
  </si>
  <si>
    <t>Multilevel multimodal convergence architecture</t>
  </si>
  <si>
    <t>Tomoko Ohyama</t>
  </si>
  <si>
    <t xml:space="preserve">bossdb://cardona/acardona_abd1_5/image </t>
  </si>
  <si>
    <t>Collman et al. 2015</t>
  </si>
  <si>
    <t xml:space="preserve">bossdb://collman/collman14v2/annotation </t>
  </si>
  <si>
    <t>Forrest Collman</t>
  </si>
  <si>
    <t>bossdb://collman/collman14v2/ bIIItubulin</t>
  </si>
  <si>
    <t xml:space="preserve">bossdb://collman/collman14v2/DAPI_2nd </t>
  </si>
  <si>
    <t>bossdb://collman/collman14v2/DAPI_3rd</t>
  </si>
  <si>
    <t>bossdb://collman/collman14v2/EM10K</t>
  </si>
  <si>
    <t xml:space="preserve">bossdb://collman/collman14v2/GABA </t>
  </si>
  <si>
    <t>bossdb://collman/collman14v2/GAD2</t>
  </si>
  <si>
    <t>bossdb://collman/collman14v2/gephyrin</t>
  </si>
  <si>
    <t>bossdb://collman/collman14v2/NR1</t>
  </si>
  <si>
    <t>bossdb://collman/collman14v2/PSDr</t>
  </si>
  <si>
    <t>bossdb://collman/collman15v2/annotation</t>
  </si>
  <si>
    <t>bossdb://collman/collman15v2/DAPI1st</t>
  </si>
  <si>
    <t>bossdb://collman/collman15v2/DAPI2nd</t>
  </si>
  <si>
    <t>bossdb://collman/collman15v2/DAPI3rd</t>
  </si>
  <si>
    <t>bossdb://collman/collman15v2/EM25K</t>
  </si>
  <si>
    <t>bossdb://collman/collman15v2/EM2k</t>
  </si>
  <si>
    <t>bossdb://collman/collman15v2/GABA488</t>
  </si>
  <si>
    <t>bossdb://collman/collman15v2/GAD647</t>
  </si>
  <si>
    <t>bossdb://collman/collman15v2/gephyrin594</t>
  </si>
  <si>
    <t>bossdb://collman/collman15v2/GS594</t>
  </si>
  <si>
    <t>Weiler et al 2014</t>
  </si>
  <si>
    <t xml:space="preserve">bossdb://weiler14/Ex10R55/Arc_5 </t>
  </si>
  <si>
    <t>Array tomography (ATomo) and columnar organization to create high resolution volumetric images</t>
  </si>
  <si>
    <t>Nicholas C Weiler</t>
  </si>
  <si>
    <t>bossdb://weiler14/Ex10R55/ Calbindin_7</t>
  </si>
  <si>
    <t>bossdb://weiler14/Ex10R55/DAPI_1</t>
  </si>
  <si>
    <t>bossdb://weiler14/Ex10R55/DAPI_2</t>
  </si>
  <si>
    <t>bossdb://weiler14/Ex10R55/DAPI_3</t>
  </si>
  <si>
    <t>bossdb://weiler14/Ex10R55/DAPI_4</t>
  </si>
  <si>
    <t>bossdb://weiler14/Ex10R55/DAPI_5</t>
  </si>
  <si>
    <t>bossdb://weiler14/Ex10R55/DAPI_6</t>
  </si>
  <si>
    <t>bossdb://weiler14/Ex10R55/DAPI_7</t>
  </si>
  <si>
    <t>bossdb://weiler14/Ex10R55/DAPI_8</t>
  </si>
  <si>
    <t>bossdb://weiler14/Ex12R75/DAPI_1</t>
  </si>
  <si>
    <t>bossdb://weiler14/Ex12R75/DAPI_2</t>
  </si>
  <si>
    <t>bossdb://weiler14/Ex12R75/DAPI_3</t>
  </si>
  <si>
    <t>bossdb://weiler14/Ex12R75/DAPI_4</t>
  </si>
  <si>
    <t>bossdb://weiler14/Ex12R75/DAPI_5</t>
  </si>
  <si>
    <t>bossdb://weiler14/Ex12R75/DAPI_6</t>
  </si>
  <si>
    <t>bossdb://weiler14/Ex12R75/GABAARa1_6</t>
  </si>
  <si>
    <t>bossdb://weiler14/Ex12R75/GAD2_3</t>
  </si>
  <si>
    <t>bossdb://weiler14/Ex12R75/Gephyrin_2</t>
  </si>
  <si>
    <t xml:space="preserve">bossdb://weiler14/Ex12R75/GluR1_4 </t>
  </si>
  <si>
    <t>bossdb://weiler14/Ex12R76/DAPI_1</t>
  </si>
  <si>
    <t>bossdb://weiler14/Ex12R76/DAPI_2</t>
  </si>
  <si>
    <t>bossdb://weiler14/Ex12R76/DAPI_3</t>
  </si>
  <si>
    <t>bossdb://weiler14/Ex12R76/DAPI_4</t>
  </si>
  <si>
    <t>bossdb://weiler14/Ex12R76/DAPI_5</t>
  </si>
  <si>
    <t>bossdb://weiler14/Ex12R76/DAPI_6</t>
  </si>
  <si>
    <t>bossdb://weiler14/Ex12R76/GABAARa1_6</t>
  </si>
  <si>
    <t>bossdb://weiler14/Ex12R76/Gephyrin_2</t>
  </si>
  <si>
    <t xml:space="preserve">bossdb://weiler14/Ex12R76/GluR1_4 </t>
  </si>
  <si>
    <t>Takemura et al. 2013</t>
  </si>
  <si>
    <t>bossdb://takemura/takemura13 /image</t>
  </si>
  <si>
    <t>Semi-automated pipeline using electron microscopy</t>
  </si>
  <si>
    <t>Shin-ya Takemura</t>
  </si>
  <si>
    <t>Janelia Farm Research Campus</t>
  </si>
  <si>
    <t>Helmstaedter et al. 2013</t>
  </si>
  <si>
    <t xml:space="preserve">bossdb://helmstaedter13 /mouse_retina /080823_e2006_mouseHRP_mag1 </t>
  </si>
  <si>
    <t>Manual annotation and electron microscopy</t>
  </si>
  <si>
    <t>Moritz Helmstaedter</t>
  </si>
  <si>
    <t>bossdb://helmstaedter13/mouse_retina / e2006_segmentation_recol</t>
  </si>
  <si>
    <t>Bumbarger et al. 2013</t>
  </si>
  <si>
    <t>bossdb://bumbarger  /bumbarger13/image</t>
  </si>
  <si>
    <t>Transmission electron microscopy</t>
  </si>
  <si>
    <t>Daniel J.Bumbarger</t>
  </si>
  <si>
    <t>Max-Planck-Institute for Developmental Biology</t>
  </si>
  <si>
    <t>Bock et al. 2011</t>
  </si>
  <si>
    <t>bossdb://bock /bock11 /image</t>
  </si>
  <si>
    <t>Electron microscopy and two-photon microscopy</t>
  </si>
  <si>
    <t>Davi D. Bock</t>
  </si>
  <si>
    <t>Name</t>
  </si>
  <si>
    <t>Title</t>
  </si>
  <si>
    <t>Organization</t>
  </si>
  <si>
    <t>GrantNumber</t>
  </si>
  <si>
    <t>R24Name</t>
  </si>
  <si>
    <t>R24Link</t>
  </si>
  <si>
    <t>Species</t>
  </si>
  <si>
    <t>Experiments</t>
  </si>
  <si>
    <t>mucahy2022</t>
  </si>
  <si>
    <t>bossdb://mucahy2022/</t>
  </si>
  <si>
    <t>Post-embryonic remodeling of the C. elegans motor circuit</t>
  </si>
  <si>
    <t>Three full and two partial electron microscopy volumes of the C. elegans body across the first and second larval stages.</t>
  </si>
  <si>
    <t>CC_BY 4.0</t>
  </si>
  <si>
    <t>BossDB</t>
  </si>
  <si>
    <t>https://biccn.bossdb.org/</t>
  </si>
  <si>
    <t>micron</t>
  </si>
  <si>
    <t>IARPA MICrONS Basil</t>
  </si>
  <si>
    <t>bossdb://microns/</t>
  </si>
  <si>
    <t>Community-based benchmarking improves spike rate inference from two-photon calcium imaging data</t>
  </si>
  <si>
    <t>High-resolution electron microscopy, segmentation, and morphological reconstruction of cortical circuits within the visual cortex of mouse.</t>
  </si>
  <si>
    <t>wilderberg2021</t>
  </si>
  <si>
    <t>bossdb://wilderberg2021/</t>
  </si>
  <si>
    <t>Partial connectomes of labeled dopaminergic circuits reveal non-synaptic communication and axonal remodeling after exposure to cocaine.</t>
  </si>
  <si>
    <t>Combined genetic labeling and connectomics of dopamine axons to reveal wiring properties and rewiring affects caused by cocaine.</t>
  </si>
  <si>
    <t>U01 MH109100</t>
  </si>
  <si>
    <t>ishibashi2021</t>
  </si>
  <si>
    <t>bossdb://ishibashi2021/</t>
  </si>
  <si>
    <t>Analysis of Rod/Cone Gap Junctions from the Reconstruction of Mouse Photoreceptor Terminals.</t>
  </si>
  <si>
    <t>Two FIB-SEM (focused ion beam-scanning electron microscopy) data sets of mouse OPL (the outer plexiform layer) with an isotropic resolution of 4nm, permitting imaging of electron-dense gap junctions</t>
  </si>
  <si>
    <t>EY017836</t>
  </si>
  <si>
    <t>flywire</t>
  </si>
  <si>
    <t>bossdb://flywire/</t>
  </si>
  <si>
    <t>FlyWire: online community for whole-brain connectomics</t>
  </si>
  <si>
    <t>A human-AI collaboration to map the fly connectome</t>
  </si>
  <si>
    <t>witvliet2020</t>
  </si>
  <si>
    <t>bossdb://witvliet2020/</t>
  </si>
  <si>
    <t>Connectomes across development reveal principles of brain maturation</t>
  </si>
  <si>
    <t>Eight high-resolution electron microscopy volumes of C. elegans brains at different stages of development, spanning from birth to adulthood.</t>
  </si>
  <si>
    <t>microns</t>
  </si>
  <si>
    <t>Binary and analog variation of synapses between cortical pyramidal neurons</t>
  </si>
  <si>
    <t>NeuroPAL_Left_Right_Views</t>
  </si>
  <si>
    <t>bossdb://NeuroPAL_Left_Right_Views</t>
  </si>
  <si>
    <t>NeuroPAL: A Multicolor Atlas for Whole-Brain Neuronal Identification in C. elegans</t>
  </si>
  <si>
    <t>NeuroPAL C. elegans young-adult hermaphrodites with neuron-type identities annotated for their head and tail Species &amp; ROI: C. elegans young-adult hermaphrodite heads and tails</t>
  </si>
  <si>
    <t>phelps_hildebrand_graham2021/</t>
  </si>
  <si>
    <t>bossdb://phelps_hildebrand_graham2021/</t>
  </si>
  <si>
    <t>Reconstruction of motor control circuits in adult Drosophila using automated transmission electron microscopy</t>
  </si>
  <si>
    <t>A transmission electron microscopy dataset of the ventral nerve cord of an adult female Drosophila melanogaster</t>
  </si>
  <si>
    <t>kuan_phelps2020</t>
  </si>
  <si>
    <t>bossdb://kuan_phelps2020/</t>
  </si>
  <si>
    <t>Dense neuronal reconstruction through X-ray holographic nano-tomography</t>
  </si>
  <si>
    <t>X-ray holographic nano-tomography volumes of mouse somatosenory cortex, drosophila central brain, drosophila VNC, and drosophila leg.</t>
  </si>
  <si>
    <t>R01NS108410</t>
  </si>
  <si>
    <t>prasad</t>
  </si>
  <si>
    <t>bossdb://prasad/</t>
  </si>
  <si>
    <t>A three-dimensional thalamocortical dataset for characterizing brain heterogeneity</t>
  </si>
  <si>
    <t>morgan2020</t>
  </si>
  <si>
    <t>bossdb://morgan2020/</t>
  </si>
  <si>
    <t>An individual interneuron participates in many kinds of inhibition and innervates much of the mouse visual thalamus</t>
  </si>
  <si>
    <t>Serial section electron microscopy volume of the mouse dorsal lateral geniculate nucleus (dLGN).</t>
  </si>
  <si>
    <t>templier</t>
  </si>
  <si>
    <t>bossdb://templier/</t>
  </si>
  <si>
    <t>MagC, magnetic collection of ultrathin sections for volumetric correlative light and electron microscopy</t>
  </si>
  <si>
    <t>wilson2019</t>
  </si>
  <si>
    <t>bossdb://wilson2019/</t>
  </si>
  <si>
    <t>Developmental Rewiring between Cerebellar Climbing Fibers and Purkinje Cells Begins with Positive Feedback Synapse Addition</t>
  </si>
  <si>
    <t>High-resolution electron microscope image volumes from mouse cerebellum at different ages in early postnatal development</t>
  </si>
  <si>
    <t>Abagemouse</t>
  </si>
  <si>
    <t>bossdb://Abagemouse/</t>
  </si>
  <si>
    <t>A community-developed open-source computational ecosystem for big neuro data</t>
  </si>
  <si>
    <t>Adult generated neurons in aging M. musculus</t>
  </si>
  <si>
    <t>1R01NS092474</t>
  </si>
  <si>
    <t>bloss</t>
  </si>
  <si>
    <t>bossdb://bloss/</t>
  </si>
  <si>
    <t>Single excitatory axons form clustered synapses onto CA1 pyramidal cell dendrites</t>
  </si>
  <si>
    <t>gerhard2017</t>
  </si>
  <si>
    <t>bossdb://gerhard2017/</t>
  </si>
  <si>
    <t>Conserved neural circuit structure across Drosophila larval development revealed by comparative connectomics</t>
  </si>
  <si>
    <t>High-resolution transmission electron microscopy volumes of 1st and 3rd instar Drosophila melanogaster larvae</t>
  </si>
  <si>
    <t>bossdb://XBrainGTech5/Proj4/cells_Pub
bossdb://XBrainGTech5/Proj4/full_vol
bossdb://XBrainGTech5/Proj4/vessels_Pub</t>
  </si>
  <si>
    <t>Micro-computed tomography of mouse somatosensory cortex</t>
  </si>
  <si>
    <t>The images provided are micro-computed tomography data collected from 2-BM at Argonne National Laboratory.</t>
  </si>
  <si>
    <t>Not Found</t>
  </si>
  <si>
    <t>bossdb://ara_2016/sagittal_100um/annotation_100um_2016
bossdb://ara_2016/sagittal_100um/annotation_100um_2017
bossdb://ara_2016/sagittal_100um/average_100um
bossdb://ara_2016/sagittal_10um/annotation_10um_2017
bossdb://ara_2016/sagittal_10um/average_10um
bossdb://ara_2016/sagittal_10um/nissl_10um
bossdb://ara_2016/sagittal_25um/annotation_25um_2016
bossdb://ara_2016/sagittal_25um/annotation_25um_2017
bossdb://ara_2016/sagittal_25um/average_25um
bossdb://ara_2016/sagittal_25um/nissl_25um 
bossdb://ara_2016/sagittal_50um/annotation_50um
bossdb://ara_2016/sagittal_50um/ average_50um
bossdb://ara_2016/sagittal_50um/nissl_50um</t>
  </si>
  <si>
    <t>Adult Mouse Reference Atlas</t>
  </si>
  <si>
    <t>Spatial framework for datasets such as in situ hybridization, cell projection maps, and in vitro cell characterization.</t>
  </si>
  <si>
    <t>bossdb://hildebrand/120809zf104/151009
bossdb://hildebrand/130201zf142/160515_SWiFT_60nmpx</t>
  </si>
  <si>
    <t xml:space="preserve">Multi-resolution serial-section electron microscopy </t>
  </si>
  <si>
    <t>The anterior quarter of a 5.5 days post fertilization larval zebrafish.</t>
  </si>
  <si>
    <t>wanner16 / AA201605 </t>
  </si>
  <si>
    <t>Large-scale reconstructions of neuronal populations are critical for structural analyses of neuronal cell types and circuits.</t>
  </si>
  <si>
    <t>Serial block face scanning EM (SBEM) and conductive sample embedding used to acquire an image stack from an olfactory bulb (OB) of a zebrafish larva at a voxel resolution of 9.25 × 9.25 × 25 nm3</t>
  </si>
  <si>
    <t>Multi-channel array tomography data which is barrel cortex from an adult mouse (C57BL/6J).</t>
  </si>
  <si>
    <t>Autogenerated collection for Neurodata Datasets</t>
  </si>
  <si>
    <t>bossdb://kutten/Cocaine174 /Grayscale
bossdb://kutten/Cocaine175/Grayscale
bossdb://kutten/Cocaine178/Grayscale
bossdb://kutten/Control181/Grayscale
bossdb://kutten/Control182/Grayscale
bossdb://kutten/Control189/Grayscale
bossdb://kutten/Control239/Grayscale
bossdb://kutten/Control258/Grayscale
bossdb://kutten/Fear187/Grayscale
bossdb://kutten/Fear197/Grayscale</t>
  </si>
  <si>
    <t>Deformably registering and annotating whole CLARITY brains to an atlas via masked LDDMM.</t>
  </si>
  <si>
    <t xml:space="preserve">The developed Mask-LDDMM method helps to register CLARITY images to automatically find the brain boundary and learn optimal deformations. This ensures a faster automated way to anatomically annotate CLARITY images. </t>
  </si>
  <si>
    <t>dyer / dyer16 </t>
  </si>
  <si>
    <t> Micro-computed tomography data collected from 2-BM mouse data</t>
  </si>
  <si>
    <t>Samples are taken from a cubic mm volume of mouse somatosensory cortex cortical layer and a small portion of corpus callosum</t>
  </si>
  <si>
    <t>dyer16</t>
  </si>
  <si>
    <t>lee / lee16 </t>
  </si>
  <si>
    <t>Electron Microscopy data used in a study of an excitatory network in Mouse V1.</t>
  </si>
  <si>
    <t xml:space="preserve">The scientists measured the receptive-field properties and reconstructed the anatomy of visual cortical neurons to identify synapses versus axonal-dendritic appositions. </t>
  </si>
  <si>
    <t>lee16</t>
  </si>
  <si>
    <t>bloss / bloss16 </t>
  </si>
  <si>
    <t>bossdb://bloss /bloss16 /channel0
bossdb://bloss /bloss16 /channel1
bossdb://bloss /bloss16 /channel2
bossdb://bloss /bloss16 /channel3</t>
  </si>
  <si>
    <t xml:space="preserve">Structured Dendritic Inhibition Supports Branch-Selective Integration in CA1 Pyramidal Cells
</t>
  </si>
  <si>
    <t xml:space="preserve">Synaptic connectivity between inhibitory interneurons and CA1 pyramidal  dendrites using light-electron microscopy and large-volume array tomography. This indicates that interneurons exhibit precisely targeted connectivity to the origin or end of individual branches. </t>
  </si>
  <si>
    <t>NS-46064</t>
  </si>
  <si>
    <t xml:space="preserve">Mitogen-activated protein kinase (MAP)-mapping assay created for the </t>
  </si>
  <si>
    <t xml:space="preserve">Brain registration in larval zebrafish has been used to build an open-source atlas. This atlas can be used to understand the entirety of the brain and behavior neural activity. </t>
  </si>
  <si>
    <t>bossdb://kharris15/apical/anno
bossdb://kharris15/apical/em
bossdb://kharris15/oblique/anno
bossdb://kharris15/oblique/em
bossdb://kharris15/spine/anno
bossdb://kharris15/spine/em</t>
  </si>
  <si>
    <t>A resource from 3D electron microscopy of hippocampal neuropil for user training and tool development.</t>
  </si>
  <si>
    <t xml:space="preserve"> Three  volumes of hippocampal CA1 neuropil in adult rat were imaged at an XY resolution of ~2 nm on serial sections of ~50-60 nm thickness.</t>
  </si>
  <si>
    <t xml:space="preserve">bhatla / ritaN2 </t>
  </si>
  <si>
    <t>bossdb://bhatla /ritaN2 /annotation
bossdb://bhatla /ritaN2 /image</t>
  </si>
  <si>
    <t>1199 serial sections of the anterior pharynx of worm</t>
  </si>
  <si>
    <t>Reconstucted anterior half of C. elegans by using high-pressure freezing, serial section transmission electron microscopy (ssTEM) imaging, digital alignment and manual tracing</t>
  </si>
  <si>
    <t>ritaN2</t>
  </si>
  <si>
    <t>Mouse cortex with a 3x3x30 cubic nanometer spatial resolution, yielding 660GB of images.</t>
  </si>
  <si>
    <t>Automated technologies created for probing neural tissue at nanometer resolution for reconstructing sub-volume mouse neocortex.</t>
  </si>
  <si>
    <t>bigbrain / release2015 </t>
  </si>
  <si>
    <t>High resolution extraction for modeling and simulation in the human brain</t>
  </si>
  <si>
    <t xml:space="preserve"> BigBrain is an ultrahigh-resolution three-dimensional model of a full human brain at 20 micrometer resolution</t>
  </si>
  <si>
    <t>release2015</t>
  </si>
  <si>
    <t>A multilevel multimodal circuit enhances action selection in Drosophila</t>
  </si>
  <si>
    <t>Behavioural and physiological evidence can be used to identify circuit nodes trigger fast locomotor modes and levels of multimodal integration contribute to escape mode selection.</t>
  </si>
  <si>
    <t>31003A_132969</t>
  </si>
  <si>
    <t>bossdb://collman/collman14v2/annotation 
bossdb://collman/collman14v2/ bIIItubulin
bossdb://collman/collman14v2/DAPI_2nd 
bossdb://collman/collman14v2/DAPI_3rd
bossdb://collman/collman14v2/EM10K
bossdb://collman/collman14v2/GABA 
bossdb://collman/collman14v2/GAD2
bossdb://collman/collman14v2/gephyrin
bossdb://collman/collman14v2/NR1
bossdb://collman/collman14v2/PSDr
bossdb://collman/collman15v2/annotation
bossdb://collman/collman15v2/DAPI1st
bossdb://collman/collman15v2/DAPI2nd
bossdb://collman/collman15v2/DAPI3rd
bossdb://collman/collman15v2/EM25K
bossdb://collman/collman15v2/EM2k
bossdb://collman/collman15v2/GABA488
bossdb://collman/collman15v2/GAD647
bossdb://collman/collman15v2/gephyrin594
bossdb://collman/collman15v2/GS594</t>
  </si>
  <si>
    <t>Conjugate electron microscopy and array tomography that integrates immunoflorescence</t>
  </si>
  <si>
    <t>Using conjugate AT to advance EM-validated single-synapse analysis in mouse cortex.</t>
  </si>
  <si>
    <t xml:space="preserve">No Grant number </t>
  </si>
  <si>
    <t xml:space="preserve">bossdb://weiler14/Ex10R55/Arc_5 
bossdb://weiler14/Ex10R55/ Calbindin_7
bossdb://weiler14/Ex10R55/DAPI_1
bossdb://weiler14/Ex10R55/DAPI_2
bossdb://weiler14/Ex10R55/DAPI_3
bossdb://weiler14/Ex10R55/DAPI_4
bossdb://weiler14/Ex10R55/DAPI_5
bossdb://weiler14/Ex10R55/DAPI_6
bossdb://weiler14/Ex10R55/DAPI_7
bossdb://weiler14/Ex10R55/DAPI_8
bossdb://weiler14/Ex12R75/DAPI_1
bossdb://weiler14/Ex12R75/DAPI_2
bossdb://weiler14/Ex12R75/DAPI_3
bossdb://weiler14/Ex12R75/DAPI_4
bossdb://weiler14/Ex12R75/DAPI_5
bossdb://weiler14/Ex12R75/DAPI_6
bossdb://weiler14/Ex12R75/GABAARa1_6
bossdb://weiler14/Ex12R75/GAD2_3
bossdb://weiler14/Ex12R75/Gephyrin_2
bossdb://weiler14/Ex12R75/GluR1_4 
bossdb://weiler14/Ex12R76/DAPI_1
bossdb://weiler14/Ex12R76/DAPI_2
bossdb://weiler14/Ex12R76/DAPI_3
bossdb://weiler14/Ex12R76/DAPI_4
bossdb://weiler14/Ex12R76/DAPI_5
bossdb://weiler14/Ex12R76/DAPI_6
bossdb://weiler14/Ex12R76/GABAARa1_6
bossdb://weiler14/Ex12R76/Gephyrin_2
bossdb://weiler14/Ex12R76/GluR1_4 </t>
  </si>
  <si>
    <t>Synaptic molecular imaging in spared and deprived columns of mouse barrel cortex with array tomography</t>
  </si>
  <si>
    <t>Immunohistochemical multiplexing capability of array tomography (ATomo) and the columnar organization of mouse barrel cortex to create a dataset comprising high resolution volumetric images of spared and deprived cortical whisker barrels stained for over a dozen synaptic molecules each</t>
  </si>
  <si>
    <t>takemura / takemura13 </t>
  </si>
  <si>
    <t>The right part of the brain of a wild-type Oregon R female fly was serially sectioned into 40-nm slices.</t>
  </si>
  <si>
    <t>A semi-automated pipeline using electron microscopy to reconstruct a connectome, containing 379 neurons and 8,637 chemical synaptic contacts, within the Drosophila optic medulla</t>
  </si>
  <si>
    <t>takemura13</t>
  </si>
  <si>
    <t>Mouse inner plexiform layer—the main computational neuropil region in the mammalian retina—the dense reconstruction of 950 neurons and their mutual contacts.</t>
  </si>
  <si>
    <t>Applying a combination of crowd-sourced manual annotation and machine-learning-based volume segmentation to serial block-face electron microscopy data to characterize a new type of retinal bipolar interneuron</t>
  </si>
  <si>
    <t>mouse_retina</t>
  </si>
  <si>
    <t xml:space="preserve">bumbarger / bumbarger13 </t>
  </si>
  <si>
    <t>Electron microscopy of serial section through the anterior region of P. pacificus, of more than 3,000 sections and containing the entire pharynx</t>
  </si>
  <si>
    <t xml:space="preserve"> Serial thin section data were generated to compare the pharyngeal connectomes of the pharyngeal nervous system between Caenorhabditis elegans and Pristionchus pacificus.</t>
  </si>
  <si>
    <t>bock / bock11 </t>
  </si>
  <si>
    <t>Volume of mouse primary visual cortical data</t>
  </si>
  <si>
    <t>Images were collected at approximately 4x4x45 cubic nanometers with a total volume of approximately 450x350x50 cubic microns.
This dataset has a Z offset of 2917. Data exists betwen z slices 2917 through 4155.</t>
  </si>
  <si>
    <t>bock11</t>
  </si>
  <si>
    <t>ShortTitle</t>
  </si>
  <si>
    <t>BossDBURIs</t>
  </si>
  <si>
    <t>PublicationDOI</t>
  </si>
  <si>
    <t>Year</t>
  </si>
  <si>
    <t>Keywords</t>
  </si>
  <si>
    <t>Links</t>
  </si>
  <si>
    <t>ImageBanner (media)</t>
  </si>
  <si>
    <t>ImageTile</t>
  </si>
  <si>
    <t>ImageHero (hero)</t>
  </si>
  <si>
    <t>Collections</t>
  </si>
  <si>
    <t>mulcahy2022</t>
  </si>
  <si>
    <t>C. elegans motor circuit</t>
  </si>
  <si>
    <t>https://doi.org/10.1016/j.cub.2022.09.065</t>
  </si>
  <si>
    <t>https://bossdb.org/project/mulcahy2022</t>
  </si>
  <si>
    <t>Spike rate inference from calcium imaging data</t>
  </si>
  <si>
    <t>https://bossdb.org/project/microns-basil</t>
  </si>
  <si>
    <t>Connectomes of dopaminergic circuits</t>
  </si>
  <si>
    <t>Sub-micrometer x-ray tomography for neuroanatomy</t>
  </si>
  <si>
    <t> https://doi.org/10.7554/eLife.71981</t>
  </si>
  <si>
    <t>https://bossdb.org/project/wildenberg2021</t>
  </si>
  <si>
    <t>wildenberg2021</t>
  </si>
  <si>
    <t>Synaptic Transmission in The Rod Pathway of the Mammalian Retina</t>
  </si>
  <si>
    <t> https://doi.org/10.7554/eLife.73039</t>
  </si>
  <si>
    <t>https://bossdb.org/project/ishibashi2021</t>
  </si>
  <si>
    <t> https://doi.org/10.7554/eLife.57443</t>
  </si>
  <si>
    <t>https://bossdb.org/project/flywire</t>
  </si>
  <si>
    <t>Connectomes reveal brain maturation</t>
  </si>
  <si>
    <t>https://bossdb.org/project/witvliet2020</t>
  </si>
  <si>
    <t>https://bossdb.org/project/microns-pinky</t>
  </si>
  <si>
    <t>https://bossdb.org/project/yemini2021</t>
  </si>
  <si>
    <t>yemini2021</t>
  </si>
  <si>
    <t>phelps_hildebrand_graham2021</t>
  </si>
  <si>
    <t>Reconstruction of motor control circuits in adult Drosophila</t>
  </si>
  <si>
    <t>https://bossdb.org/project/phelps_hildebrand_graham2021</t>
  </si>
  <si>
    <t>https://bossdb.org/project/kuan_phelps2020</t>
  </si>
  <si>
    <t>https://bossdb.org/project/prasad2020</t>
  </si>
  <si>
    <t>Morganet al. 2020</t>
  </si>
  <si>
    <t xml:space="preserve">Interneuron roles in inhibition and innervates </t>
  </si>
  <si>
    <t>https://doi.org/10.1016/j.neuron.2020.02.001</t>
  </si>
  <si>
    <t>https://bossdb.org/project/morgan2020</t>
  </si>
  <si>
    <t>lgn</t>
  </si>
  <si>
    <t>Magnetic collection for volumetric correlative light and electron microscopy</t>
  </si>
  <si>
    <t>https://doi.org/10.7554/eLife.45696.001</t>
  </si>
  <si>
    <t>https://bossdb.org/project/templier2019</t>
  </si>
  <si>
    <t>Zebrafinch</t>
  </si>
  <si>
    <t>templier2019</t>
  </si>
  <si>
    <t>Rewiring between Cerebellar Climbing Fibers and Purkinje Cells</t>
  </si>
  <si>
    <t>https://doi.org/10.1016/j.celrep.2019.10.081</t>
  </si>
  <si>
    <t>https://bossdb.org/project/wilson2019</t>
  </si>
  <si>
    <t>Synaptomes of Mouse and Man</t>
  </si>
  <si>
    <t>https://bossdb.org/project/branch2018</t>
  </si>
  <si>
    <t>branch2018</t>
  </si>
  <si>
    <t>https://bossdb.org/project/bloss2018</t>
  </si>
  <si>
    <t>bloss2018</t>
  </si>
  <si>
    <t>Gergard et al. 2017</t>
  </si>
  <si>
    <t>Conserved neural circuit across Drosophila</t>
  </si>
  <si>
    <t>bossdb://gerhard2017</t>
  </si>
  <si>
    <t>https://bossdb.org/project/gerhard2017</t>
  </si>
  <si>
    <t>Drosophila (Larval)</t>
  </si>
  <si>
    <t>drosophila_melanogaster_third_instar_larva</t>
  </si>
  <si>
    <t xml:space="preserve">Mouse micro-computed tomography </t>
  </si>
  <si>
    <t>https://bossdb.org/project/dyer2017</t>
  </si>
  <si>
    <t>/assets/projects/dyer2018.jpg</t>
  </si>
  <si>
    <t>https://bossdb.org/project/allenInstitute2017</t>
  </si>
  <si>
    <t>/assets/projects/ara17.jpg</t>
  </si>
  <si>
    <t>Zebrafish serial-section electron microscopy data</t>
  </si>
  <si>
    <t>https://bossdb.org/project/hildebrand2017</t>
  </si>
  <si>
    <t>/assets/projects/hildebrand2017.jpg</t>
  </si>
  <si>
    <t>Dense reconstructions of neurons</t>
  </si>
  <si>
    <t>No grant number</t>
  </si>
  <si>
    <t>https://bossdb.org/project/wanner16</t>
  </si>
  <si>
    <t>/assets/projects/wanner16.jpg</t>
  </si>
  <si>
    <t>Barrel cortex from an adult mouse</t>
  </si>
  <si>
    <t>https://doi.org/10.7554/eLife.15784</t>
  </si>
  <si>
    <t>Annotating CLARITY brains with the emerging LDDMM technology</t>
  </si>
  <si>
    <t>https://www.spiedigitallibrary.org/conference-proceedings-of-spie/9896/1/Deformably-registering-and-annotating-whole-CLARITY-brains-to-an-atlas/10.1117/12.2227444.full?SSO=1</t>
  </si>
  <si>
    <t>https://bossdb.org/project/kutten2016</t>
  </si>
  <si>
    <t>/assets/projects/kutten2016.jpg</t>
  </si>
  <si>
    <t>Mouse-Dyer3</t>
  </si>
  <si>
    <t>/assets/projects/dyer2016.jpg</t>
  </si>
  <si>
    <t>EM excitatory network mouse data</t>
  </si>
  <si>
    <t>https://bossdb.org/project/Lee2016</t>
  </si>
  <si>
    <t>/assets/projects/lee16.jpg</t>
  </si>
  <si>
    <t xml:space="preserve"> Dendritic Inhibition in CA1 Pyramidal Cells</t>
  </si>
  <si>
    <t>https://www.sciencedirect.com/science/article/pii/S0896627316000544?via%3Dihub</t>
  </si>
  <si>
    <t>https://bossdb.org/project/bloss2016</t>
  </si>
  <si>
    <t>/assets/projects/bloss2016.jpg</t>
  </si>
  <si>
    <t>Whole-brain mapping onto a zebrafish brain atlas</t>
  </si>
  <si>
    <t>https://doi.org/10.1038/nmeth.3581</t>
  </si>
  <si>
    <t>https://bossdb.org/project/randlett2015</t>
  </si>
  <si>
    <t>/assets/projects/randlett2015.jpg</t>
  </si>
  <si>
    <t xml:space="preserve">Reconstructed rat hippocampal CA1 neuropil </t>
  </si>
  <si>
    <t>https://bossdb.org/project/Kharris15</t>
  </si>
  <si>
    <t>/assets/projects/kharris15.jpg</t>
  </si>
  <si>
    <t>Reconstructed anterior half of C. elegans.</t>
  </si>
  <si>
    <t>https://www.sciencedirect.com/science/article/pii/S0960982215007460?via%3Dihub</t>
  </si>
  <si>
    <t>https://bossdb.org/project/bhatla2015</t>
  </si>
  <si>
    <t>/assets/projects/bhatla15_thumb.jpg</t>
  </si>
  <si>
    <t>https://pubmed.ncbi.nlm.nih.gov/26232230/</t>
  </si>
  <si>
    <t>https://bossdb.org/project/kasthuri2015</t>
  </si>
  <si>
    <t>/assets/projects/kasthuri2015.jpg</t>
  </si>
  <si>
    <t>https://www.science.org/doi/10.1126/science.1235381</t>
  </si>
  <si>
    <t>https://bossdb.org/project/amunts2015</t>
  </si>
  <si>
    <t>/assets/projects/big_brain.jpg</t>
  </si>
  <si>
    <t>Multimodal circuit in Drosophila</t>
  </si>
  <si>
    <t>https://bossdb.org/project/ohyama2015</t>
  </si>
  <si>
    <t>Conjugate electron microscopy and array tomography</t>
  </si>
  <si>
    <t>https://www.ncbi.nlm.nih.gov/pmc/articles/PMC4388933/</t>
  </si>
  <si>
    <t>https://bossdb.org/project/collman2015</t>
  </si>
  <si>
    <t>/assets/projects/collman2015.jpg</t>
  </si>
  <si>
    <t>https://bossdb.org/project/weiler2014</t>
  </si>
  <si>
    <t>/assets/projects/weiler2014.jpg</t>
  </si>
  <si>
    <t xml:space="preserve"> Wild-type Oregon R female fly was serially sectioned</t>
  </si>
  <si>
    <t>https://bossdb.org/project/Takemura2013</t>
  </si>
  <si>
    <t>/assets/projects/takemura14.jpg</t>
  </si>
  <si>
    <t>https://bossdb.org/project/helmstaedter13</t>
  </si>
  <si>
    <t>/assets/projects/MH_3.jpg</t>
  </si>
  <si>
    <t xml:space="preserve">Anterior region of P. pacificus pharnyx </t>
  </si>
  <si>
    <t>https://www.sciencedirect.com/science/article/pii/S0092867412015000?via%3Dihub</t>
  </si>
  <si>
    <t>https://bossdb.org/project/bumbarger2013</t>
  </si>
  <si>
    <t>/assets/projects/bumbarger2013.jpg</t>
  </si>
  <si>
    <t>Nematodes</t>
  </si>
  <si>
    <t>Mouse cortical data</t>
  </si>
  <si>
    <t>https://bossdb.org/project/bock2011</t>
  </si>
  <si>
    <t>/assets/projects/bock2011.jpg</t>
  </si>
  <si>
    <t>IARPA MICrONS Minnie</t>
  </si>
  <si>
    <t>https://bossdb.org/project/microns-minnie</t>
  </si>
  <si>
    <t>Lunenfeld-Tanenbaum Research Institute</t>
  </si>
  <si>
    <t>Harvard Medical School</t>
  </si>
  <si>
    <t>Washington University School of Medicine</t>
  </si>
  <si>
    <t>Johns Hopkins University</t>
  </si>
  <si>
    <t>Bird</t>
  </si>
  <si>
    <t>https://www.microns-explorer.org/publications</t>
  </si>
  <si>
    <t>AAA123</t>
  </si>
  <si>
    <t>Luciferase-GFAP</t>
  </si>
  <si>
    <t>30d</t>
  </si>
  <si>
    <t>AAA120</t>
  </si>
  <si>
    <t>Mukul Narwani</t>
  </si>
  <si>
    <t>AAA124</t>
  </si>
  <si>
    <t>AAA121</t>
  </si>
  <si>
    <t>AAA125</t>
  </si>
  <si>
    <t>AAA122</t>
  </si>
  <si>
    <t>AAA126</t>
  </si>
  <si>
    <t>AAA127</t>
  </si>
  <si>
    <t>AAA128</t>
  </si>
  <si>
    <t>AAA129</t>
  </si>
  <si>
    <t>AAA130</t>
  </si>
  <si>
    <t>AAA131</t>
  </si>
  <si>
    <t>AAA132</t>
  </si>
  <si>
    <t>AAA133</t>
  </si>
  <si>
    <t>AAA134</t>
  </si>
  <si>
    <t>AAA135</t>
  </si>
  <si>
    <t>AAA136</t>
  </si>
  <si>
    <t>AAA137</t>
  </si>
  <si>
    <t>AAA138</t>
  </si>
  <si>
    <t>AAA139</t>
  </si>
  <si>
    <t>AAA140</t>
  </si>
  <si>
    <t>AAA141</t>
  </si>
  <si>
    <t>AAA142</t>
  </si>
  <si>
    <t>AAA143</t>
  </si>
  <si>
    <t>AAA144</t>
  </si>
  <si>
    <t>AAA145</t>
  </si>
  <si>
    <t>AAA146</t>
  </si>
  <si>
    <t>AAA147</t>
  </si>
  <si>
    <t>AAA148</t>
  </si>
  <si>
    <t>AAA149</t>
  </si>
  <si>
    <t>AAA150</t>
  </si>
  <si>
    <t>AAA151</t>
  </si>
  <si>
    <t>AAA152</t>
  </si>
  <si>
    <t>AAA153</t>
  </si>
  <si>
    <t>AAA154</t>
  </si>
  <si>
    <t>AAA155</t>
  </si>
  <si>
    <t>AAA156</t>
  </si>
  <si>
    <t>AAA157</t>
  </si>
  <si>
    <t>AAA158</t>
  </si>
  <si>
    <t>AAA159</t>
  </si>
  <si>
    <t>AAA160</t>
  </si>
  <si>
    <t>AAA161</t>
  </si>
  <si>
    <t>AAA162</t>
  </si>
  <si>
    <t>AAA163</t>
  </si>
  <si>
    <t>AAA164</t>
  </si>
  <si>
    <t>AAA165</t>
  </si>
  <si>
    <t>AAA166</t>
  </si>
  <si>
    <t>AAA167</t>
  </si>
  <si>
    <t>AAA168</t>
  </si>
  <si>
    <t>AAA169</t>
  </si>
  <si>
    <t>AAA170</t>
  </si>
  <si>
    <t>AAA171</t>
  </si>
  <si>
    <t>AAA172</t>
  </si>
  <si>
    <t>AAA173</t>
  </si>
  <si>
    <t>AAA174</t>
  </si>
  <si>
    <t>AAA175</t>
  </si>
  <si>
    <t>AAA176</t>
  </si>
  <si>
    <t>AAA177</t>
  </si>
  <si>
    <t>AAA178</t>
  </si>
  <si>
    <t>AAA179</t>
  </si>
  <si>
    <t>AAA180</t>
  </si>
  <si>
    <t>AAA181</t>
  </si>
  <si>
    <t>AAA182</t>
  </si>
  <si>
    <t>AAA183</t>
  </si>
  <si>
    <t>AAA184</t>
  </si>
  <si>
    <t>AAA185</t>
  </si>
  <si>
    <t>AAA186</t>
  </si>
  <si>
    <t>AAA187</t>
  </si>
  <si>
    <t>AAA188</t>
  </si>
  <si>
    <t>AAA189</t>
  </si>
  <si>
    <t>AAA190</t>
  </si>
  <si>
    <t>AAA191</t>
  </si>
  <si>
    <t>AAA192</t>
  </si>
  <si>
    <t>AAA193</t>
  </si>
  <si>
    <t>AAA194</t>
  </si>
  <si>
    <t>AAA195</t>
  </si>
  <si>
    <t>AAA196</t>
  </si>
  <si>
    <t>AAA197</t>
  </si>
  <si>
    <t>AAA198</t>
  </si>
  <si>
    <t>AAA199</t>
  </si>
  <si>
    <t>AAA200</t>
  </si>
  <si>
    <t>AAA201</t>
  </si>
  <si>
    <t>AAA202</t>
  </si>
  <si>
    <t>AAA203</t>
  </si>
  <si>
    <t>AAA204</t>
  </si>
  <si>
    <t>AAA205</t>
  </si>
  <si>
    <t>AAA206</t>
  </si>
  <si>
    <t>AAA207</t>
  </si>
  <si>
    <t>AAA208</t>
  </si>
  <si>
    <t>AAA209</t>
  </si>
  <si>
    <t>AAA210</t>
  </si>
  <si>
    <t>AAA211</t>
  </si>
  <si>
    <t>AAA212</t>
  </si>
  <si>
    <t>AAA213</t>
  </si>
  <si>
    <t>AAA214</t>
  </si>
  <si>
    <t>AAA215</t>
  </si>
  <si>
    <t>AAA216</t>
  </si>
  <si>
    <t>AAA217</t>
  </si>
  <si>
    <t>AAA218</t>
  </si>
  <si>
    <t>AAA219</t>
  </si>
  <si>
    <t>AAA220</t>
  </si>
  <si>
    <t>AAA221</t>
  </si>
  <si>
    <t>AAA222</t>
  </si>
  <si>
    <t>AAA223</t>
  </si>
  <si>
    <t>AAA224</t>
  </si>
  <si>
    <t>AAA225</t>
  </si>
  <si>
    <t>AAA226</t>
  </si>
  <si>
    <t>AAA227</t>
  </si>
  <si>
    <t>AAA228</t>
  </si>
  <si>
    <t>AAA229</t>
  </si>
  <si>
    <t>AAA230</t>
  </si>
  <si>
    <t>AAA231</t>
  </si>
  <si>
    <t>AAA232</t>
  </si>
  <si>
    <t>AAA233</t>
  </si>
  <si>
    <t>AAA234</t>
  </si>
  <si>
    <t>AAA235</t>
  </si>
  <si>
    <t>AAA236</t>
  </si>
  <si>
    <t>AAA237</t>
  </si>
  <si>
    <t>AAA238</t>
  </si>
  <si>
    <t>AAA239</t>
  </si>
  <si>
    <t>AAA240</t>
  </si>
  <si>
    <t>AAA241</t>
  </si>
  <si>
    <t>AAA242</t>
  </si>
  <si>
    <t>AAA243</t>
  </si>
  <si>
    <t>AAA244</t>
  </si>
  <si>
    <t>AAA245</t>
  </si>
  <si>
    <t>AAA246</t>
  </si>
  <si>
    <t>AAA247</t>
  </si>
  <si>
    <t>AAA248</t>
  </si>
  <si>
    <t>AAA249</t>
  </si>
  <si>
    <t>AAA250</t>
  </si>
  <si>
    <t>AAA251</t>
  </si>
  <si>
    <t>AAA252</t>
  </si>
  <si>
    <t>AAA253</t>
  </si>
  <si>
    <t>AAA254</t>
  </si>
  <si>
    <t>AAA255</t>
  </si>
  <si>
    <t>AAA256</t>
  </si>
  <si>
    <t>AAA257</t>
  </si>
  <si>
    <t>AAA258</t>
  </si>
  <si>
    <t>AAA259</t>
  </si>
  <si>
    <t>AAA260</t>
  </si>
  <si>
    <t>AAA261</t>
  </si>
  <si>
    <t>AAA262</t>
  </si>
  <si>
    <t>AAA263</t>
  </si>
  <si>
    <t>AAA264</t>
  </si>
  <si>
    <t>AAA265</t>
  </si>
  <si>
    <t>AAA266</t>
  </si>
  <si>
    <t>AAA267</t>
  </si>
  <si>
    <t>AAA268</t>
  </si>
  <si>
    <t>AAA269</t>
  </si>
  <si>
    <t>AAA270</t>
  </si>
  <si>
    <t>AAA271</t>
  </si>
  <si>
    <t>AAA272</t>
  </si>
  <si>
    <t>AAA273</t>
  </si>
  <si>
    <t>AAA274</t>
  </si>
  <si>
    <t>AAA275</t>
  </si>
  <si>
    <t>AAA276</t>
  </si>
  <si>
    <t>AAA277</t>
  </si>
  <si>
    <t>AAA278</t>
  </si>
  <si>
    <t>AAA279</t>
  </si>
  <si>
    <t>AAA280</t>
  </si>
  <si>
    <t>AAA281</t>
  </si>
  <si>
    <t>AAA282</t>
  </si>
  <si>
    <t>AAA283</t>
  </si>
  <si>
    <t>AAA284</t>
  </si>
  <si>
    <t>AAA285</t>
  </si>
  <si>
    <t>AAA286</t>
  </si>
  <si>
    <t>AAA287</t>
  </si>
  <si>
    <t>AAA288</t>
  </si>
  <si>
    <t>AAA289</t>
  </si>
  <si>
    <t>AAA290</t>
  </si>
  <si>
    <t>AAA291</t>
  </si>
  <si>
    <t>AAA292</t>
  </si>
  <si>
    <t>AAA293</t>
  </si>
  <si>
    <t>AAA294</t>
  </si>
  <si>
    <t>AAA295</t>
  </si>
  <si>
    <t>AAA296</t>
  </si>
  <si>
    <t>AAA297</t>
  </si>
  <si>
    <t>AAA298</t>
  </si>
  <si>
    <t>AAA299</t>
  </si>
  <si>
    <t>AAA300</t>
  </si>
  <si>
    <t>AAA301</t>
  </si>
  <si>
    <t>AAA302</t>
  </si>
  <si>
    <t>AAA303</t>
  </si>
  <si>
    <t>AAA304</t>
  </si>
  <si>
    <t>AAA305</t>
  </si>
  <si>
    <t>AAA306</t>
  </si>
  <si>
    <t>AAA307</t>
  </si>
  <si>
    <t>AAA308</t>
  </si>
  <si>
    <t>AAA309</t>
  </si>
  <si>
    <t>AAA310</t>
  </si>
  <si>
    <t>AAA311</t>
  </si>
  <si>
    <t>AAA312</t>
  </si>
  <si>
    <t>AAA313</t>
  </si>
  <si>
    <t>AAA314</t>
  </si>
  <si>
    <t>AAA315</t>
  </si>
  <si>
    <t>AAA316</t>
  </si>
  <si>
    <t>AAA317</t>
  </si>
  <si>
    <t>AAA318</t>
  </si>
  <si>
    <t>AAA319</t>
  </si>
  <si>
    <t>AAA320</t>
  </si>
  <si>
    <t>AAA321</t>
  </si>
  <si>
    <t>AAA322</t>
  </si>
  <si>
    <t>AAA323</t>
  </si>
  <si>
    <t>AAA324</t>
  </si>
  <si>
    <t>AAA325</t>
  </si>
  <si>
    <t>AAA326</t>
  </si>
  <si>
    <t>AAA327</t>
  </si>
  <si>
    <t>AAA328</t>
  </si>
  <si>
    <t>AAA329</t>
  </si>
  <si>
    <t>AAA330</t>
  </si>
  <si>
    <t>AAA331</t>
  </si>
  <si>
    <t>AAA332</t>
  </si>
  <si>
    <t>AAA333</t>
  </si>
  <si>
    <t>AAA334</t>
  </si>
  <si>
    <t>AAA335</t>
  </si>
  <si>
    <t>AAA336</t>
  </si>
  <si>
    <t>AAA337</t>
  </si>
  <si>
    <t>AAA338</t>
  </si>
  <si>
    <t>AAA339</t>
  </si>
  <si>
    <t>AAA340</t>
  </si>
  <si>
    <t>AAA341</t>
  </si>
  <si>
    <t>AAA342</t>
  </si>
  <si>
    <t>AAA343</t>
  </si>
  <si>
    <t>AAA344</t>
  </si>
  <si>
    <t>AAA345</t>
  </si>
  <si>
    <t>AAA346</t>
  </si>
  <si>
    <t>AAA347</t>
  </si>
  <si>
    <t>AAA348</t>
  </si>
  <si>
    <t>AAA349</t>
  </si>
  <si>
    <t>AAA350</t>
  </si>
  <si>
    <t>AAA351</t>
  </si>
  <si>
    <t>AAA352</t>
  </si>
  <si>
    <t>AAA353</t>
  </si>
  <si>
    <t>AAA354</t>
  </si>
  <si>
    <t>AAA355</t>
  </si>
  <si>
    <t>AAA356</t>
  </si>
  <si>
    <t>AAA357</t>
  </si>
  <si>
    <t>AAA358</t>
  </si>
  <si>
    <t>AAA359</t>
  </si>
  <si>
    <t>AAA360</t>
  </si>
  <si>
    <t>AAA361</t>
  </si>
  <si>
    <t>AAA362</t>
  </si>
  <si>
    <t>AAA363</t>
  </si>
  <si>
    <t>AAA364</t>
  </si>
  <si>
    <t>AAA365</t>
  </si>
  <si>
    <t>AAA366</t>
  </si>
  <si>
    <t>AAA367</t>
  </si>
  <si>
    <t>AAA368</t>
  </si>
  <si>
    <t>AAA369</t>
  </si>
  <si>
    <t>AAA370</t>
  </si>
  <si>
    <t>AAA371</t>
  </si>
  <si>
    <t>AAA372</t>
  </si>
  <si>
    <t>AAA373</t>
  </si>
  <si>
    <t>AAA374</t>
  </si>
  <si>
    <t>AAA375</t>
  </si>
  <si>
    <t>AAA376</t>
  </si>
  <si>
    <t>AAA377</t>
  </si>
  <si>
    <t>ABC123</t>
  </si>
  <si>
    <t>XNH image dataset with 90nm voxel resolution of the whitemater of tissue</t>
  </si>
  <si>
    <t>ABC124</t>
  </si>
  <si>
    <t>ABC125</t>
  </si>
  <si>
    <t>ABC126</t>
  </si>
  <si>
    <t>ABC127</t>
  </si>
  <si>
    <t>ABC128</t>
  </si>
  <si>
    <t>ABC129</t>
  </si>
  <si>
    <t>ABC130</t>
  </si>
  <si>
    <t>ABC131</t>
  </si>
  <si>
    <t>ABC132</t>
  </si>
  <si>
    <t>ABC133</t>
  </si>
  <si>
    <t>ABC134</t>
  </si>
  <si>
    <t>ABC135</t>
  </si>
  <si>
    <t>Unit8</t>
  </si>
  <si>
    <t>ABC136</t>
  </si>
  <si>
    <t>ABC137</t>
  </si>
  <si>
    <t>ABC138</t>
  </si>
  <si>
    <t>ABC139</t>
  </si>
  <si>
    <t>ABC140</t>
  </si>
  <si>
    <t>ABC141</t>
  </si>
  <si>
    <t>ABC142</t>
  </si>
  <si>
    <t>ABC143</t>
  </si>
  <si>
    <t>ABC144</t>
  </si>
  <si>
    <t>ABC145</t>
  </si>
  <si>
    <t>ABC146</t>
  </si>
  <si>
    <t>ABC147</t>
  </si>
  <si>
    <t>ABC148</t>
  </si>
  <si>
    <t>Unit9</t>
  </si>
  <si>
    <t>ABC149</t>
  </si>
  <si>
    <t>ABC150</t>
  </si>
  <si>
    <t>ABC151</t>
  </si>
  <si>
    <t>ABC152</t>
  </si>
  <si>
    <t>ABC153</t>
  </si>
  <si>
    <t>ABC154</t>
  </si>
  <si>
    <t>ABC155</t>
  </si>
  <si>
    <t>ABC156</t>
  </si>
  <si>
    <t>ABC157</t>
  </si>
  <si>
    <t>ABC158</t>
  </si>
  <si>
    <t>ABC159</t>
  </si>
  <si>
    <t>ABC160</t>
  </si>
  <si>
    <t>ABC161</t>
  </si>
  <si>
    <t>ABC162</t>
  </si>
  <si>
    <t>ABC163</t>
  </si>
  <si>
    <t>ABC164</t>
  </si>
  <si>
    <t>ABC165</t>
  </si>
  <si>
    <t>ABC166</t>
  </si>
  <si>
    <t>ABC167</t>
  </si>
  <si>
    <t>ABC168</t>
  </si>
  <si>
    <t>ABC169</t>
  </si>
  <si>
    <t>ABC170</t>
  </si>
  <si>
    <t>ABC171</t>
  </si>
  <si>
    <t>ABC172</t>
  </si>
  <si>
    <t>ABC173</t>
  </si>
  <si>
    <t>ABC174</t>
  </si>
  <si>
    <t>ABC175</t>
  </si>
  <si>
    <t>ABC176</t>
  </si>
  <si>
    <t>ABC177</t>
  </si>
  <si>
    <t>ABC178</t>
  </si>
  <si>
    <t>ABC179</t>
  </si>
  <si>
    <t>ABC180</t>
  </si>
  <si>
    <t>ABC181</t>
  </si>
  <si>
    <t>ABC182</t>
  </si>
  <si>
    <t>ABC183</t>
  </si>
  <si>
    <t>ABC184</t>
  </si>
  <si>
    <t>ABC185</t>
  </si>
  <si>
    <t>ABC186</t>
  </si>
  <si>
    <t>ABC187</t>
  </si>
  <si>
    <t>ABC188</t>
  </si>
  <si>
    <t>ABC189</t>
  </si>
  <si>
    <t>ABC190</t>
  </si>
  <si>
    <t>ABC191</t>
  </si>
  <si>
    <t>ABC192</t>
  </si>
  <si>
    <t>ABC193</t>
  </si>
  <si>
    <t>ABC194</t>
  </si>
  <si>
    <t>ABC195</t>
  </si>
  <si>
    <t>ABC196</t>
  </si>
  <si>
    <t>ABC197</t>
  </si>
  <si>
    <t>ABC198</t>
  </si>
  <si>
    <t>ABC199</t>
  </si>
  <si>
    <t>ABC200</t>
  </si>
  <si>
    <t>ABC201</t>
  </si>
  <si>
    <t>ABC202</t>
  </si>
  <si>
    <t>ABC203</t>
  </si>
  <si>
    <t>ABC204</t>
  </si>
  <si>
    <t>ABC205</t>
  </si>
  <si>
    <t>ABC206</t>
  </si>
  <si>
    <t>ABC207</t>
  </si>
  <si>
    <t>ABC208</t>
  </si>
  <si>
    <t>ABC209</t>
  </si>
  <si>
    <t>ABC210</t>
  </si>
  <si>
    <t>ABC211</t>
  </si>
  <si>
    <t>ABC212</t>
  </si>
  <si>
    <t>ABC213</t>
  </si>
  <si>
    <t>ABC214</t>
  </si>
  <si>
    <t>ABC215</t>
  </si>
  <si>
    <t>ABC216</t>
  </si>
  <si>
    <t>ABC217</t>
  </si>
  <si>
    <t>ABC218</t>
  </si>
  <si>
    <t>ABC219</t>
  </si>
  <si>
    <t>ABC220</t>
  </si>
  <si>
    <t>ABC221</t>
  </si>
  <si>
    <t>ABC222</t>
  </si>
  <si>
    <t>ABC223</t>
  </si>
  <si>
    <t>ABC224</t>
  </si>
  <si>
    <t>ABC225</t>
  </si>
  <si>
    <t>ABC226</t>
  </si>
  <si>
    <t>ABC227</t>
  </si>
  <si>
    <t>ABC228</t>
  </si>
  <si>
    <t>ABC229</t>
  </si>
  <si>
    <t>ABC230</t>
  </si>
  <si>
    <t>ABC231</t>
  </si>
  <si>
    <t>ABC232</t>
  </si>
  <si>
    <t>ABC233</t>
  </si>
  <si>
    <t>ABC234</t>
  </si>
  <si>
    <t>ABC235</t>
  </si>
  <si>
    <t>ABC236</t>
  </si>
  <si>
    <t>ABC237</t>
  </si>
  <si>
    <t>ABC238</t>
  </si>
  <si>
    <t>ABC239</t>
  </si>
  <si>
    <t>ABC240</t>
  </si>
  <si>
    <t>ABC241</t>
  </si>
  <si>
    <t>ABC242</t>
  </si>
  <si>
    <t>ABC243</t>
  </si>
  <si>
    <t>ABC244</t>
  </si>
  <si>
    <t>ABC245</t>
  </si>
  <si>
    <t>ABC246</t>
  </si>
  <si>
    <t>ABC247</t>
  </si>
  <si>
    <t>ABC248</t>
  </si>
  <si>
    <t>ABC249</t>
  </si>
  <si>
    <t>ABC250</t>
  </si>
  <si>
    <t>ABC251</t>
  </si>
  <si>
    <t>ABC252</t>
  </si>
  <si>
    <t>ABC253</t>
  </si>
  <si>
    <t>ABC254</t>
  </si>
  <si>
    <t>ABC255</t>
  </si>
  <si>
    <t>ABC256</t>
  </si>
  <si>
    <t>ABC257</t>
  </si>
  <si>
    <t>ABC258</t>
  </si>
  <si>
    <t>ABC259</t>
  </si>
  <si>
    <t>ABC260</t>
  </si>
  <si>
    <t>ABC261</t>
  </si>
  <si>
    <t>ABC262</t>
  </si>
  <si>
    <t>ABC263</t>
  </si>
  <si>
    <t>ABC264</t>
  </si>
  <si>
    <t>ABC265</t>
  </si>
  <si>
    <t>ABC266</t>
  </si>
  <si>
    <t>ABC267</t>
  </si>
  <si>
    <t>ABC268</t>
  </si>
  <si>
    <t>ABC269</t>
  </si>
  <si>
    <t>ABC270</t>
  </si>
  <si>
    <t>ABC271</t>
  </si>
  <si>
    <t>ABC272</t>
  </si>
  <si>
    <t>ABC273</t>
  </si>
  <si>
    <t>ABC274</t>
  </si>
  <si>
    <t>ABC275</t>
  </si>
  <si>
    <t>ABC276</t>
  </si>
  <si>
    <t>ABC277</t>
  </si>
  <si>
    <t>ABC278</t>
  </si>
  <si>
    <t>ABC279</t>
  </si>
  <si>
    <t>ABC280</t>
  </si>
  <si>
    <t>ABC281</t>
  </si>
  <si>
    <t>ABC282</t>
  </si>
  <si>
    <t>ABC283</t>
  </si>
  <si>
    <t>ABC284</t>
  </si>
  <si>
    <t>ABC285</t>
  </si>
  <si>
    <t>ABC286</t>
  </si>
  <si>
    <t>ABC287</t>
  </si>
  <si>
    <t>ABC288</t>
  </si>
  <si>
    <t>ABC289</t>
  </si>
  <si>
    <t>ABC290</t>
  </si>
  <si>
    <t>ABC291</t>
  </si>
  <si>
    <t>ABC292</t>
  </si>
  <si>
    <t>ABC293</t>
  </si>
  <si>
    <t>ABC294</t>
  </si>
  <si>
    <t>ABC295</t>
  </si>
  <si>
    <t>ABC296</t>
  </si>
  <si>
    <t>ABC297</t>
  </si>
  <si>
    <t>ABC298</t>
  </si>
  <si>
    <t>ABC299</t>
  </si>
  <si>
    <t>ABC300</t>
  </si>
  <si>
    <t>ABC301</t>
  </si>
  <si>
    <t>ABC302</t>
  </si>
  <si>
    <t>ABC303</t>
  </si>
  <si>
    <t>ABC304</t>
  </si>
  <si>
    <t>ABC305</t>
  </si>
  <si>
    <t>ABC306</t>
  </si>
  <si>
    <t>ABC307</t>
  </si>
  <si>
    <t>ABC308</t>
  </si>
  <si>
    <t>ABC309</t>
  </si>
  <si>
    <t>ABC310</t>
  </si>
  <si>
    <t>ABC311</t>
  </si>
  <si>
    <t>ABC312</t>
  </si>
  <si>
    <t>ABC313</t>
  </si>
  <si>
    <t>ABC314</t>
  </si>
  <si>
    <t>ABC315</t>
  </si>
  <si>
    <t>ABC316</t>
  </si>
  <si>
    <t>ABC317</t>
  </si>
  <si>
    <t>ABC318</t>
  </si>
  <si>
    <t>ABC319</t>
  </si>
  <si>
    <t>ABC320</t>
  </si>
  <si>
    <t>ABC321</t>
  </si>
  <si>
    <t>ABC322</t>
  </si>
  <si>
    <t>ABC323</t>
  </si>
  <si>
    <t>ABC324</t>
  </si>
  <si>
    <t>ABC325</t>
  </si>
  <si>
    <t>ABC326</t>
  </si>
  <si>
    <t>ABC327</t>
  </si>
  <si>
    <t>ABC328</t>
  </si>
  <si>
    <t>ABC329</t>
  </si>
  <si>
    <t>ABC330</t>
  </si>
  <si>
    <t>ABC331</t>
  </si>
  <si>
    <t>ABC332</t>
  </si>
  <si>
    <t>ABC333</t>
  </si>
  <si>
    <t>ABC334</t>
  </si>
  <si>
    <t>ABC335</t>
  </si>
  <si>
    <t>ABC336</t>
  </si>
  <si>
    <t>ABC337</t>
  </si>
  <si>
    <t>ABC338</t>
  </si>
  <si>
    <t>ABC339</t>
  </si>
  <si>
    <t>ABC340</t>
  </si>
  <si>
    <t>ABC341</t>
  </si>
  <si>
    <t>ABC342</t>
  </si>
  <si>
    <t>ABC343</t>
  </si>
  <si>
    <t>ABC344</t>
  </si>
  <si>
    <t>ABC345</t>
  </si>
  <si>
    <t>ABC346</t>
  </si>
  <si>
    <t>ABC347</t>
  </si>
  <si>
    <t>ABC348</t>
  </si>
  <si>
    <t>ABC349</t>
  </si>
  <si>
    <t>ABC350</t>
  </si>
  <si>
    <t>ABC351</t>
  </si>
  <si>
    <t>ABC352</t>
  </si>
  <si>
    <t>ABC353</t>
  </si>
  <si>
    <t>ABC354</t>
  </si>
  <si>
    <t>ABC355</t>
  </si>
  <si>
    <t>ABC356</t>
  </si>
  <si>
    <t>ABC357</t>
  </si>
  <si>
    <t>ABC358</t>
  </si>
  <si>
    <t>ABC359</t>
  </si>
  <si>
    <t>ABC360</t>
  </si>
  <si>
    <t>ABC361</t>
  </si>
  <si>
    <t>ABC362</t>
  </si>
  <si>
    <t>ABC363</t>
  </si>
  <si>
    <t>ABC364</t>
  </si>
  <si>
    <t>ABC365</t>
  </si>
  <si>
    <t>ABC366</t>
  </si>
  <si>
    <t>ABC367</t>
  </si>
  <si>
    <t>ABC368</t>
  </si>
  <si>
    <t>ABC369</t>
  </si>
  <si>
    <t>ABC370</t>
  </si>
  <si>
    <t>ABC371</t>
  </si>
  <si>
    <t>ABC372</t>
  </si>
  <si>
    <t>ABC373</t>
  </si>
  <si>
    <t>ABC374</t>
  </si>
  <si>
    <t>ABC375</t>
  </si>
  <si>
    <t>ABC376</t>
  </si>
  <si>
    <t>ABC377</t>
  </si>
  <si>
    <t>&lt;mongo_generated&gt;</t>
  </si>
  <si>
    <t>RF1_Lee</t>
  </si>
  <si>
    <t>X-ray holographic nanotomography of mouse brain</t>
  </si>
  <si>
    <t>doi://abc.protocol.io.happyexperiment</t>
  </si>
  <si>
    <t>bossdb://lee2022/|bossdb://lee2022/lee_mouse_s05/</t>
  </si>
  <si>
    <t>R01-ABC</t>
  </si>
  <si>
    <t>doi://xyz.happypaper</t>
  </si>
  <si>
    <t>lee2022</t>
  </si>
  <si>
    <t>Lee 2022</t>
  </si>
  <si>
    <t>bossdb://lee2022/</t>
  </si>
  <si>
    <t>R01-XXX</t>
  </si>
  <si>
    <t xml:space="preserve">Mouse X-ray </t>
  </si>
  <si>
    <t>Anntomical Structure</t>
  </si>
  <si>
    <t>ParentSpecimenID</t>
  </si>
  <si>
    <t>ParentSpecimenType</t>
  </si>
  <si>
    <t>ImageLocation</t>
  </si>
  <si>
    <t>CoordinateFrame</t>
  </si>
  <si>
    <t>0hrs</t>
  </si>
  <si>
    <t>5hrs</t>
  </si>
  <si>
    <t>8hrs</t>
  </si>
  <si>
    <t>16hrs</t>
  </si>
  <si>
    <t>23hrs</t>
  </si>
  <si>
    <t>27hrs</t>
  </si>
  <si>
    <t>45hrs</t>
  </si>
  <si>
    <t>10yr</t>
  </si>
  <si>
    <t>1-2d</t>
  </si>
  <si>
    <t>8wks</t>
  </si>
  <si>
    <t>32d</t>
  </si>
  <si>
    <t>10-14wks</t>
  </si>
  <si>
    <t>6hrs</t>
  </si>
  <si>
    <t>bossdb://mulcahy2020/15h_L1</t>
  </si>
  <si>
    <t>ABC378</t>
  </si>
  <si>
    <t>ABC379</t>
  </si>
  <si>
    <t>ABC380</t>
  </si>
  <si>
    <t>ABC381</t>
  </si>
  <si>
    <t>ABC382</t>
  </si>
  <si>
    <t>ABC383</t>
  </si>
  <si>
    <t>ABC384</t>
  </si>
  <si>
    <t>ABC385</t>
  </si>
  <si>
    <t>ABC386</t>
  </si>
  <si>
    <t>ABC387</t>
  </si>
  <si>
    <t>ABC388</t>
  </si>
  <si>
    <t>ABC389</t>
  </si>
  <si>
    <t>ABC390</t>
  </si>
  <si>
    <t>ABC391</t>
  </si>
  <si>
    <t>ABC392</t>
  </si>
  <si>
    <t>ABC393</t>
  </si>
  <si>
    <t>ABC394</t>
  </si>
  <si>
    <t>ABC395</t>
  </si>
  <si>
    <t>ABC396</t>
  </si>
  <si>
    <t>ABC397</t>
  </si>
  <si>
    <t>ABC398</t>
  </si>
  <si>
    <t>ABC399</t>
  </si>
  <si>
    <t>ABC400</t>
  </si>
  <si>
    <t>ABC401</t>
  </si>
  <si>
    <t>ABC402</t>
  </si>
  <si>
    <t>ABC403</t>
  </si>
  <si>
    <t>ABC404</t>
  </si>
  <si>
    <t>ABC405</t>
  </si>
  <si>
    <t>ABC406</t>
  </si>
  <si>
    <t>ABC407</t>
  </si>
  <si>
    <t>ABC408</t>
  </si>
  <si>
    <t>ABC409</t>
  </si>
  <si>
    <t>ABC410</t>
  </si>
  <si>
    <t>ABC411</t>
  </si>
  <si>
    <t>ABC412</t>
  </si>
  <si>
    <t>ABC413</t>
  </si>
  <si>
    <t>ABC414</t>
  </si>
  <si>
    <t>ABC415</t>
  </si>
  <si>
    <t>ABC416</t>
  </si>
  <si>
    <t>ABC417</t>
  </si>
  <si>
    <t>ABC418</t>
  </si>
  <si>
    <t>ABC419</t>
  </si>
  <si>
    <t>ABC420</t>
  </si>
  <si>
    <t>ABC421</t>
  </si>
  <si>
    <t>ABC426</t>
  </si>
  <si>
    <t>ABC427</t>
  </si>
  <si>
    <t>ABC428</t>
  </si>
  <si>
    <t>ABC429</t>
  </si>
  <si>
    <t>ABC430</t>
  </si>
  <si>
    <t>ABC431</t>
  </si>
  <si>
    <t>ABC432</t>
  </si>
  <si>
    <t>ABC433</t>
  </si>
  <si>
    <t>ABC434</t>
  </si>
  <si>
    <t>ABC435</t>
  </si>
  <si>
    <t>ABC436</t>
  </si>
  <si>
    <t>ABC437</t>
  </si>
  <si>
    <t>ABC438</t>
  </si>
  <si>
    <t>ABC439</t>
  </si>
  <si>
    <t>ABC440</t>
  </si>
  <si>
    <t>ABC441</t>
  </si>
  <si>
    <t>ABC442</t>
  </si>
  <si>
    <t>ABC443</t>
  </si>
  <si>
    <t>ABC444</t>
  </si>
  <si>
    <t>ABC445</t>
  </si>
  <si>
    <t>ABC446</t>
  </si>
  <si>
    <t>ABC447</t>
  </si>
  <si>
    <t>ABC448</t>
  </si>
  <si>
    <t>ABC449</t>
  </si>
  <si>
    <t>ABC450</t>
  </si>
  <si>
    <t>ABC451</t>
  </si>
  <si>
    <t>ABC452</t>
  </si>
  <si>
    <t>ABC453</t>
  </si>
  <si>
    <t>ABC454</t>
  </si>
  <si>
    <t>ABC455</t>
  </si>
  <si>
    <t>ABC456</t>
  </si>
  <si>
    <t>ABC457</t>
  </si>
  <si>
    <t>ABC458</t>
  </si>
  <si>
    <t>ABC459</t>
  </si>
  <si>
    <t>ABC460</t>
  </si>
  <si>
    <t>ABC461</t>
  </si>
  <si>
    <t>ABC462</t>
  </si>
  <si>
    <t>ABC463</t>
  </si>
  <si>
    <t>ABC464</t>
  </si>
  <si>
    <t>ABC465</t>
  </si>
  <si>
    <t>ABC466</t>
  </si>
  <si>
    <t>ABC467</t>
  </si>
  <si>
    <t>ABC468</t>
  </si>
  <si>
    <t>ABC469</t>
  </si>
  <si>
    <t>ABC470</t>
  </si>
  <si>
    <t>ABC471</t>
  </si>
  <si>
    <t>ABC472</t>
  </si>
  <si>
    <t>ABC473</t>
  </si>
  <si>
    <t>ABC474</t>
  </si>
  <si>
    <t>ABC475</t>
  </si>
  <si>
    <t>ABC476</t>
  </si>
  <si>
    <t>ABC477</t>
  </si>
  <si>
    <t>ABC478</t>
  </si>
  <si>
    <t>ABC479</t>
  </si>
  <si>
    <t>ABC480</t>
  </si>
  <si>
    <t>ABC481</t>
  </si>
  <si>
    <t>ABC482</t>
  </si>
  <si>
    <t>ABC483</t>
  </si>
  <si>
    <t>ABC484</t>
  </si>
  <si>
    <t>ABC485</t>
  </si>
  <si>
    <t>ABC486</t>
  </si>
  <si>
    <t>ABC487</t>
  </si>
  <si>
    <t>ABC488</t>
  </si>
  <si>
    <t>ABC489</t>
  </si>
  <si>
    <t>ABC491</t>
  </si>
  <si>
    <t>ABC492</t>
  </si>
  <si>
    <t>ABC493</t>
  </si>
  <si>
    <t>ABC494</t>
  </si>
  <si>
    <t>ABC495</t>
  </si>
  <si>
    <t>ABC496</t>
  </si>
  <si>
    <t>ABC497</t>
  </si>
  <si>
    <t>ABC498</t>
  </si>
  <si>
    <t>ABC499</t>
  </si>
  <si>
    <t>ABC500</t>
  </si>
  <si>
    <t>ABC501</t>
  </si>
  <si>
    <t>ABC502</t>
  </si>
  <si>
    <t>ABC503</t>
  </si>
  <si>
    <t>ABC504</t>
  </si>
  <si>
    <t>ABC505</t>
  </si>
  <si>
    <t>ABC506</t>
  </si>
  <si>
    <t>ABC507</t>
  </si>
  <si>
    <t>ABC508</t>
  </si>
  <si>
    <t>ABC509</t>
  </si>
  <si>
    <t>ABC510</t>
  </si>
  <si>
    <t>ABC511</t>
  </si>
  <si>
    <t>ABC512</t>
  </si>
  <si>
    <t>ABC513</t>
  </si>
  <si>
    <t>ABC514</t>
  </si>
  <si>
    <t>ABC515</t>
  </si>
  <si>
    <t>ABC516</t>
  </si>
  <si>
    <t>ABC517</t>
  </si>
  <si>
    <t>ABC518</t>
  </si>
  <si>
    <t>ABC519</t>
  </si>
  <si>
    <t>ABC520</t>
  </si>
  <si>
    <t>ABC521</t>
  </si>
  <si>
    <t>ABC522</t>
  </si>
  <si>
    <t>ABC523</t>
  </si>
  <si>
    <t>ABC524</t>
  </si>
  <si>
    <t>ABC525</t>
  </si>
  <si>
    <t>ABC526</t>
  </si>
  <si>
    <t>ABC527</t>
  </si>
  <si>
    <t>ABC528</t>
  </si>
  <si>
    <t>bossdb://microns/basil/em</t>
  </si>
  <si>
    <t>2020</t>
  </si>
  <si>
    <t>CC-BY 4.0
CC-BY 4.0
CC-BY 4.0
CC-BY 4.0
CC-BY 4.0
CC-BY 4.0
CC-BY 4.0
CC-BY 4.0
CC-BY 4.0
CC-BY 4.0
CC-BY 4.0
CC-BY 4.0
CC-BY 4.0
CC-BY 4.0
CC-BY 4.0
CC-BY 4.0
CC-BY 4.0
CC-BY 4.0
CC-BY 4.0
CC-BY 4.0</t>
  </si>
  <si>
    <t>Fly connectomic community</t>
  </si>
  <si>
    <t>https://doi.org/10.1016/j.cell.2020.12.012</t>
  </si>
  <si>
    <t>https://doi.org/10.1016/j.cell.2020.12.013</t>
  </si>
  <si>
    <t>https://elifesciences.org/articles/29089</t>
  </si>
  <si>
    <t>https://www.eneuro.org/content/4/5/ENEURO.0195-17.2017</t>
  </si>
  <si>
    <t>interneuron_8x8x40</t>
  </si>
  <si>
    <t xml:space="preserve">em </t>
  </si>
  <si>
    <t xml:space="preserve">Ch0 </t>
  </si>
  <si>
    <t>Pending</t>
  </si>
  <si>
    <t>e2006_segmentation_recol</t>
  </si>
  <si>
    <t xml:space="preserve">No grant number: Work sponsored by Allen Institute for Brain Science </t>
  </si>
  <si>
    <t xml:space="preserve">GM24663 </t>
  </si>
  <si>
    <t>15h_L1|16h_L1|18h_L2|1h_L1|23h_L2</t>
  </si>
  <si>
    <t>em|em|em|em|em</t>
  </si>
  <si>
    <t>D16PC00004|D16PC0005</t>
  </si>
  <si>
    <t>MICrONs Consortium et al.|JoAnn Buchanan et al.|Nicholas L. Turner|Thomas Macrina|J. Alexander Bae| Runzhe Yang</t>
  </si>
  <si>
    <t>BRAIN Initative|NIH|ATUM-SEM|dopamine|cocaine|nucleus accumbens|SEM|commectomics|Apex2|EM</t>
  </si>
  <si>
    <t>NAc_dat1_saline_control_axons_2ndmouse_15nm_bottom|NAc_dat1_saline_control_axons_2ndmouse_15nm_top|NAc_dat1_saline_control_axons_2ndmouse_7nm|NAc_dat29_cocaine_axon_2ndmouse_15nm_aligned|NAc_dat2b_saline_control_axons_1stmouse_20nm_aligned|NAc_dat2b_saline_control_axons_1stmouse_6nm_aligned|NAc_dat30_cocaine_axon_1stmouse_aligned_6nm|NAc_dat30_cocaine_axon_1stmouse_aligned_6nm_2ndstack|NAc_dat30_cocaine_axons_1stmouse_20nm_aligned|NAc_mito_apex_aligned01_6nm|NAc_mito_apex_aligned02_6nm|VTA_dat12a_saline_control_Dendrites_6nm_aligned|VTA_dat39_cocaine_Dendrites_6nm_aligned</t>
  </si>
  <si>
    <t>image|image|image|image|image|image|image|image|image|image|image|image|image</t>
  </si>
  <si>
    <t>EM1|EM2</t>
  </si>
  <si>
    <t>Crowdsourcing the Fly Connectome|Structure and Function of a Cubic Millimeter of Cortex: Crowdsourcing for Proofreading and Discovery|Towards integrated 3D reconstruction of whole human brains at subcelluar resolution|Collaboratory for atlasting cell type anatomy in the female and male mouse brain</t>
  </si>
  <si>
    <t>Brain Initiative|NIH|Drosophila|fruit fly|fly|fruitfly|adult|whole brain|TEM|EM|connectomics|AI|segmentation</t>
  </si>
  <si>
    <t>fafbv14|fabv14_fix</t>
  </si>
  <si>
    <t>em|em</t>
  </si>
  <si>
    <t>U24 NS109102-01|R01-NS082525-01A1|1U01NS111697-01</t>
  </si>
  <si>
    <t>A Facility to Generate Connectomics Information|Sensory-motor processing in a developing nervous system|Comprehensive Analysis of a Decision Circuit</t>
  </si>
  <si>
    <t>BRAIN Initiative|NIH|while-brain|connectomics|development|C. elegans|celegans|nematode|high-pressure freezing|ATUM-SEM|ssTEM|TEM|SSEM|EM</t>
  </si>
  <si>
    <t>Dataset_1|Dataset_1_Segmentation|Dataset_2|Dataset_2_Segmentation|Dataset_3|Dataset_3_Segmentation|Dataset_4|Dataset_4_Segmentation|Dataset_5|Dataset_5_Segmentation|Dataset_6|Dataset_6_Segmentation|Dataset_7|Dataset_8|Dataset_8_Segmentation</t>
  </si>
  <si>
    <t>em|segmentation|segmentation16|em|segmentation|segmentation16|em|segmentation|segmentation16|em|segmentation|segmentation16|em|segmentation|segmentation16|em|segmentation|em|em|segmentation|segmentation16</t>
  </si>
  <si>
    <t>Binary and analog variation of synapses between cortical pyramidal neurons|Chandelier cell anatomy and function suggest a variably distributed but common signal</t>
  </si>
  <si>
    <t>basil|basil_8x8x40|interneuron_8x8x40|minnie35_8x8x40|minnie65_8x8x40|pinky100|pinky100_8x8x40</t>
  </si>
  <si>
    <t>em|clefts|nuclei|seg</t>
  </si>
  <si>
    <t>P40 OD010440|5T32DK7328-37|5T32DK7328-35|5T32MH01574-38|5T32MH015174-37|1R01NS113119-01</t>
  </si>
  <si>
    <t>Caenorhabditis Genetics Center||HORMONES:BIOCHEMISTRY AND MOLECULAR BIOLOGY|Translational Neuroscience Training Grant|Translational Neuroscience Training Grant</t>
  </si>
  <si>
    <t>Caenorhabditis elegans|nematode|worm|NeuroPAL|young-adult|heraphrodite|nervous-system|neurons|cell identities</t>
  </si>
  <si>
    <t>11_YAaLR|11_YApLR|20_YAaLR|20_YApLR|62_YAaLR|62_YApLR|7_YAaLR|7_YApLR|70_YAaLR|70_YApLR</t>
  </si>
  <si>
    <t>BLUE|DIC|GREEN|RED|WHITE</t>
  </si>
  <si>
    <t>1S10RR028832-01|R21NS085320|RF1MH114047|RF1MH117808|T32MH20017|T32HL007901</t>
  </si>
  <si>
    <t>BRAIN Initiative|NIH|fruitfly|fly|ssTEM|TEM|EM|GridTape|connectomics|limb control|motor neurons|sensory neurons</t>
  </si>
  <si>
    <t>drBrain_120nm_rec|190515_merged_fullres|jaspersLegCryo_r1_50nm_rec|mCTXsmall_17keV_850umBS_30nm|mCTXsmall_higher_40nm</t>
  </si>
  <si>
    <t>R24MH114799|R24MH114785|U01MH109100|R01 MH115265</t>
  </si>
  <si>
    <t>SABER: Scalable Analytics for Brain Exploration Research using X-Ray Microtomography and Electron Microscopy|Boss: A could-based data archive for eletron microscopy and x-ray microtomography|Sub-micrometer x-ray tomography for neuroanatomy|Development of Sub 100 nm Resolution X-ray Nanotomography of Centimeter-Sized Tissues</t>
  </si>
  <si>
    <t>prasad_analysis|prasad2020</t>
  </si>
  <si>
    <t>pixel_labels|roi_labels|test_channel|image|pixel_annotation|region_of_interest|unet_microseg|unet_microseg_masked|unet_region|unet_region_16res</t>
  </si>
  <si>
    <t>1DP2OD006514-01|TR01 1R01NS076467-01|1U01NS090449-01|U24NS109102</t>
  </si>
  <si>
    <t>zebrafinch|MagC|EM</t>
  </si>
  <si>
    <t>Wafer_3|Wafer1|Wafer3</t>
  </si>
  <si>
    <t>C1_Beads_488|C1_Beads_546|C1_EM|C1_LM_488|C1_LM_546|C1_LM_647|C1_LM_brightfield|C1_LM_contrastedbrightfield|B6_Beads_488|B6_Beads_546|B6_LM_647|B6_LM_brightfield|B6_LM_contrastedbrightfield|B6_SegmentedLM_647|EM</t>
  </si>
  <si>
    <t>F31NS089223|1DP2OD006514-01|TR01 1R01NS076467-01|1U01NS090449-01|U19NS104653</t>
  </si>
  <si>
    <t>mouse|aging|neuriscience|EM</t>
  </si>
  <si>
    <t>P3|P7</t>
  </si>
  <si>
    <t>HHMI|Pyramidal|CA1|neuroscience|mouse|EM|ssTEM</t>
  </si>
  <si>
    <t>bloss16|bloss18</t>
  </si>
  <si>
    <t>HHMI|ssTEM|TEM|EM|fruitfly|drosophila|1st|instar|3rd instar|larva|development</t>
  </si>
  <si>
    <t>em|ssTEM_stack</t>
  </si>
  <si>
    <t>https://www.biorxiv.org/content/10.1101/615161v1|https://www.eneuro.org/content/4/5/ENEURO.0195-17.2017</t>
  </si>
  <si>
    <t>cells_Pub|full_vol|vessels_Pub</t>
  </si>
  <si>
    <t>120809zf104|130201zf142</t>
  </si>
  <si>
    <t>151009|160515_SWiFT_60nmpx</t>
  </si>
  <si>
    <t xml:space="preserve">channel0|channel1|channel2|channel3 </t>
  </si>
  <si>
    <t>apical|oblique|spine</t>
  </si>
  <si>
    <t>annotation|image</t>
  </si>
  <si>
    <t>acardona_0111_8__12_03_2017|acardona_abd1_5</t>
  </si>
  <si>
    <t>image|image</t>
  </si>
  <si>
    <t>collman14v2|collman15v2</t>
  </si>
  <si>
    <t>Ex10R55|Ex12R75|Ex12R76|Ex13R51|Ex14R58|Ex2R18C1</t>
  </si>
  <si>
    <t>080823_e2006_mouseHRP_mag1|e2006_segmentation_recol</t>
  </si>
  <si>
    <t>Contributor</t>
  </si>
  <si>
    <t>NIH/NINDS U19 NS104648|ARO W911NF-12-1-0594|NIH/NEI R01 EY027036|NIH/NIMH U01 MH114824|NIH/NINDS R01NS104926|NIH/NIMH RF1MH117815</t>
  </si>
  <si>
    <t>U01NS090449|R21NS085320|DP1NS082121</t>
  </si>
  <si>
    <t>MH117815|RF1MH123400|U01MH117072|U01MH114824</t>
  </si>
  <si>
    <t>Drosophila|Mouse</t>
  </si>
  <si>
    <t>University of Chicago|Georgia Institute of Technology|Johns Hopkins University</t>
  </si>
  <si>
    <t>U01MH109100|D16PC0002|N66001-14-1-4028</t>
  </si>
  <si>
    <t>sagittal_100um|sagittal_10um|sagittal_25um|sagittal_50um</t>
  </si>
  <si>
    <t>Allen Institute for Brain Science|Harvard Medical School|Ulsan National Institute of Science and Technology</t>
  </si>
  <si>
    <t>Department of Molecular and Cellular Physiology Stanford University|Janelia Research Campus</t>
  </si>
  <si>
    <t>R21MH099797|R01NS75252|R01NS092474</t>
  </si>
  <si>
    <t>N66001-15-C-4041|N66001-14-1-4028</t>
  </si>
  <si>
    <t>Georgia Institute of Technology|Emory University|JHUAPL</t>
  </si>
  <si>
    <t>Harvard Medical School|Neuro-Electronics Research Flanders|Carnegie Mellon University|Allen Institute for Brain Science</t>
  </si>
  <si>
    <t>Harvard University|Ludwig Maximilian University|University College London</t>
  </si>
  <si>
    <t>University of Texas at Austin|Charles University at Prague|Johns Hopkins University</t>
  </si>
  <si>
    <t>NS21184|MH095980|NS074644|NS092474|EB016411|N66001-14-1-4028|ACI-1261715</t>
  </si>
  <si>
    <t>Harvard University|Massachusetts Institute of Technology|Johns Hopkins University</t>
  </si>
  <si>
    <t>Institute of Neuroscience and Medicine|Montreal Neurological Institute</t>
  </si>
  <si>
    <t>1R21MH099797|1R01NS075252|1R01NS07760</t>
  </si>
  <si>
    <t>Harvard Medical School|Carnegie Mellon University</t>
  </si>
  <si>
    <t>EY10115|EY18742|EY18532|P41 RR06009</t>
  </si>
  <si>
    <t>MICrONs Consortium et al.|JoAnn Buchanan et al.|Nicholas L. Turner|Thomas Macrina|J. Alexander Bae|Runzhe Yang</t>
  </si>
  <si>
    <t>Joshua T. Vogelstein|Eric Perlman|Benjamin Falk|Alex Baden|William Gray Roncal|Vikram Chandrashekhar|Forrest Collman|Sharmishtaa Seshamani|Jesse L. Patsolic|Kunal Lillaney|Michael Kazhdan|Robert Hider Jr.|Derek Pryor|Jordan Matelsky|Timothy Gion|Priya Manavalan|Brock Wester|Chevillet|Eric T. Trautman|Khaled Khairy|Eric Bridgeford|Dean M. Kleissas|Daniel J. Tward|Ailey K. Crow|Brian Hsueh|Matthew A. Wright|Michael I. Miller|Stephen J. Smith|R. Jacob Vogelstein|Karl Deisseroth|Randal Burns</t>
  </si>
  <si>
    <t>Eva L. Dyer|William Gray Roncal|Judy A. Prasad|Hugo L. Fernandes|Doga Gürsoy|Vincent De Andrade|Kamel Fezzaa|Xianghui Xiao|Joshua T. Vogelstein|Chris Jacobsen|Konrad P. Körding and Narayanan Kasthuri</t>
  </si>
  <si>
    <t>Suvro Datta|Nick R. Dee|Aimee L. Desaki|Tsega Desta|Ellen Diep|Tim A. Dolbeare|Matthew J. Donelan|Hong-Wei Dong|Jennifer G. Dougherty|Ben J. Duncan|Amanda J. Ebbert|Gregor Eichele|Lili K. Estin|Casey Faber|Benjamin A. Facer|Rick Fields|Shanna R. Fischer|Tim P. Fliss|Cliff Frensley|Sabrina N. Gates|Katie J. Glattfelder|Kevin R. Halverson|Matthew R. Hart|John G. Hohmann|Maureen P. Howell|Darren P. Jeung|Rebecca A. Johnson|Patrick T. Karr|Reena Kawal|Jolene M. Kidney|Rachel H. Knapik|Chihchau L. Kuan|James H. Lake|Annabel R. Laramee|Kirk D. Larsen|Christopher Lau|Tracy A. Lemon|Agnes J. Liang|Ying Liu|Lon T. Luong|Jesse Michaels|Judith J. Morgan|Rebecca J. Morgan|Marty T. Mortrud|Nerick F. Mosqueda|Lydia L. Ng|Randy Ng|Geralyn J. Orta|Caroline C. Overly|Tu H. Pak|Sheana E. Parry|Sayan D. Pathak|Owen C. Pearson|Ralph B. Puchalski|Zackery L. Riley|Hannah R. Rockett|Stephen A. Rowland|Joshua J. Royall|Marcos J. Ruiz|Nadia R. Sarno|Katherine Schaffnit|Nadiya V. Shapovalova|Taz Sivisay|Clifford R. Slaughterbeck|Simon C. Smith|Kimberly A. Smith|Bryan I. Smith|Andy J. Sodt|Nick N. Stewart|Kenda-Ruth Stumpf|Susan M. Sunkin|Madhavi Sutram|Angelene Tam|Carey D. Teemer|Christina Thaller|Carol L. Thompson|Lee R. Varnam|Axel Visel|Ray M. Whitlock|Paul E. Wohnoutka|Crissa K. Wolkey|Victoria Y. Wong|Matthew Wood|Murat B. Yaylaoglu|Rob C. Young|Brian L. Youngstrom|Xu Feng Yuan|Bin Zhang|Theresa A. Zwingman</t>
  </si>
  <si>
    <t>David Grant Colburn Hildebrand|Marcelo Cicconet|Russel Miguel Torres|Woohyuk Choi|Tran Minh Quan|Jungmin Moon|Arthur Willis Wetzel|Andrew Scott Champion|Brett Jesse Graham|Owen Randlett|George Scott Plummer|Ruben Portugues|Isaac Henry Bianco|Stephan Saalfeld|Alexander David Baden|Kunal Lillaney|Randal Burns|Joshua Tzvi Vogelstein|Alexander Franz Schier|Wei-Chung Allen Lee|Won-Ki Jeong|Jeff William Lichtman</t>
  </si>
  <si>
    <t xml:space="preserve">Adrian A. Wanner|Christel Genoud &amp; Rainer W. Friedrich </t>
  </si>
  <si>
    <t>Kristina D Micheva|Dylan Wolman|Brett D Mensh|Elizabeth Pax|JoAnn Buchanan|Stephen J Smith|Davi D Bock</t>
  </si>
  <si>
    <t>Kwame S. Kutten|Joshua T. Vogelstein|Nicolas Charon|Li Ye|Karl Deisseroth M.D.|Michael I. Miller</t>
  </si>
  <si>
    <t>Eva L. Dyer|William Gray Roncal|Judy A. Prasad|Hugo L. Fernandes|Doga Gürsoy|Vincent De Andrade|Kamel Fezzaa|Xianghui Xiao|Joshua T. Vogelstein|Chris Jacobsen|Konrad P. Körding and Narayanan Kasthuri</t>
  </si>
  <si>
    <t>Wei-Chung Allen Lee|Vincent Bonin|Michael Reed|Brett J. Graham|Greg Hood|Katie Glattfelder &amp; R. Clay Reid</t>
  </si>
  <si>
    <t>Erik B.Bloss|Mark S.Cembrowski|Bill Karsh|Jennifer Colonell|Richard D.Fetter|Nelson Spruston</t>
  </si>
  <si>
    <t xml:space="preserve">Owen Randlett|Caroline L Wee|Eva A Naumann|Onyeka Nnaemeka|David Schoppik|James E Fitzgerald|Ruben Portugues|Alix M B Lacoste|Clemens Riegler|Florian Engert &amp; Alexander F Schier </t>
  </si>
  <si>
    <t xml:space="preserve">Kristen M. Harris|Josef Spacek|Maria Elizabeth Bell|Patrick H. Parker|Laurence F. Lindsey|Alexander D. Baden|Joshua T. Vogelstein &amp; Randal Burns </t>
  </si>
  <si>
    <t>Nikhil Bhatla|Rita Droste|Steven R.Sando|Anne Huang|H. Robert Horvitz</t>
  </si>
  <si>
    <t xml:space="preserve">Narayanan Kasthuri|Kenneth Jeffrey Hayworth|Daniel Raimund Berger|Richard Lee Schalek|José Angel Conchello|Seymour Knowles-Barley|Dongil Lee|Amelio Vázquez-Reina|Verena Kaynig|Thouis Raymond Jones|Mike Roberts|Josh Lyskowski Morgan  2|Juan Carlos Tapia  2|H Sebastian Seung  6|William Gray Roncal  7|Joshua Tzvi Vogelstein  8|Randal Burns  7|Daniel Lewis Sussman  9|Carey Eldin Priebe  10|Hanspeter Pfister </t>
  </si>
  <si>
    <t>Katrin Amunts|Claude Lepage|Louis Borgeat|Hartmut Mohlberg</t>
  </si>
  <si>
    <t>Tomoko Ohyama|Casey M. Schneider-Mizell|Richard D. Fetter|Javier Valdes Aleman|Romain Franconville|Marta Rivera-Alba|Brett D. Mensh|Kristin M. Branson|Julie H. Simpson|James W. Truman|Albert Cardona &amp; Marta Zlatic</t>
  </si>
  <si>
    <t>Forrest Collman|JoAnn Buchanan|Kristen D. Phend|Kristina D. Micheva|Richard J. Weinberg|Stephen J Smith</t>
  </si>
  <si>
    <t>Stanford University|Allen Institute for Brain Science|University of North Carolina School of Medicine</t>
  </si>
  <si>
    <t xml:space="preserve">Nicholas C Weiler|Forrest Collman|Joshua T Vogelstein|Randal Burns &amp; Stephen J Smith </t>
  </si>
  <si>
    <t>Stanford University School of Medicine|Duke University|The Johns Hopkins University</t>
  </si>
  <si>
    <t>Shin-ya Takemura|Arjun Bharioke|Zhiyuan Lu|Aljoscha Nern|Shiv Vitaladevuni|Patricia K. Rivlin|William T. Katz|Donald J. Olbris|Stephen M. Plaza|Philip Winston|Ting Zhao|Jane Anne Horne|Richard D. Fetter|Satoko Takemura|Katerina Blazek|Lei-Ann Chang|Omotara Ogundeyi|Mathew A. Saunders|Victor Shapiro|Christopher Sigmund|Gerald M. Rubin|Louis K. Scheffer|Ian A. Meinertzhagen &amp; Dmitri B. Chklovskii</t>
  </si>
  <si>
    <t xml:space="preserve">Moritz Helmstaedter|Kevin L. Briggman|Srinivas C. Turaga|Viren Jain|H. Sebastian Seung &amp; Winfried Denk </t>
  </si>
  <si>
    <t>Daniel J.Bumbarger|Metta Riebesell|Christian Rödelsperger|Ralf J. Sommer</t>
  </si>
  <si>
    <t>Davi D. Bock|Wei-Chung Allen Lee|Aaron M. Kerlin|Mark L. Andermann|Greg Hood|Arthur W. Wetzel|Sergey Yurgenson|Edward R. Soucy|Hyon Suk Kim &amp; R. Clay Reid</t>
  </si>
  <si>
    <t>cleft|em|seg|ws</t>
  </si>
  <si>
    <t>segmentation|template</t>
  </si>
  <si>
    <t xml:space="preserve">BLUE|DIC|GREEN|RED|WHITE </t>
  </si>
  <si>
    <t>channel0|channel1|channel2|channel3|image</t>
  </si>
  <si>
    <t>image|pixel_annotation|region_of_interest|unet_microseg|inet_microseg_masked|unet_region|unet_region_16res</t>
  </si>
  <si>
    <t>C1_Beads_488|C1_Beads_546|C1_EM|CLM_546|C1_LM_647|C1_LM_brightfield|C1_LM_contrastedbrightfiled|B6_Beads_488|B6_Beads_546|B6_LM_647|B6_LM_brightfield|B6_LM_contrastedbrightfield|B6_SegmentedLM_64|EM</t>
  </si>
  <si>
    <t>Rod/Cone Gap Junctions from Mouse Photoreceptor Termils.</t>
  </si>
  <si>
    <t>BRAIN Initiative|NIH|FIB-SEM|EM|SEM|mouse|reti|OPL|gap junction|connexin|Cx36|photo receptor|cone|pedicle|rod|spherule</t>
  </si>
  <si>
    <t>https://www.ture.com/articles/s41586-021-03778-8</t>
  </si>
  <si>
    <t>Variation of sypses between neurons</t>
  </si>
  <si>
    <t>BRAIN Initative|IARPA|connectomics|mouse|segmentation|TEM|EM|meshes|visual cortex|V1|layer 2/3|neuroscience|neuroatomy|microns</t>
  </si>
  <si>
    <t>Biry and alog variation of sypses</t>
  </si>
  <si>
    <t xml:space="preserve"> Atlas for Whole-Brain Neurol Identification</t>
  </si>
  <si>
    <t>Neurol reconstruction through X-ray holographics</t>
  </si>
  <si>
    <t>https://www.ture.com/articles/s41593-020-0704-9</t>
  </si>
  <si>
    <t>BRAIN Initiative|NIH|mouse|neuroatomy|thalamocortical pathway|X-ray|X-ray microtomography|XRM|Parcellation|Brain Microstructure|white matter|axol projection|Cytoarchitecture|Vasculature|Brain Area Prediction|Image Classification|thalamus|cortex</t>
  </si>
  <si>
    <t>A three-dimensiol dataset for brain heterogeneity</t>
  </si>
  <si>
    <t>BRAIN Initiative|NIH|mouse|dLGN|thalmus|SEM|EM|vision|retil ganglion cell|thalamocortical cell|sypse</t>
  </si>
  <si>
    <t>BRAIN Initative|NIH|cerebellum|sypse elimition|climbing fibers|Purkinje cells|axol convergence|axol divergence|pruning|sypse formation|circuit development|connectomics|ATUM|SEM|EM|mouse</t>
  </si>
  <si>
    <t>Open-source computatiol ecosystem for big neuro data</t>
  </si>
  <si>
    <t>https://www.ture.com/articles/s41592-018-0181-1</t>
  </si>
  <si>
    <t>Single excitatory axons form clustered sypses</t>
  </si>
  <si>
    <t>https://www.ture.com/articles/s41593-018-0084-6</t>
  </si>
  <si>
    <t>Adult  mouse brain in corol and sagittal planes of section</t>
  </si>
  <si>
    <t>https://www.ture.com/articles/nrn2722|https://www.ture.com/articles/ture05453</t>
  </si>
  <si>
    <t>https://www.ture.com/articles/ture22356</t>
  </si>
  <si>
    <t>https://www.ture.com/articles/nn.4290|https://www.ture.com/articles/sdata2016100</t>
  </si>
  <si>
    <t>kristi15</t>
  </si>
  <si>
    <t>bossdb://kristi15/image/5HT1A_6th
bossdb://kristi15/image/CR1_2ndA
bossdb://kristi15/image/dapi_1stA 
bossdb://kristi15/image/GABABR1_3rdA 
bossdb://kristi15/image/GABARa1_4thA 
bossdb://kristi15/image/GAD_6thA
bossdb://kristi15/image/gephyrin_1stA
bossdb://kristi15/image/GluR2_2ndA
bossdb://kristi15/image/NMDAR1_6thA
bossdb://kristi15/image/NOS_9thA</t>
  </si>
  <si>
    <t>https://bossdb.org/project/kristi2015</t>
  </si>
  <si>
    <t>/assets/projects/kristi2015.jpg</t>
  </si>
  <si>
    <t>https://www.ture.com/articles/ture17192</t>
  </si>
  <si>
    <t>https://www.ture.com/articles/sdata201546</t>
  </si>
  <si>
    <t>Mouse cortex with cubic nometer spatial resolution</t>
  </si>
  <si>
    <t xml:space="preserve">bossdb://Kasthuri/ac4/em
bossdb://Kasthuri/ac4/emblack
bossdb://Kasthuri/ac4/membrane
bossdb://Kasthuri/ac4/neuron
bossdb://Kasthuri/ac4/sypse
bossdb://Kasthuri/connectomics2019_results/ 
bossdb://Kasthuri/em/I2G_Membranes_i_Pub
bossdb://Kasthuri/em/I2G_Sypses_i_Pub 
bossdb://Kasthuri/em/images
bossdb://Kasthuri/em/mitochondria_raw
bossdb://Kasthuri/em/ </t>
  </si>
  <si>
    <t xml:space="preserve">Human whole-brain magnetic resonce imaging </t>
  </si>
  <si>
    <t>cardo</t>
  </si>
  <si>
    <t xml:space="preserve">bossdb://cardo/acardo_0111_8__12_03_2017/image 
bossdb://cardo/acardo_abd1_5/image </t>
  </si>
  <si>
    <t>https://www.ture.com/articles/ture14297</t>
  </si>
  <si>
    <t>/assets/projects/cardo2015.jpg</t>
  </si>
  <si>
    <t>Syptic molecular imagine in mouse barrel cortex</t>
  </si>
  <si>
    <t>https://www.ture.com/articles/sdata201446</t>
  </si>
  <si>
    <t>https://www.ture.com/articles/ture12450</t>
  </si>
  <si>
    <t>helmstaedter13 / mouse_reti </t>
  </si>
  <si>
    <t>Computatiol neuropil region in the mammalian reti</t>
  </si>
  <si>
    <t>bossdb://helmstaedter13 /mouse_reti /080823_e2006_mouseHRP_mag1 
bossdb://helmstaedter13/mouse_reti / e2006_segmentation_recol</t>
  </si>
  <si>
    <t>https://www.ture.com/articles/ture12346</t>
  </si>
  <si>
    <t>https://www.ture.com/articles/ture09802</t>
  </si>
  <si>
    <t>connectomics|mouse|segmentation|TEM|EM|Meshes|visual cortex|V1|layer 2/3|neuroscience|neuroatomy|microns</t>
  </si>
  <si>
    <t>BRAIN initiative|NIH|neuroscience|X-ray|mouse|X-ray microtomography|XRM</t>
  </si>
  <si>
    <t>AIBS|Atlas|neuroscience|mouse|MRI</t>
  </si>
  <si>
    <t>BRAIN Initiative|NIH|zebrafish|EM|SEM|anterior quarter|neuroscience</t>
  </si>
  <si>
    <t>HFSP|SNF|EM|SBEM|SEM|olfactory|bulb|zebrafish|neuroscience</t>
  </si>
  <si>
    <t>Tomography|neuroscience|mouse|EM|AT|cortex|somatosensory cortex</t>
  </si>
  <si>
    <t>5HT1A_6th|CR1_2ndA|dapi_1stA|GABABR1_3rdA|GABARa1_4thA|GAD_6thA|gephyrin_1stA|GluR2_2ndA|NMDAR1_6thA|NOS_9thA</t>
  </si>
  <si>
    <t>DARPA|mouse|Atlas|CLARITY|Mask-LDDM|light microscopy</t>
  </si>
  <si>
    <t>Grayscale|Grayscale|Grayscale|Grayscale|Grayscale|Grayscale|Grayscale|Grayscale|Grayscale|Grayscale</t>
  </si>
  <si>
    <t>NIH|X-ray|X-ray microtomography|XRM|mesoscale|neuroscience|mouse</t>
  </si>
  <si>
    <t>NIH|AIBS|mouse|EM|TEM|V1|neuroscience</t>
  </si>
  <si>
    <t>HHMI|Pyramidal|CA1|neuroscience|mouse|EM|AT|AT-TEM|TEM</t>
  </si>
  <si>
    <t>NIH|zebrafish|atlas|LM|Light Microscopy|Zbrain</t>
  </si>
  <si>
    <t>NIH|NSF|EM|SEM|mouse|CA1|hippocampus|neuropil|segmentation</t>
  </si>
  <si>
    <t>anno|em|anno|em|anno|em</t>
  </si>
  <si>
    <t>NIH|HHMI|pharynx|worm|C.elegans|nematode|neuroscience|EM|ssTEM|TEM</t>
  </si>
  <si>
    <t>NIH|NSF|neuroscience|EM|SEM|mouse|cortex|somatosensory cortex|segmentation</t>
  </si>
  <si>
    <t>HBP|neuroscience|BigBrain|Modeling|Simulation|MRI|human|light microscopy</t>
  </si>
  <si>
    <t>fruitfly|EM</t>
  </si>
  <si>
    <t>Max-Planck|Conjugate Light-Electron|Tomography|neuroscience|mouse|EM|AT|cortex|somatosensory cotex</t>
  </si>
  <si>
    <t xml:space="preserve"> annotation|bIIItubulin|DAPI_2nd|DAPI_3rd|EM10K|GABA|GAD2|gephyrin|NR1|PSDr|annotation|DAPI1st|DAPI2nd|DAPI3rd|EM25K|EM2k|GABA488|GAD647|gephyrin594|GS594</t>
  </si>
  <si>
    <t>AT|Tomography|EM|light microscopy</t>
  </si>
  <si>
    <t xml:space="preserve">Arc_5|Calbindin_7|DAPI_1|DAPI_2|DAPI_3|DAPI_4|DAPI_5|DAPI_6|DAPI_7|DAPI_8|DAPI_1|DAPI_2|DAPI_3|DAPI_4|DAPI_5|DAPI_6|GABAARa1_6|GAD2_3|Gephyrin_2|GluR1_4|DAPI_1|DAPI_2|DAPI_3|DAPI_4|DAPI_5|DAPI_6|GABAARa1_6|GAD2_3|Gephyrin_2|GluR1_4 </t>
  </si>
  <si>
    <t>HHMI|drosophila|fruitfly|circuit|vision|neuroscience|medulla|TEM|EM</t>
  </si>
  <si>
    <t>EM|SBEM|SEM|mouse|mammalian|reti|plexiform|neuroscience|segmentation</t>
  </si>
  <si>
    <t>Max-Planck|pharyngeal|C. elegans|nematode|P.pacficus|EM|sTEM|TEM</t>
  </si>
  <si>
    <t>NIH|mouse|EM|primary visual cortex|neuroscience|V1|musculus|TEM|layer 2/3|layer 1</t>
  </si>
  <si>
    <t>https://api.bossdb.io/v1/mgmt/resources/kristi15/</t>
  </si>
  <si>
    <t>https://api.bossdb.io/v1/mgmt/resources/cardo/</t>
  </si>
  <si>
    <t>https://api.bossdb.io/v1/mgmt/resources/helmstaedter13/mouse_reti</t>
  </si>
  <si>
    <t>ATUM-SEM|ssTEM|whole-brain|connectomics|development|C. elegans|celegans|nematode</t>
  </si>
  <si>
    <t>ETH Grant 42 15-1|Bridge Proof of Concept 173825</t>
  </si>
  <si>
    <t>ETH Zürich|Innosuisse</t>
  </si>
  <si>
    <t>annotation_100um_2016|annotation_100um_2017|average_100um|annotation_10um_2017|average_10um|nissl_10um|annotation_25um_2016|annotation_25um_2017|average_25um|nissl_25um|annotation_50um|average_50um|nissl_50um</t>
  </si>
  <si>
    <t xml:space="preserve">Cocaine174|Cocaine175|Cocaine178|Control181|Control182|Control189|Control239|Control258|Fear187|Fear197 </t>
  </si>
  <si>
    <t>U01MH109100|D16PC0002|N66001-15-C-4041|N66001-14-1-4028</t>
  </si>
  <si>
    <t xml:space="preserve">R01EY10115|R01NS075436|R21NS085320|P41 RR0600|P41 GM103712|P30 EY12196 </t>
  </si>
  <si>
    <t>LT000772/2012-L to O.R.|R01 HL109525|U01 MH105960|R24 NS086601|U01 NS090449|DP1 NS082121-02</t>
  </si>
  <si>
    <t xml:space="preserve">1DP2OD006514-01|1U01NS090449-01|1R01NS076467-01|1P50MH094271-01 </t>
  </si>
  <si>
    <t>ac4|connectomics2019_results|em|I2G_Saber_pipeline_results</t>
  </si>
  <si>
    <t>GM24663|Y|Z</t>
  </si>
  <si>
    <t xml:space="preserve">XHN of mouse brain, with varying tissue preparation and tissue imaging parameters to assess optimal data collection and imaging methodologies that result in image datasets that enable subsequent data processing steps such as image segmentation. </t>
  </si>
  <si>
    <t>Joshua T. Vogelstein|Eric Perlman|Benjamin Falk|Alex Baden|William Gray Roncal|Vikram Chandrashekhar|Forrest Collman|Sharmishtaa Seshamani|Jesse L. Patsolic|Kunal Lillaney|Michael Kazhdan|Robert Hider Jr.|Derek Pryor|Jordan Matelsky|Timothy Gion|Priya Manavalan|Brock Wester|Mark Chevillet|Eric T. Trautman|Khaled Khairy|Eric Bridgeford|Dean M. Kleissas|Daniel J. Tward|Ailey K. Crow|Brian Hsueh|Matthew A. Wright|Michael I. Miller|Stephen J. Smith|R. Jacob Vogelstein|Karl Deisseroth|Randal Burns</t>
  </si>
  <si>
    <t>Binary and analog variation of synapses between cortical pyramidal neurons| Chandelier cell anatomy and function suggest a variably distributed but common signal</t>
  </si>
  <si>
    <t>University of Zurich | ETH Zurich</t>
  </si>
  <si>
    <t>Max-Planck Institute of Neurobiology|Howard Hughes Medical Institute |Massachusetts Institute of Technology</t>
  </si>
  <si>
    <t>Harvard Medical School|HHMI Janelia Research Campus|University of Washington|Boston Children’s Hospital</t>
  </si>
  <si>
    <t>University of Chicago|Argonne National Laboratory</t>
  </si>
  <si>
    <t>Princeton Neuroscience Institute|Brain &amp; Cognitive Sciences Department Massachusetts Institute of Technology</t>
  </si>
  <si>
    <t xml:space="preserve">Allen Institute|Princeton University|Baylor College of Medicine|Johns Hopkins University Applied Physics Laboratory|Intelligence Advanced Research Projects Activity (IARPA) </t>
  </si>
  <si>
    <t xml:space="preserve">Allen Institute|Princeton University|Baylor College of Medicine|Johns Hopkins University Applied Physics Laboratory|Intelligence Advanced Research Projects Activity (IARPA) 
</t>
  </si>
  <si>
    <t>Howard Hughes Medical Institute|University of Cambridge</t>
  </si>
  <si>
    <t>University of Cambridge</t>
  </si>
  <si>
    <t>University of Basel</t>
  </si>
  <si>
    <t>Georgia Institute of Technology|Emory University|Johns Hopkins University</t>
  </si>
  <si>
    <t>Lunenfeld-Tanenbaum Research Institute|Harvard University|University of California San Diego</t>
  </si>
  <si>
    <t>Richard Ruiz Department of Ophthalmology and Visual Science,McGovern Medical School|University of Texas at Houston|Oregon Health &amp; Science University|University of Maryland|National Eye Institute|National Institutes of Health</t>
  </si>
  <si>
    <t>Howard Hughes Medical Institute|Columbia University|Department of Physics Center for Brain Science Harvard University|Grossman Center for the Statistics of Mind|Center for Theoretical Neuroscience Zuckerman Institute|Department of Statistics and Data Science Initiative Harvard University|Department of Physics Northeastern University</t>
  </si>
  <si>
    <t xml:space="preserve"> Princeton University|Princeton|Harvard University|Volpara Health Technologies</t>
  </si>
  <si>
    <t xml:space="preserve">The Johns Hopkins University|Stanford University|Defense Advanced Research Projects Agency (DARPA) </t>
  </si>
  <si>
    <t>Grant Name</t>
  </si>
  <si>
    <t>Orchestra: A high performance biomedical supercomputing collaborative|Novel EM technologies for imaging neural network anatomy|Cerebellar network mapping with a high throughput TEM platform|Tools to broaden access to high-throughput functional connectomics||Training in Sleep, Circadian, and Respiratory Neurobiology</t>
  </si>
  <si>
    <t>Studying perceptual decision-making across cortex by combining population imaging, connectomics, and computational modeling</t>
  </si>
  <si>
    <t>Host and Pathogen Evolution in Lassa Fever||Neural circuits in zebrafish: form, function and plasticity|A Facility to Generate Connectomics Information</t>
  </si>
  <si>
    <t>Quantifying Synaptic Reorganization in the Developing Cerebellum Using Serial-Section Scanning Electron Microscopy Data|Host and Pathogen Evolution in Lassa Fever||Neural circuits in zebrafish: form, function, and plasticity|Engineering Core</t>
  </si>
  <si>
    <t>Project 4: Neuronal Interactions|Perturbations and Behavior|Optical Instrumentation</t>
  </si>
  <si>
    <t>Sub-micrometer x-ray tomography for neuroanatomy|X|Z</t>
  </si>
  <si>
    <t>Neural circuits in zebrafish: form, function and plasticity|Novel EM technologies for imaging neural network anatomy|Watching a vertebrate brain learn and behave in a virtual environment</t>
  </si>
  <si>
    <t>Genetics of Sleep in Zebrafish|Comprehensive Classification Of Neuronal Subtypes By Single Cell Transcriptomics|Neural circuits in zebrafish: form, function and plasticity|Watching a vertebrate brain learn and behave in a virtual environment</t>
  </si>
  <si>
    <t>Synaptic plasticity across the lifespan|Distance-Dependent Structure and Function of Neuronal Dendrites|Synaptomes of Mouse and Man|CRCNS: Data Sharing: The EM Open Connectome Project</t>
  </si>
  <si>
    <t>Host and Pathogen Evolution in Lassa Fever|Neural circuits in zebrafish: form, function and plasticity|High Resolution Connectomics of Mammalian Neural Circuits</t>
  </si>
  <si>
    <t>em|emblack|membrane|neuron|synapse|NA|I2G_Membranes_i_Pub|I2G_Synapses_i_Pub|images|mitochondria_raw|NA</t>
  </si>
  <si>
    <t>drosophila_brain_120nm|drosophila_leg_75nm|drosophila_VNC_50nm|mouse_cortex_30nm|drosophila_brain_120nm|drosophila_VNC_50nm|mouse_cortex_30nm|mouse_cortex_40nm</t>
  </si>
  <si>
    <t>Department of Biomedical Engineering Georgia Institute of Technology|The Johns Hopkins University Applied Physics Laboratory|University of Chicago</t>
  </si>
  <si>
    <t>Max-Planck Institute of Neurobiology|Howard Hughes Medical Institute|Massachusetts Institute of Technology</t>
  </si>
  <si>
    <t>Friedrich Miescher Institute for Biomedical Research University of Basel</t>
  </si>
  <si>
    <t>Sven Dorkenwald|Nicholas L. Turner|Thomas Macrina|Kisuk Lee|Ran Lu|Jingpeng Wu|Agnes L. Bodor|Adam A. Bleckert|Derrick Brittain|Nico Kemnitz|M. Silversmith|Dodam Ih|Jonathan Zung|Aleksandar Zlateski|Ignacio Tartavull|Szi-Chieh Yu|Sergiy Popovych|William Wong|Manuel Castro|Chris S. Jordan|Alyssa M. Wilson|Emmanouil Froudarakis|JoAnn Buchanan|Marc Takeno|Russel Torres|Gayathri Mahalingam|Forrest Collman|Casey Schneider-Mizell|Daniel J. Bumbarger|Yang Li|Lynne Becker|Shelby Suckow|Jacob Reimer|Andreas S. Tolias|Nuno Maçarico da Costa|R. Clay Reid|H. Sebastian Seung</t>
  </si>
  <si>
    <t xml:space="preserve">Narayanan Kasthuri|Kenneth Jeffrey Hayworth|Daniel Raimund Berger|Richard Lee Schalek|José Angel Conchello|Seymour Knowles-Barley|Dongil Lee|Amelio Vázquez-Reina|Verena Kaynig|Thouis Raymond Jones|Mike Roberts|Josh Lyskowski Morgan|Juan Carlos Tapia|H Sebastian Seung|William Gray Roncal|Joshua Tzvi Vogelstein|Randal Burns|Daniel Lewis Sussman|Carey Eldin Priebe|Hanspeter Pfister </t>
  </si>
  <si>
    <t>Forrest Collman|JoAnn Buchanan|Kristen D. Phend|Kristina D. Micheva|Richard J. Weinberg|Stephen J. Smith</t>
  </si>
  <si>
    <t xml:space="preserve">Moritz Helmstaedter|Kevin L. Briggman|Srinivas C. Turaga|Viren Jain|H. Sebastian Seung|Winfried Denk </t>
  </si>
  <si>
    <t>Davi D. Bock|Wei-Chung Allen Lee|Aaron M. Kerlin|Mark L. Andermann|Greg Hood|Arthur W. Wetzel|Sergey Yurgenson|Edward R. Soucy|Hyon Suk Kim|R. Clay Reid</t>
  </si>
  <si>
    <t xml:space="preserve">Adrian A. Wanner|Christel Genoud|Rainer W. Friedrich </t>
  </si>
  <si>
    <t>Annotation</t>
  </si>
  <si>
    <t xml:space="preserve">Owen Randlett|Caroline L Wee|Eva A Naumann|Onyeka Nnaemeka|David Schoppik|James E Fitzgerald|Ruben Portugues|Alix M B Lacoste|Clemens Riegler|Florian Engert|Alexander F Schier </t>
  </si>
  <si>
    <t xml:space="preserve">Kristen M. Harris|Josef Spacek|Maria Elizabeth Bell|Patrick H. Parker|Laurence F. Lindsey|Alexander D. Baden|Joshua T. Vogelstein|Randal Burns </t>
  </si>
  <si>
    <t>Tomoko Ohyama|Casey M. Schneider-Mizell|Richard D. Fetter|Javier Valdes Aleman|Romain Franconville|Marta Rivera-Alba|Brett D. Mensh|Kristin M. Branson|Julie H. Simpson|James W. Truman|Albert Cardona|Marta Zlatic</t>
  </si>
  <si>
    <t xml:space="preserve">Nicholas C. Weiler|Forrest Collman|Joshua T. Vogelstein|Randal Burns|Stephen J. Smith </t>
  </si>
  <si>
    <t>Wei-Chung Allen Lee|Vincent Bonin|Michael Reed|Brett J. Graham|Greg Hood|Katie Glattfelder| R. Clay Reid</t>
  </si>
  <si>
    <t>Shin-ya Takemura|Arjun Bharioke|Zhiyuan Lu|Aljoscha Nern|Shiv Vitaladevuni|Patricia K. Rivlin|William T. Katz|Donald J. Olbris|Stephen M. Plaza|Philip Winston|Ting Zhao|Jane Anne Horne|Richard D. Fetter|Satoko Takemura|Katerina Blazek|Lei-Ann Chang|Omotara Ogundeyi|Mathew A. Saunders|Victor Shapiro|Christopher Sigmund|Gerald M. Rubin|Louis K. Scheffer|Ian A. Meinertzhagen| Dmitri B. Chklovskii</t>
  </si>
  <si>
    <t>Structured Dendritic Inhibition Supports Branch-Selective Integration in CA1 Pyramidal Cells</t>
  </si>
  <si>
    <t>A Fast Proteometric Synapse Census Platform|Synaptomes of Mouse and Man</t>
  </si>
  <si>
    <t>Large-scale connectivity and function in a cortical circuit|Novel EM technologies for imaging neural network anatomy</t>
  </si>
  <si>
    <t>em|emblack|membrane|neuron|synapse|NA|I2G_Membranes_i_Pub|I2G_Synapses_i_Pub|images|mitochondria_raw</t>
  </si>
  <si>
    <t>A Fast Proteometric Synapse Census Platform|Single-Synapse Analysis of Neocortical Circuit Plasticity</t>
  </si>
  <si>
    <t>No grant, funded by Max-Planck Society</t>
  </si>
  <si>
    <t>No grant name, funding from the Howard Hughes Medical Institute</t>
  </si>
  <si>
    <t xml:space="preserve">Nicholas C Weiler|Forrest Collman|Joshua T Vogelstein|Randal Burns|Stephen J Smith </t>
  </si>
  <si>
    <t>Shin-ya Takemura|Arjun Bharioke|Zhiyuan Lu|Aljoscha Nern|Shiv Vitaladevuni|Patricia K. Rivlin|William T. Katz|Donald J. Olbris|Stephen M. Plaza|Philip Winston|Ting Zhao|Jane Anne Horne|Richard D. Fetter|Satoko Takemura|Katerina Blazek|Lei-Ann Chang|Omotara Ogundeyi|Mathew A. Saunders|Victor Shapiro|Christopher Sigmund|Gerald M. Rubin|Louis K. Scheffer|Ian A. Meinertzhagen|Dmitri B. Chklovskii</t>
  </si>
  <si>
    <t>BigBrain is an ultrahigh-resolution three-dimensional model of a full human brain at 20 micrometer resolution</t>
  </si>
  <si>
    <t>No grant number: Work sponsored by Allen Institute for Brain Science</t>
  </si>
  <si>
    <t xml:space="preserve">No grant number:CARIE </t>
  </si>
  <si>
    <t>No grant number: Funded by Max-Planck Society</t>
  </si>
  <si>
    <t xml:space="preserve">Owen Randlett|Caroline L.Wee|Eva A. Naumann|Onyeka Nnaemeka|David Schoppik|James E. Fitzgerald|Ruben Portugues|Alix M. B. Lacoste|Clemens Riegler|Florian Engert|Alexander F Schier </t>
  </si>
  <si>
    <t>Wilderberg et al.2021</t>
  </si>
  <si>
    <t>Ishibashi et al. 2021</t>
  </si>
  <si>
    <t>Witvliet et al. 2020</t>
  </si>
  <si>
    <t>Yemini et al. 2021</t>
  </si>
  <si>
    <t>Templier et al. 2019</t>
  </si>
  <si>
    <t>Micheva et al. 2015</t>
  </si>
  <si>
    <t>Kutten et al. 2016</t>
  </si>
  <si>
    <t>Randlett et al. 2015</t>
  </si>
  <si>
    <t>Bhatla et al. 2015</t>
  </si>
  <si>
    <t>Kasthuri et al. 2015</t>
  </si>
  <si>
    <t>Amunts et al. 2015</t>
  </si>
  <si>
    <t>Phelps, Hildebrand, &amp; Graham et al. 2021</t>
  </si>
  <si>
    <t>Mulcahy et al. 2022</t>
  </si>
  <si>
    <t>Kuan &amp; Phelps et al.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</si>
</sst>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yyyy/mm/dd"/>
  </numFmts>
  <fonts count="36">
    <font>
      <sz val="11"/>
      <color theme="1"/>
      <name val="Calibri"/>
      <family val="2"/>
      <scheme val="minor"/>
    </font>
    <font>
      <b/>
      <sz val="10"/>
      <color rgb="FF000000"/>
      <name val="Arial"/>
      <family val="2"/>
    </font>
    <font>
      <sz val="10"/>
      <color rgb="FF000000"/>
      <name val="Arial"/>
      <family val="2"/>
    </font>
    <font>
      <u/>
      <sz val="10"/>
      <color rgb="FF0000FF"/>
      <name val="Arial"/>
      <family val="2"/>
    </font>
    <font>
      <sz val="10"/>
      <color rgb="FF000000"/>
      <name val="Roboto"/>
      <family val="2"/>
    </font>
    <font>
      <sz val="11"/>
      <color theme="1"/>
      <name val="Calibri"/>
      <family val="2"/>
    </font>
    <font>
      <u/>
      <sz val="10"/>
      <color rgb="FF000000"/>
      <name val="Arial"/>
      <family val="2"/>
    </font>
    <font>
      <sz val="10"/>
      <color rgb="FF2E2E2E"/>
      <name val="Arial"/>
      <family val="2"/>
    </font>
    <font>
      <sz val="10"/>
      <color rgb="FF202124"/>
      <name val="Arial"/>
      <family val="2"/>
    </font>
    <font>
      <sz val="10"/>
      <color rgb="FF2C3E50"/>
      <name val="Arial"/>
      <family val="2"/>
    </font>
    <font>
      <u/>
      <sz val="11"/>
      <color theme="10"/>
      <name val="Calibri"/>
      <family val="2"/>
      <scheme val="minor"/>
    </font>
    <font>
      <sz val="10"/>
      <color rgb="FF000000"/>
      <name val="Calibri"/>
      <family val="2"/>
      <scheme val="minor"/>
    </font>
    <font>
      <sz val="10"/>
      <color rgb="FF000000"/>
      <name val="Roboto"/>
    </font>
    <font>
      <sz val="10"/>
      <color theme="1"/>
      <name val="Calibri"/>
      <family val="2"/>
      <scheme val="minor"/>
    </font>
    <font>
      <b/>
      <sz val="10"/>
      <color theme="1"/>
      <name val="Calibri"/>
      <family val="2"/>
      <scheme val="minor"/>
    </font>
    <font>
      <sz val="11"/>
      <name val="Calibri"/>
      <family val="2"/>
    </font>
    <font>
      <sz val="8"/>
      <name val="Calibri"/>
      <family val="2"/>
      <scheme val="minor"/>
    </font>
    <font>
      <sz val="10"/>
      <name val="Calibri"/>
      <family val="2"/>
      <scheme val="minor"/>
    </font>
    <font>
      <sz val="10"/>
      <name val="Arial"/>
      <family val="2"/>
    </font>
    <font>
      <sz val="11"/>
      <color rgb="FF000000"/>
      <name val="Calibri"/>
      <family val="2"/>
      <scheme val="minor"/>
    </font>
    <font>
      <sz val="11"/>
      <color rgb="FF333333"/>
      <name val="Inherit"/>
    </font>
    <font>
      <sz val="11"/>
      <color theme="1"/>
      <name val="Calibri"/>
      <family val="2"/>
      <scheme val="minor"/>
    </font>
    <font>
      <sz val="11"/>
      <name val="Calibri"/>
      <family val="2"/>
      <scheme val="minor"/>
    </font>
    <font>
      <b/>
      <u/>
      <sz val="10"/>
      <color rgb="FF000000"/>
      <name val="Arial"/>
      <family val="2"/>
    </font>
    <font>
      <b/>
      <u/>
      <sz val="11"/>
      <color theme="1"/>
      <name val="Calibri"/>
      <family val="2"/>
      <scheme val="minor"/>
    </font>
    <font>
      <u/>
      <sz val="11"/>
      <name val="Calibri"/>
      <family val="2"/>
      <scheme val="minor"/>
    </font>
    <font>
      <b/>
      <sz val="11"/>
      <name val="Calibri"/>
      <family val="2"/>
      <scheme val="minor"/>
    </font>
    <font>
      <sz val="11"/>
      <color rgb="FF363636"/>
      <name val="Calibri"/>
      <family val="2"/>
      <scheme val="minor"/>
    </font>
    <font>
      <b/>
      <sz val="11"/>
      <color rgb="FF000000"/>
      <name val="Calibri"/>
      <family val="2"/>
      <scheme val="minor"/>
    </font>
    <font>
      <sz val="11"/>
      <color rgb="FF222222"/>
      <name val="Calibri"/>
      <family val="2"/>
      <scheme val="minor"/>
    </font>
    <font>
      <sz val="11"/>
      <color rgb="FF2C3E50"/>
      <name val="Calibri"/>
      <family val="2"/>
      <scheme val="minor"/>
    </font>
    <font>
      <u/>
      <sz val="11"/>
      <color rgb="FF000000"/>
      <name val="Calibri"/>
      <family val="2"/>
      <scheme val="minor"/>
    </font>
    <font>
      <sz val="11"/>
      <color rgb="FF212121"/>
      <name val="Calibri"/>
      <family val="2"/>
      <scheme val="minor"/>
    </font>
    <font>
      <u/>
      <sz val="10"/>
      <color theme="1"/>
      <name val="Calibri"/>
      <family val="2"/>
      <scheme val="minor"/>
    </font>
    <font>
      <u/>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rgb="FFFF0000"/>
      </patternFill>
    </fill>
    <fill>
      <patternFill patternType="solid">
        <fgColor rgb="FFFFFFFF"/>
      </patternFill>
    </fill>
    <fill>
      <patternFill patternType="solid">
        <fgColor rgb="FFFF0000"/>
        <bgColor indexed="64"/>
      </patternFill>
    </fill>
    <fill>
      <patternFill patternType="solid">
        <fgColor rgb="FFFFFFFF"/>
        <bgColor rgb="FFFFFFFF"/>
      </patternFill>
    </fill>
  </fills>
  <borders count="4">
    <border>
      <left/>
      <right/>
      <top/>
      <bottom/>
      <diagonal/>
    </border>
    <border>
      <left/>
      <right/>
      <top/>
      <bottom/>
      <diagonal/>
    </border>
    <border>
      <left style="thin">
        <color rgb="FFC6C6C6"/>
      </left>
      <right style="thin">
        <color rgb="FFC6C6C6"/>
      </right>
      <top style="thin">
        <color rgb="FFC6C6C6"/>
      </top>
      <bottom style="thin">
        <color rgb="FFC6C6C6"/>
      </bottom>
      <diagonal/>
    </border>
    <border>
      <left/>
      <right/>
      <top/>
      <bottom style="thin">
        <color rgb="FF000000"/>
      </bottom>
      <diagonal/>
    </border>
  </borders>
  <cellStyleXfs count="3">
    <xf numFmtId="0" fontId="0" fillId="0" borderId="0"/>
    <xf numFmtId="0" fontId="10" fillId="0" borderId="0" applyNumberFormat="0" applyFill="0" applyBorder="0" applyAlignment="0" applyProtection="0"/>
    <xf numFmtId="43" fontId="21" fillId="0" borderId="0" applyFont="0" applyFill="0" applyBorder="0" applyAlignment="0" applyProtection="0"/>
  </cellStyleXfs>
  <cellXfs count="94">
    <xf numFmtId="0" fontId="0" fillId="0" borderId="0" xfId="0"/>
    <xf numFmtId="3" fontId="0" fillId="0" borderId="0" xfId="0" applyNumberFormat="1"/>
    <xf numFmtId="0" fontId="2" fillId="0" borderId="1" xfId="0" applyFont="1" applyBorder="1" applyAlignment="1">
      <alignment horizontal="left"/>
    </xf>
    <xf numFmtId="0" fontId="1" fillId="0" borderId="1" xfId="0" applyFont="1" applyBorder="1" applyAlignment="1">
      <alignment horizontal="left" wrapText="1"/>
    </xf>
    <xf numFmtId="0" fontId="5" fillId="0" borderId="1" xfId="0" applyFont="1" applyBorder="1" applyAlignment="1">
      <alignment horizontal="left" wrapText="1"/>
    </xf>
    <xf numFmtId="0" fontId="2" fillId="0" borderId="1" xfId="0" applyFont="1" applyBorder="1" applyAlignment="1">
      <alignment horizontal="left" wrapText="1"/>
    </xf>
    <xf numFmtId="3" fontId="2" fillId="0" borderId="1" xfId="0" applyNumberFormat="1" applyFont="1" applyBorder="1" applyAlignment="1">
      <alignment horizontal="left" wrapText="1"/>
    </xf>
    <xf numFmtId="0" fontId="6" fillId="0" borderId="1" xfId="0" applyFont="1" applyBorder="1" applyAlignment="1">
      <alignment horizontal="left" wrapText="1"/>
    </xf>
    <xf numFmtId="3" fontId="5" fillId="0" borderId="1" xfId="0" applyNumberFormat="1" applyFont="1" applyBorder="1" applyAlignment="1">
      <alignment horizontal="left"/>
    </xf>
    <xf numFmtId="0" fontId="0" fillId="0" borderId="0" xfId="0" applyAlignment="1">
      <alignment wrapText="1"/>
    </xf>
    <xf numFmtId="0" fontId="0" fillId="0" borderId="0" xfId="0" applyAlignment="1">
      <alignment horizontal="left"/>
    </xf>
    <xf numFmtId="3" fontId="0" fillId="0" borderId="0" xfId="0" applyNumberFormat="1" applyAlignment="1">
      <alignment horizontal="left"/>
    </xf>
    <xf numFmtId="0" fontId="9" fillId="0" borderId="1" xfId="0" applyFont="1" applyBorder="1" applyAlignment="1">
      <alignment horizontal="left" wrapText="1"/>
    </xf>
    <xf numFmtId="0" fontId="5" fillId="0" borderId="1" xfId="0" applyFont="1" applyBorder="1" applyAlignment="1">
      <alignment horizontal="left"/>
    </xf>
    <xf numFmtId="0" fontId="0" fillId="0" borderId="0" xfId="0" applyAlignment="1">
      <alignment horizontal="left" wrapText="1"/>
    </xf>
    <xf numFmtId="3" fontId="0" fillId="0" borderId="0" xfId="0" applyNumberFormat="1" applyAlignment="1">
      <alignment horizontal="left" wrapText="1"/>
    </xf>
    <xf numFmtId="0" fontId="1" fillId="0" borderId="3" xfId="0" applyFont="1" applyBorder="1" applyAlignment="1">
      <alignment horizontal="left" wrapText="1"/>
    </xf>
    <xf numFmtId="3" fontId="1" fillId="0" borderId="3" xfId="0" applyNumberFormat="1" applyFont="1" applyBorder="1" applyAlignment="1">
      <alignment horizontal="left" wrapText="1"/>
    </xf>
    <xf numFmtId="3" fontId="1" fillId="0" borderId="1" xfId="0" applyNumberFormat="1" applyFont="1" applyBorder="1" applyAlignment="1">
      <alignment horizontal="left" wrapText="1"/>
    </xf>
    <xf numFmtId="0" fontId="2" fillId="2" borderId="2" xfId="0" applyFont="1" applyFill="1" applyBorder="1" applyAlignment="1">
      <alignment horizontal="left" wrapText="1"/>
    </xf>
    <xf numFmtId="0" fontId="5" fillId="2" borderId="2" xfId="0" applyFont="1" applyFill="1" applyBorder="1" applyAlignment="1">
      <alignment horizontal="left" wrapText="1"/>
    </xf>
    <xf numFmtId="0" fontId="5" fillId="0" borderId="2" xfId="0" applyFont="1" applyBorder="1" applyAlignment="1">
      <alignment horizontal="left" wrapText="1"/>
    </xf>
    <xf numFmtId="0" fontId="2" fillId="4" borderId="1" xfId="0" applyFont="1" applyFill="1" applyBorder="1" applyAlignment="1">
      <alignment horizontal="left" wrapText="1"/>
    </xf>
    <xf numFmtId="0" fontId="18" fillId="0" borderId="1" xfId="0" applyFont="1" applyBorder="1" applyAlignment="1">
      <alignment horizontal="left" wrapText="1"/>
    </xf>
    <xf numFmtId="0" fontId="13" fillId="0" borderId="0" xfId="0" applyFont="1" applyAlignment="1">
      <alignment horizontal="left" wrapText="1"/>
    </xf>
    <xf numFmtId="0" fontId="12" fillId="5" borderId="0" xfId="0" applyFont="1" applyFill="1" applyAlignment="1">
      <alignment horizontal="left" wrapText="1"/>
    </xf>
    <xf numFmtId="0" fontId="22" fillId="0" borderId="0" xfId="0" applyFont="1" applyAlignment="1">
      <alignment horizontal="left" wrapText="1"/>
    </xf>
    <xf numFmtId="0" fontId="10" fillId="0" borderId="0" xfId="1" applyAlignment="1">
      <alignment horizontal="left" wrapText="1"/>
    </xf>
    <xf numFmtId="0" fontId="11" fillId="0" borderId="1" xfId="0" applyFont="1" applyBorder="1" applyAlignment="1">
      <alignment horizontal="left" wrapText="1"/>
    </xf>
    <xf numFmtId="0" fontId="23" fillId="0" borderId="3" xfId="0" applyFont="1" applyBorder="1" applyAlignment="1">
      <alignment horizontal="left" wrapText="1"/>
    </xf>
    <xf numFmtId="0" fontId="24" fillId="0" borderId="0" xfId="0" applyFont="1" applyAlignment="1">
      <alignment horizontal="left" wrapText="1"/>
    </xf>
    <xf numFmtId="0" fontId="14" fillId="0" borderId="0" xfId="0" applyFont="1" applyAlignment="1">
      <alignment horizontal="left" wrapText="1"/>
    </xf>
    <xf numFmtId="0" fontId="3" fillId="0" borderId="0" xfId="0" applyFont="1" applyAlignment="1">
      <alignment horizontal="left" wrapText="1"/>
    </xf>
    <xf numFmtId="0" fontId="7" fillId="0" borderId="1" xfId="0" applyFont="1" applyBorder="1" applyAlignment="1">
      <alignment horizontal="left" wrapText="1"/>
    </xf>
    <xf numFmtId="0" fontId="3" fillId="0" borderId="1" xfId="0" applyFont="1" applyBorder="1" applyAlignment="1">
      <alignment horizontal="left" wrapText="1"/>
    </xf>
    <xf numFmtId="3" fontId="4" fillId="3" borderId="2" xfId="0" applyNumberFormat="1" applyFont="1" applyFill="1" applyBorder="1" applyAlignment="1">
      <alignment horizontal="left" wrapText="1"/>
    </xf>
    <xf numFmtId="3" fontId="15" fillId="0" borderId="2" xfId="0" applyNumberFormat="1" applyFont="1" applyBorder="1" applyAlignment="1">
      <alignment horizontal="left" wrapText="1"/>
    </xf>
    <xf numFmtId="0" fontId="8" fillId="0" borderId="1" xfId="0" applyFont="1" applyBorder="1" applyAlignment="1">
      <alignment horizontal="left" wrapText="1"/>
    </xf>
    <xf numFmtId="0" fontId="15" fillId="0" borderId="2" xfId="0" applyFont="1" applyBorder="1" applyAlignment="1">
      <alignment horizontal="left" wrapText="1"/>
    </xf>
    <xf numFmtId="0" fontId="3" fillId="2" borderId="2" xfId="0" applyFont="1" applyFill="1" applyBorder="1" applyAlignment="1">
      <alignment horizontal="left" wrapText="1"/>
    </xf>
    <xf numFmtId="3" fontId="5" fillId="0" borderId="1" xfId="0" applyNumberFormat="1" applyFont="1" applyBorder="1" applyAlignment="1">
      <alignment horizontal="left" wrapText="1"/>
    </xf>
    <xf numFmtId="164" fontId="13" fillId="0" borderId="0" xfId="0" applyNumberFormat="1" applyFont="1" applyAlignment="1">
      <alignment horizontal="left" wrapText="1"/>
    </xf>
    <xf numFmtId="0" fontId="11" fillId="0" borderId="0" xfId="0" applyFont="1" applyAlignment="1">
      <alignment horizontal="left" wrapText="1"/>
    </xf>
    <xf numFmtId="0" fontId="19" fillId="0" borderId="1" xfId="0" applyFont="1" applyBorder="1" applyAlignment="1">
      <alignment horizontal="left" wrapText="1"/>
    </xf>
    <xf numFmtId="0" fontId="17" fillId="0" borderId="0" xfId="0" applyFont="1" applyAlignment="1">
      <alignment horizontal="left" wrapText="1"/>
    </xf>
    <xf numFmtId="0" fontId="15" fillId="4" borderId="2" xfId="0" applyFont="1" applyFill="1" applyBorder="1" applyAlignment="1">
      <alignment horizontal="left" wrapText="1"/>
    </xf>
    <xf numFmtId="0" fontId="20" fillId="0" borderId="0" xfId="0" applyFont="1" applyAlignment="1">
      <alignment horizontal="left" wrapText="1"/>
    </xf>
    <xf numFmtId="0" fontId="25" fillId="0" borderId="2" xfId="1" applyFont="1" applyBorder="1" applyAlignment="1">
      <alignment horizontal="left" wrapText="1"/>
    </xf>
    <xf numFmtId="0" fontId="25" fillId="0" borderId="0" xfId="1" applyFont="1" applyAlignment="1">
      <alignment horizontal="left" wrapText="1"/>
    </xf>
    <xf numFmtId="0" fontId="25" fillId="0" borderId="0" xfId="0" applyFont="1" applyAlignment="1">
      <alignment horizontal="left" wrapText="1"/>
    </xf>
    <xf numFmtId="14" fontId="0" fillId="0" borderId="1" xfId="0" applyNumberFormat="1" applyBorder="1" applyAlignment="1">
      <alignment horizontal="left" wrapText="1"/>
    </xf>
    <xf numFmtId="0" fontId="0" fillId="0" borderId="1" xfId="0" applyBorder="1" applyAlignment="1">
      <alignment horizontal="left" wrapText="1"/>
    </xf>
    <xf numFmtId="0" fontId="0" fillId="4" borderId="0" xfId="0" applyFill="1" applyAlignment="1">
      <alignment horizontal="left" wrapText="1"/>
    </xf>
    <xf numFmtId="0" fontId="25" fillId="0" borderId="1" xfId="0" applyFont="1" applyBorder="1" applyAlignment="1">
      <alignment horizontal="left" wrapText="1"/>
    </xf>
    <xf numFmtId="0" fontId="27" fillId="0" borderId="0" xfId="0" applyFont="1" applyAlignment="1">
      <alignment horizontal="left" wrapText="1"/>
    </xf>
    <xf numFmtId="0" fontId="0" fillId="0" borderId="2" xfId="0" applyBorder="1" applyAlignment="1">
      <alignment horizontal="left" wrapText="1"/>
    </xf>
    <xf numFmtId="0" fontId="0" fillId="2" borderId="2" xfId="0" applyFill="1" applyBorder="1" applyAlignment="1">
      <alignment horizontal="left" wrapText="1"/>
    </xf>
    <xf numFmtId="0" fontId="28" fillId="0" borderId="3" xfId="0" applyFont="1" applyBorder="1" applyAlignment="1">
      <alignment horizontal="left" wrapText="1"/>
    </xf>
    <xf numFmtId="3" fontId="28" fillId="0" borderId="3" xfId="0" applyNumberFormat="1" applyFont="1" applyBorder="1" applyAlignment="1">
      <alignment horizontal="left" wrapText="1"/>
    </xf>
    <xf numFmtId="0" fontId="28" fillId="0" borderId="1" xfId="0" applyFont="1" applyBorder="1" applyAlignment="1">
      <alignment horizontal="left" wrapText="1"/>
    </xf>
    <xf numFmtId="3" fontId="28" fillId="0" borderId="1" xfId="0" applyNumberFormat="1" applyFont="1" applyBorder="1" applyAlignment="1">
      <alignment horizontal="left" wrapText="1"/>
    </xf>
    <xf numFmtId="0" fontId="19" fillId="5" borderId="0" xfId="0" applyFont="1" applyFill="1" applyAlignment="1">
      <alignment horizontal="left" wrapText="1"/>
    </xf>
    <xf numFmtId="0" fontId="19" fillId="4" borderId="2" xfId="0" applyFont="1" applyFill="1" applyBorder="1" applyAlignment="1">
      <alignment horizontal="left" wrapText="1"/>
    </xf>
    <xf numFmtId="0" fontId="22" fillId="0" borderId="1" xfId="0" applyFont="1" applyBorder="1" applyAlignment="1">
      <alignment horizontal="left" wrapText="1"/>
    </xf>
    <xf numFmtId="0" fontId="29" fillId="0" borderId="1" xfId="0" applyFont="1" applyBorder="1" applyAlignment="1">
      <alignment horizontal="left" wrapText="1"/>
    </xf>
    <xf numFmtId="14" fontId="19" fillId="0" borderId="1" xfId="0" applyNumberFormat="1" applyFont="1" applyBorder="1" applyAlignment="1">
      <alignment horizontal="left" wrapText="1"/>
    </xf>
    <xf numFmtId="0" fontId="25" fillId="0" borderId="2" xfId="0" applyFont="1" applyBorder="1" applyAlignment="1">
      <alignment horizontal="left" wrapText="1"/>
    </xf>
    <xf numFmtId="0" fontId="30" fillId="0" borderId="1" xfId="0" applyFont="1" applyBorder="1" applyAlignment="1">
      <alignment horizontal="left" wrapText="1"/>
    </xf>
    <xf numFmtId="0" fontId="31" fillId="0" borderId="1" xfId="0" applyFont="1" applyBorder="1" applyAlignment="1">
      <alignment horizontal="left" wrapText="1"/>
    </xf>
    <xf numFmtId="3" fontId="19" fillId="0" borderId="1" xfId="0" applyNumberFormat="1" applyFont="1" applyBorder="1" applyAlignment="1">
      <alignment horizontal="left" wrapText="1"/>
    </xf>
    <xf numFmtId="0" fontId="19" fillId="0" borderId="0" xfId="0" applyFont="1" applyAlignment="1">
      <alignment horizontal="left" vertical="top" wrapText="1"/>
    </xf>
    <xf numFmtId="0" fontId="19" fillId="2" borderId="2" xfId="0" applyFont="1" applyFill="1" applyBorder="1" applyAlignment="1">
      <alignment horizontal="left" wrapText="1"/>
    </xf>
    <xf numFmtId="0" fontId="30" fillId="0" borderId="0" xfId="0" applyFont="1" applyAlignment="1">
      <alignment horizontal="left" vertical="top" wrapText="1"/>
    </xf>
    <xf numFmtId="0" fontId="32" fillId="0" borderId="1" xfId="0" applyFont="1" applyBorder="1" applyAlignment="1">
      <alignment horizontal="left" wrapText="1"/>
    </xf>
    <xf numFmtId="0" fontId="33" fillId="0" borderId="0" xfId="0" applyFont="1" applyAlignment="1">
      <alignment horizontal="left" wrapText="1"/>
    </xf>
    <xf numFmtId="0" fontId="6" fillId="2" borderId="2" xfId="0" applyFont="1" applyFill="1" applyBorder="1" applyAlignment="1">
      <alignment horizontal="left" wrapText="1"/>
    </xf>
    <xf numFmtId="0" fontId="34" fillId="0" borderId="0" xfId="0" applyFont="1" applyAlignment="1">
      <alignment horizontal="left" wrapText="1"/>
    </xf>
    <xf numFmtId="0" fontId="26" fillId="0" borderId="1" xfId="0" applyFont="1" applyBorder="1" applyAlignment="1">
      <alignment horizontal="left" wrapText="1"/>
    </xf>
    <xf numFmtId="3" fontId="22" fillId="0" borderId="2" xfId="0" applyNumberFormat="1" applyFont="1" applyBorder="1" applyAlignment="1">
      <alignment horizontal="left" wrapText="1"/>
    </xf>
    <xf numFmtId="3" fontId="0" fillId="0" borderId="1" xfId="0" applyNumberFormat="1" applyBorder="1" applyAlignment="1">
      <alignment horizontal="left"/>
    </xf>
    <xf numFmtId="3" fontId="19" fillId="3" borderId="2" xfId="0" applyNumberFormat="1" applyFont="1" applyFill="1" applyBorder="1" applyAlignment="1">
      <alignment horizontal="left" wrapText="1"/>
    </xf>
    <xf numFmtId="0" fontId="19" fillId="0" borderId="1" xfId="0" applyFont="1" applyBorder="1" applyAlignment="1">
      <alignment horizontal="left"/>
    </xf>
    <xf numFmtId="1" fontId="19" fillId="0" borderId="1" xfId="2" applyNumberFormat="1" applyFont="1" applyBorder="1" applyAlignment="1">
      <alignment horizontal="left"/>
    </xf>
    <xf numFmtId="3" fontId="19" fillId="0" borderId="1" xfId="0" applyNumberFormat="1" applyFont="1" applyBorder="1" applyAlignment="1">
      <alignment horizontal="left"/>
    </xf>
    <xf numFmtId="3" fontId="19" fillId="2" borderId="2" xfId="0" applyNumberFormat="1" applyFont="1" applyFill="1" applyBorder="1" applyAlignment="1">
      <alignment horizontal="left"/>
    </xf>
    <xf numFmtId="0" fontId="2" fillId="0" borderId="0" xfId="0" applyFont="1" applyAlignment="1">
      <alignment horizontal="left" wrapText="1"/>
    </xf>
    <xf numFmtId="0" fontId="19" fillId="0" borderId="2" xfId="0" applyFont="1" applyBorder="1" applyAlignment="1">
      <alignment horizontal="left" wrapText="1"/>
    </xf>
    <xf numFmtId="1" fontId="19" fillId="0" borderId="1" xfId="0" applyNumberFormat="1" applyFont="1" applyBorder="1" applyAlignment="1">
      <alignment horizontal="left" wrapText="1"/>
    </xf>
    <xf numFmtId="0" fontId="35" fillId="0" borderId="3" xfId="0" applyFont="1" applyBorder="1" applyAlignment="1">
      <alignment horizontal="left" wrapText="1"/>
    </xf>
    <xf numFmtId="3" fontId="35" fillId="0" borderId="1" xfId="0" applyNumberFormat="1" applyFont="1" applyBorder="1" applyAlignment="1">
      <alignment horizontal="left" wrapText="1"/>
    </xf>
    <xf numFmtId="0" fontId="35" fillId="0" borderId="1" xfId="0" applyFont="1" applyBorder="1" applyAlignment="1">
      <alignment horizontal="left" wrapText="1"/>
    </xf>
    <xf numFmtId="3" fontId="0" fillId="0" borderId="1" xfId="0" applyNumberFormat="1" applyBorder="1" applyAlignment="1">
      <alignment horizontal="left" wrapText="1"/>
    </xf>
    <xf numFmtId="0" fontId="34" fillId="0" borderId="1" xfId="1" applyFont="1" applyBorder="1" applyAlignment="1">
      <alignment horizontal="left" wrapText="1"/>
    </xf>
    <xf numFmtId="0" fontId="0" fillId="0" borderId="0" xfId="0" applyAlignment="1">
      <alignment horizontal="left" vertical="top" wrapText="1"/>
    </xf>
  </cellXfs>
  <cellStyles count="3">
    <cellStyle name="Comma" xfId="2" builtinId="3"/>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ture.com/articles/s41593-018-0084-6" TargetMode="External"/><Relationship Id="rId2" Type="http://schemas.openxmlformats.org/officeDocument/2006/relationships/hyperlink" Target="https://www.nature.com/articles/s41592-018-0181-1" TargetMode="External"/><Relationship Id="rId1" Type="http://schemas.openxmlformats.org/officeDocument/2006/relationships/hyperlink" Target="https://www.nature.com/articles/s41586-021-03778-8" TargetMode="External"/><Relationship Id="rId4" Type="http://schemas.openxmlformats.org/officeDocument/2006/relationships/hyperlink" Target="https://www.microns-explorer.org/publications"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biccn.bossdb.org/" TargetMode="External"/><Relationship Id="rId2" Type="http://schemas.openxmlformats.org/officeDocument/2006/relationships/hyperlink" Target="https://biccn.bossdb.org/" TargetMode="External"/><Relationship Id="rId1" Type="http://schemas.openxmlformats.org/officeDocument/2006/relationships/hyperlink" Target="https://biccn.bossdb.org/" TargetMode="External"/></Relationships>
</file>

<file path=xl/worksheets/_rels/sheet3.xml.rels><?xml version="1.0" encoding="UTF-8" standalone="yes"?>
<Relationships xmlns="http://schemas.openxmlformats.org/package/2006/relationships"><Relationship Id="rId117" Type="http://schemas.openxmlformats.org/officeDocument/2006/relationships/hyperlink" Target="http://dx.doi.org/10.17504/protocols.io.yinfude" TargetMode="External"/><Relationship Id="rId21" Type="http://schemas.openxmlformats.org/officeDocument/2006/relationships/hyperlink" Target="http://dx.doi.org/10.17504/protocols.io.yinfude" TargetMode="External"/><Relationship Id="rId42" Type="http://schemas.openxmlformats.org/officeDocument/2006/relationships/hyperlink" Target="http://dx.doi.org/10.17504/protocols.io.yinfude" TargetMode="External"/><Relationship Id="rId63" Type="http://schemas.openxmlformats.org/officeDocument/2006/relationships/hyperlink" Target="http://dx.doi.org/10.17504/protocols.io.yinfude" TargetMode="External"/><Relationship Id="rId84" Type="http://schemas.openxmlformats.org/officeDocument/2006/relationships/hyperlink" Target="http://dx.doi.org/10.17504/protocols.io.yinfude" TargetMode="External"/><Relationship Id="rId138" Type="http://schemas.openxmlformats.org/officeDocument/2006/relationships/hyperlink" Target="http://dx.doi.org/10.17504/protocols.io.yinfude" TargetMode="External"/><Relationship Id="rId159" Type="http://schemas.openxmlformats.org/officeDocument/2006/relationships/hyperlink" Target="http://dx.doi.org/10.17504/protocols.io.yinfude" TargetMode="External"/><Relationship Id="rId170" Type="http://schemas.openxmlformats.org/officeDocument/2006/relationships/hyperlink" Target="http://dx.doi.org/10.17504/protocols.io.yinfude" TargetMode="External"/><Relationship Id="rId191" Type="http://schemas.openxmlformats.org/officeDocument/2006/relationships/hyperlink" Target="http://dx.doi.org/10.17504/protocols.io.yinfude" TargetMode="External"/><Relationship Id="rId205" Type="http://schemas.openxmlformats.org/officeDocument/2006/relationships/hyperlink" Target="http://dx.doi.org/10.17504/protocols.io.yinfude" TargetMode="External"/><Relationship Id="rId226" Type="http://schemas.openxmlformats.org/officeDocument/2006/relationships/hyperlink" Target="http://dx.doi.org/10.17504/protocols.io.yinfude" TargetMode="External"/><Relationship Id="rId247" Type="http://schemas.openxmlformats.org/officeDocument/2006/relationships/hyperlink" Target="http://dx.doi.org/10.17504/protocols.io.yinfude" TargetMode="External"/><Relationship Id="rId107" Type="http://schemas.openxmlformats.org/officeDocument/2006/relationships/hyperlink" Target="http://dx.doi.org/10.17504/protocols.io.yinfude" TargetMode="External"/><Relationship Id="rId11" Type="http://schemas.openxmlformats.org/officeDocument/2006/relationships/hyperlink" Target="http://dx.doi.org/10.17504/protocols.io.yinfude" TargetMode="External"/><Relationship Id="rId32" Type="http://schemas.openxmlformats.org/officeDocument/2006/relationships/hyperlink" Target="http://dx.doi.org/10.17504/protocols.io.yinfude" TargetMode="External"/><Relationship Id="rId53" Type="http://schemas.openxmlformats.org/officeDocument/2006/relationships/hyperlink" Target="http://dx.doi.org/10.17504/protocols.io.yinfude" TargetMode="External"/><Relationship Id="rId74" Type="http://schemas.openxmlformats.org/officeDocument/2006/relationships/hyperlink" Target="http://dx.doi.org/10.17504/protocols.io.yinfude" TargetMode="External"/><Relationship Id="rId128" Type="http://schemas.openxmlformats.org/officeDocument/2006/relationships/hyperlink" Target="http://dx.doi.org/10.17504/protocols.io.yinfude" TargetMode="External"/><Relationship Id="rId149" Type="http://schemas.openxmlformats.org/officeDocument/2006/relationships/hyperlink" Target="http://dx.doi.org/10.17504/protocols.io.yinfude" TargetMode="External"/><Relationship Id="rId5" Type="http://schemas.openxmlformats.org/officeDocument/2006/relationships/hyperlink" Target="http://dx.doi.org/10.17504/protocols.io.yinfude" TargetMode="External"/><Relationship Id="rId95" Type="http://schemas.openxmlformats.org/officeDocument/2006/relationships/hyperlink" Target="http://dx.doi.org/10.17504/protocols.io.yinfude" TargetMode="External"/><Relationship Id="rId160" Type="http://schemas.openxmlformats.org/officeDocument/2006/relationships/hyperlink" Target="http://dx.doi.org/10.17504/protocols.io.yinfude" TargetMode="External"/><Relationship Id="rId181" Type="http://schemas.openxmlformats.org/officeDocument/2006/relationships/hyperlink" Target="http://dx.doi.org/10.17504/protocols.io.yinfude" TargetMode="External"/><Relationship Id="rId216" Type="http://schemas.openxmlformats.org/officeDocument/2006/relationships/hyperlink" Target="http://dx.doi.org/10.17504/protocols.io.yinfude" TargetMode="External"/><Relationship Id="rId237" Type="http://schemas.openxmlformats.org/officeDocument/2006/relationships/hyperlink" Target="http://dx.doi.org/10.17504/protocols.io.yinfude" TargetMode="External"/><Relationship Id="rId22" Type="http://schemas.openxmlformats.org/officeDocument/2006/relationships/hyperlink" Target="http://dx.doi.org/10.17504/protocols.io.yinfude" TargetMode="External"/><Relationship Id="rId43" Type="http://schemas.openxmlformats.org/officeDocument/2006/relationships/hyperlink" Target="http://dx.doi.org/10.17504/protocols.io.yinfude" TargetMode="External"/><Relationship Id="rId64" Type="http://schemas.openxmlformats.org/officeDocument/2006/relationships/hyperlink" Target="http://dx.doi.org/10.17504/protocols.io.yinfude" TargetMode="External"/><Relationship Id="rId118" Type="http://schemas.openxmlformats.org/officeDocument/2006/relationships/hyperlink" Target="http://dx.doi.org/10.17504/protocols.io.yinfude" TargetMode="External"/><Relationship Id="rId139" Type="http://schemas.openxmlformats.org/officeDocument/2006/relationships/hyperlink" Target="http://dx.doi.org/10.17504/protocols.io.yinfude" TargetMode="External"/><Relationship Id="rId85" Type="http://schemas.openxmlformats.org/officeDocument/2006/relationships/hyperlink" Target="http://dx.doi.org/10.17504/protocols.io.yinfude" TargetMode="External"/><Relationship Id="rId150" Type="http://schemas.openxmlformats.org/officeDocument/2006/relationships/hyperlink" Target="http://dx.doi.org/10.17504/protocols.io.yinfude" TargetMode="External"/><Relationship Id="rId171" Type="http://schemas.openxmlformats.org/officeDocument/2006/relationships/hyperlink" Target="http://dx.doi.org/10.17504/protocols.io.yinfude" TargetMode="External"/><Relationship Id="rId192" Type="http://schemas.openxmlformats.org/officeDocument/2006/relationships/hyperlink" Target="http://dx.doi.org/10.17504/protocols.io.yinfude" TargetMode="External"/><Relationship Id="rId206" Type="http://schemas.openxmlformats.org/officeDocument/2006/relationships/hyperlink" Target="http://dx.doi.org/10.17504/protocols.io.yinfude" TargetMode="External"/><Relationship Id="rId227" Type="http://schemas.openxmlformats.org/officeDocument/2006/relationships/hyperlink" Target="http://dx.doi.org/10.17504/protocols.io.yinfude" TargetMode="External"/><Relationship Id="rId248" Type="http://schemas.openxmlformats.org/officeDocument/2006/relationships/hyperlink" Target="http://dx.doi.org/10.17504/protocols.io.yinfude" TargetMode="External"/><Relationship Id="rId12" Type="http://schemas.openxmlformats.org/officeDocument/2006/relationships/hyperlink" Target="http://dx.doi.org/10.17504/protocols.io.yinfude" TargetMode="External"/><Relationship Id="rId33" Type="http://schemas.openxmlformats.org/officeDocument/2006/relationships/hyperlink" Target="http://dx.doi.org/10.17504/protocols.io.yinfude" TargetMode="External"/><Relationship Id="rId108" Type="http://schemas.openxmlformats.org/officeDocument/2006/relationships/hyperlink" Target="http://dx.doi.org/10.17504/protocols.io.yinfude" TargetMode="External"/><Relationship Id="rId129" Type="http://schemas.openxmlformats.org/officeDocument/2006/relationships/hyperlink" Target="http://dx.doi.org/10.17504/protocols.io.yinfude" TargetMode="External"/><Relationship Id="rId54" Type="http://schemas.openxmlformats.org/officeDocument/2006/relationships/hyperlink" Target="http://dx.doi.org/10.17504/protocols.io.yinfude" TargetMode="External"/><Relationship Id="rId75" Type="http://schemas.openxmlformats.org/officeDocument/2006/relationships/hyperlink" Target="http://dx.doi.org/10.17504/protocols.io.yinfude" TargetMode="External"/><Relationship Id="rId96" Type="http://schemas.openxmlformats.org/officeDocument/2006/relationships/hyperlink" Target="http://dx.doi.org/10.17504/protocols.io.yinfude" TargetMode="External"/><Relationship Id="rId140" Type="http://schemas.openxmlformats.org/officeDocument/2006/relationships/hyperlink" Target="http://dx.doi.org/10.17504/protocols.io.yinfude" TargetMode="External"/><Relationship Id="rId161" Type="http://schemas.openxmlformats.org/officeDocument/2006/relationships/hyperlink" Target="http://dx.doi.org/10.17504/protocols.io.yinfude" TargetMode="External"/><Relationship Id="rId182" Type="http://schemas.openxmlformats.org/officeDocument/2006/relationships/hyperlink" Target="http://dx.doi.org/10.17504/protocols.io.yinfude" TargetMode="External"/><Relationship Id="rId217" Type="http://schemas.openxmlformats.org/officeDocument/2006/relationships/hyperlink" Target="http://dx.doi.org/10.17504/protocols.io.yinfude" TargetMode="External"/><Relationship Id="rId6" Type="http://schemas.openxmlformats.org/officeDocument/2006/relationships/hyperlink" Target="http://dx.doi.org/10.17504/protocols.io.yinfude" TargetMode="External"/><Relationship Id="rId238" Type="http://schemas.openxmlformats.org/officeDocument/2006/relationships/hyperlink" Target="http://dx.doi.org/10.17504/protocols.io.yinfude" TargetMode="External"/><Relationship Id="rId23" Type="http://schemas.openxmlformats.org/officeDocument/2006/relationships/hyperlink" Target="http://dx.doi.org/10.17504/protocols.io.yinfude" TargetMode="External"/><Relationship Id="rId119" Type="http://schemas.openxmlformats.org/officeDocument/2006/relationships/hyperlink" Target="http://dx.doi.org/10.17504/protocols.io.yinfude" TargetMode="External"/><Relationship Id="rId44" Type="http://schemas.openxmlformats.org/officeDocument/2006/relationships/hyperlink" Target="http://dx.doi.org/10.17504/protocols.io.yinfude" TargetMode="External"/><Relationship Id="rId65" Type="http://schemas.openxmlformats.org/officeDocument/2006/relationships/hyperlink" Target="http://dx.doi.org/10.17504/protocols.io.yinfude" TargetMode="External"/><Relationship Id="rId86" Type="http://schemas.openxmlformats.org/officeDocument/2006/relationships/hyperlink" Target="http://dx.doi.org/10.17504/protocols.io.yinfude" TargetMode="External"/><Relationship Id="rId130" Type="http://schemas.openxmlformats.org/officeDocument/2006/relationships/hyperlink" Target="http://dx.doi.org/10.17504/protocols.io.yinfude" TargetMode="External"/><Relationship Id="rId151" Type="http://schemas.openxmlformats.org/officeDocument/2006/relationships/hyperlink" Target="http://dx.doi.org/10.17504/protocols.io.yinfude" TargetMode="External"/><Relationship Id="rId172" Type="http://schemas.openxmlformats.org/officeDocument/2006/relationships/hyperlink" Target="http://dx.doi.org/10.17504/protocols.io.yinfude" TargetMode="External"/><Relationship Id="rId193" Type="http://schemas.openxmlformats.org/officeDocument/2006/relationships/hyperlink" Target="http://dx.doi.org/10.17504/protocols.io.yinfude" TargetMode="External"/><Relationship Id="rId207" Type="http://schemas.openxmlformats.org/officeDocument/2006/relationships/hyperlink" Target="http://dx.doi.org/10.17504/protocols.io.yinfude" TargetMode="External"/><Relationship Id="rId228" Type="http://schemas.openxmlformats.org/officeDocument/2006/relationships/hyperlink" Target="http://dx.doi.org/10.17504/protocols.io.yinfude" TargetMode="External"/><Relationship Id="rId249" Type="http://schemas.openxmlformats.org/officeDocument/2006/relationships/hyperlink" Target="http://dx.doi.org/10.17504/protocols.io.yinfude" TargetMode="External"/><Relationship Id="rId13" Type="http://schemas.openxmlformats.org/officeDocument/2006/relationships/hyperlink" Target="http://dx.doi.org/10.17504/protocols.io.yinfude" TargetMode="External"/><Relationship Id="rId109" Type="http://schemas.openxmlformats.org/officeDocument/2006/relationships/hyperlink" Target="http://dx.doi.org/10.17504/protocols.io.yinfude" TargetMode="External"/><Relationship Id="rId34" Type="http://schemas.openxmlformats.org/officeDocument/2006/relationships/hyperlink" Target="http://dx.doi.org/10.17504/protocols.io.yinfude" TargetMode="External"/><Relationship Id="rId55" Type="http://schemas.openxmlformats.org/officeDocument/2006/relationships/hyperlink" Target="http://dx.doi.org/10.17504/protocols.io.yinfude" TargetMode="External"/><Relationship Id="rId76" Type="http://schemas.openxmlformats.org/officeDocument/2006/relationships/hyperlink" Target="http://dx.doi.org/10.17504/protocols.io.yinfude" TargetMode="External"/><Relationship Id="rId97" Type="http://schemas.openxmlformats.org/officeDocument/2006/relationships/hyperlink" Target="http://dx.doi.org/10.17504/protocols.io.yinfude" TargetMode="External"/><Relationship Id="rId120" Type="http://schemas.openxmlformats.org/officeDocument/2006/relationships/hyperlink" Target="http://dx.doi.org/10.17504/protocols.io.yinfude" TargetMode="External"/><Relationship Id="rId141" Type="http://schemas.openxmlformats.org/officeDocument/2006/relationships/hyperlink" Target="http://dx.doi.org/10.17504/protocols.io.yinfude" TargetMode="External"/><Relationship Id="rId7" Type="http://schemas.openxmlformats.org/officeDocument/2006/relationships/hyperlink" Target="http://dx.doi.org/10.17504/protocols.io.yinfude" TargetMode="External"/><Relationship Id="rId162" Type="http://schemas.openxmlformats.org/officeDocument/2006/relationships/hyperlink" Target="http://dx.doi.org/10.17504/protocols.io.yinfude" TargetMode="External"/><Relationship Id="rId183" Type="http://schemas.openxmlformats.org/officeDocument/2006/relationships/hyperlink" Target="http://dx.doi.org/10.17504/protocols.io.yinfude" TargetMode="External"/><Relationship Id="rId218" Type="http://schemas.openxmlformats.org/officeDocument/2006/relationships/hyperlink" Target="http://dx.doi.org/10.17504/protocols.io.yinfude" TargetMode="External"/><Relationship Id="rId239" Type="http://schemas.openxmlformats.org/officeDocument/2006/relationships/hyperlink" Target="http://dx.doi.org/10.17504/protocols.io.yinfude" TargetMode="External"/><Relationship Id="rId250" Type="http://schemas.openxmlformats.org/officeDocument/2006/relationships/hyperlink" Target="http://dx.doi.org/10.17504/protocols.io.yinfude" TargetMode="External"/><Relationship Id="rId24" Type="http://schemas.openxmlformats.org/officeDocument/2006/relationships/hyperlink" Target="http://dx.doi.org/10.17504/protocols.io.yinfude" TargetMode="External"/><Relationship Id="rId45" Type="http://schemas.openxmlformats.org/officeDocument/2006/relationships/hyperlink" Target="http://dx.doi.org/10.17504/protocols.io.yinfude" TargetMode="External"/><Relationship Id="rId66" Type="http://schemas.openxmlformats.org/officeDocument/2006/relationships/hyperlink" Target="http://dx.doi.org/10.17504/protocols.io.yinfude" TargetMode="External"/><Relationship Id="rId87" Type="http://schemas.openxmlformats.org/officeDocument/2006/relationships/hyperlink" Target="http://dx.doi.org/10.17504/protocols.io.yinfude" TargetMode="External"/><Relationship Id="rId110" Type="http://schemas.openxmlformats.org/officeDocument/2006/relationships/hyperlink" Target="http://dx.doi.org/10.17504/protocols.io.yinfude" TargetMode="External"/><Relationship Id="rId131" Type="http://schemas.openxmlformats.org/officeDocument/2006/relationships/hyperlink" Target="http://dx.doi.org/10.17504/protocols.io.yinfude" TargetMode="External"/><Relationship Id="rId152" Type="http://schemas.openxmlformats.org/officeDocument/2006/relationships/hyperlink" Target="http://dx.doi.org/10.17504/protocols.io.yinfude" TargetMode="External"/><Relationship Id="rId173" Type="http://schemas.openxmlformats.org/officeDocument/2006/relationships/hyperlink" Target="http://dx.doi.org/10.17504/protocols.io.yinfude" TargetMode="External"/><Relationship Id="rId194" Type="http://schemas.openxmlformats.org/officeDocument/2006/relationships/hyperlink" Target="http://dx.doi.org/10.17504/protocols.io.yinfude" TargetMode="External"/><Relationship Id="rId208" Type="http://schemas.openxmlformats.org/officeDocument/2006/relationships/hyperlink" Target="http://dx.doi.org/10.17504/protocols.io.yinfude" TargetMode="External"/><Relationship Id="rId229" Type="http://schemas.openxmlformats.org/officeDocument/2006/relationships/hyperlink" Target="http://dx.doi.org/10.17504/protocols.io.yinfude" TargetMode="External"/><Relationship Id="rId240" Type="http://schemas.openxmlformats.org/officeDocument/2006/relationships/hyperlink" Target="http://dx.doi.org/10.17504/protocols.io.yinfude" TargetMode="External"/><Relationship Id="rId14" Type="http://schemas.openxmlformats.org/officeDocument/2006/relationships/hyperlink" Target="http://dx.doi.org/10.17504/protocols.io.yinfude" TargetMode="External"/><Relationship Id="rId35" Type="http://schemas.openxmlformats.org/officeDocument/2006/relationships/hyperlink" Target="http://dx.doi.org/10.17504/protocols.io.yinfude" TargetMode="External"/><Relationship Id="rId56" Type="http://schemas.openxmlformats.org/officeDocument/2006/relationships/hyperlink" Target="http://dx.doi.org/10.17504/protocols.io.yinfude" TargetMode="External"/><Relationship Id="rId77" Type="http://schemas.openxmlformats.org/officeDocument/2006/relationships/hyperlink" Target="http://dx.doi.org/10.17504/protocols.io.yinfude" TargetMode="External"/><Relationship Id="rId100" Type="http://schemas.openxmlformats.org/officeDocument/2006/relationships/hyperlink" Target="http://dx.doi.org/10.17504/protocols.io.yinfude" TargetMode="External"/><Relationship Id="rId8" Type="http://schemas.openxmlformats.org/officeDocument/2006/relationships/hyperlink" Target="http://dx.doi.org/10.17504/protocols.io.yinfude" TargetMode="External"/><Relationship Id="rId98" Type="http://schemas.openxmlformats.org/officeDocument/2006/relationships/hyperlink" Target="http://dx.doi.org/10.17504/protocols.io.yinfude" TargetMode="External"/><Relationship Id="rId121" Type="http://schemas.openxmlformats.org/officeDocument/2006/relationships/hyperlink" Target="http://dx.doi.org/10.17504/protocols.io.yinfude" TargetMode="External"/><Relationship Id="rId142" Type="http://schemas.openxmlformats.org/officeDocument/2006/relationships/hyperlink" Target="http://dx.doi.org/10.17504/protocols.io.yinfude" TargetMode="External"/><Relationship Id="rId163" Type="http://schemas.openxmlformats.org/officeDocument/2006/relationships/hyperlink" Target="http://dx.doi.org/10.17504/protocols.io.yinfude" TargetMode="External"/><Relationship Id="rId184" Type="http://schemas.openxmlformats.org/officeDocument/2006/relationships/hyperlink" Target="http://dx.doi.org/10.17504/protocols.io.yinfude" TargetMode="External"/><Relationship Id="rId219" Type="http://schemas.openxmlformats.org/officeDocument/2006/relationships/hyperlink" Target="http://dx.doi.org/10.17504/protocols.io.yinfude" TargetMode="External"/><Relationship Id="rId230" Type="http://schemas.openxmlformats.org/officeDocument/2006/relationships/hyperlink" Target="http://dx.doi.org/10.17504/protocols.io.yinfude" TargetMode="External"/><Relationship Id="rId251" Type="http://schemas.openxmlformats.org/officeDocument/2006/relationships/hyperlink" Target="http://dx.doi.org/10.17504/protocols.io.yinfude" TargetMode="External"/><Relationship Id="rId25" Type="http://schemas.openxmlformats.org/officeDocument/2006/relationships/hyperlink" Target="http://dx.doi.org/10.17504/protocols.io.yinfude" TargetMode="External"/><Relationship Id="rId46" Type="http://schemas.openxmlformats.org/officeDocument/2006/relationships/hyperlink" Target="http://dx.doi.org/10.17504/protocols.io.yinfude" TargetMode="External"/><Relationship Id="rId67" Type="http://schemas.openxmlformats.org/officeDocument/2006/relationships/hyperlink" Target="http://dx.doi.org/10.17504/protocols.io.yinfude" TargetMode="External"/><Relationship Id="rId88" Type="http://schemas.openxmlformats.org/officeDocument/2006/relationships/hyperlink" Target="http://dx.doi.org/10.17504/protocols.io.yinfude" TargetMode="External"/><Relationship Id="rId111" Type="http://schemas.openxmlformats.org/officeDocument/2006/relationships/hyperlink" Target="http://dx.doi.org/10.17504/protocols.io.yinfude" TargetMode="External"/><Relationship Id="rId132" Type="http://schemas.openxmlformats.org/officeDocument/2006/relationships/hyperlink" Target="http://dx.doi.org/10.17504/protocols.io.yinfude" TargetMode="External"/><Relationship Id="rId153" Type="http://schemas.openxmlformats.org/officeDocument/2006/relationships/hyperlink" Target="http://dx.doi.org/10.17504/protocols.io.yinfude" TargetMode="External"/><Relationship Id="rId174" Type="http://schemas.openxmlformats.org/officeDocument/2006/relationships/hyperlink" Target="http://dx.doi.org/10.17504/protocols.io.yinfude" TargetMode="External"/><Relationship Id="rId195" Type="http://schemas.openxmlformats.org/officeDocument/2006/relationships/hyperlink" Target="http://dx.doi.org/10.17504/protocols.io.yinfude" TargetMode="External"/><Relationship Id="rId209" Type="http://schemas.openxmlformats.org/officeDocument/2006/relationships/hyperlink" Target="http://dx.doi.org/10.17504/protocols.io.yinfude" TargetMode="External"/><Relationship Id="rId220" Type="http://schemas.openxmlformats.org/officeDocument/2006/relationships/hyperlink" Target="http://dx.doi.org/10.17504/protocols.io.yinfude" TargetMode="External"/><Relationship Id="rId241" Type="http://schemas.openxmlformats.org/officeDocument/2006/relationships/hyperlink" Target="http://dx.doi.org/10.17504/protocols.io.yinfude" TargetMode="External"/><Relationship Id="rId15" Type="http://schemas.openxmlformats.org/officeDocument/2006/relationships/hyperlink" Target="http://dx.doi.org/10.17504/protocols.io.yinfude" TargetMode="External"/><Relationship Id="rId36" Type="http://schemas.openxmlformats.org/officeDocument/2006/relationships/hyperlink" Target="http://dx.doi.org/10.17504/protocols.io.yinfude" TargetMode="External"/><Relationship Id="rId57" Type="http://schemas.openxmlformats.org/officeDocument/2006/relationships/hyperlink" Target="http://dx.doi.org/10.17504/protocols.io.yinfude" TargetMode="External"/><Relationship Id="rId78" Type="http://schemas.openxmlformats.org/officeDocument/2006/relationships/hyperlink" Target="http://dx.doi.org/10.17504/protocols.io.yinfude" TargetMode="External"/><Relationship Id="rId99" Type="http://schemas.openxmlformats.org/officeDocument/2006/relationships/hyperlink" Target="http://dx.doi.org/10.17504/protocols.io.yinfude" TargetMode="External"/><Relationship Id="rId101" Type="http://schemas.openxmlformats.org/officeDocument/2006/relationships/hyperlink" Target="http://dx.doi.org/10.17504/protocols.io.yinfude" TargetMode="External"/><Relationship Id="rId122" Type="http://schemas.openxmlformats.org/officeDocument/2006/relationships/hyperlink" Target="http://dx.doi.org/10.17504/protocols.io.yinfude" TargetMode="External"/><Relationship Id="rId143" Type="http://schemas.openxmlformats.org/officeDocument/2006/relationships/hyperlink" Target="http://dx.doi.org/10.17504/protocols.io.yinfude" TargetMode="External"/><Relationship Id="rId164" Type="http://schemas.openxmlformats.org/officeDocument/2006/relationships/hyperlink" Target="http://dx.doi.org/10.17504/protocols.io.yinfude" TargetMode="External"/><Relationship Id="rId185" Type="http://schemas.openxmlformats.org/officeDocument/2006/relationships/hyperlink" Target="http://dx.doi.org/10.17504/protocols.io.yinfude" TargetMode="External"/><Relationship Id="rId9" Type="http://schemas.openxmlformats.org/officeDocument/2006/relationships/hyperlink" Target="http://dx.doi.org/10.17504/protocols.io.yinfude" TargetMode="External"/><Relationship Id="rId210" Type="http://schemas.openxmlformats.org/officeDocument/2006/relationships/hyperlink" Target="http://dx.doi.org/10.17504/protocols.io.yinfude" TargetMode="External"/><Relationship Id="rId26" Type="http://schemas.openxmlformats.org/officeDocument/2006/relationships/hyperlink" Target="http://dx.doi.org/10.17504/protocols.io.yinfude" TargetMode="External"/><Relationship Id="rId231" Type="http://schemas.openxmlformats.org/officeDocument/2006/relationships/hyperlink" Target="http://dx.doi.org/10.17504/protocols.io.yinfude" TargetMode="External"/><Relationship Id="rId252" Type="http://schemas.openxmlformats.org/officeDocument/2006/relationships/hyperlink" Target="http://dx.doi.org/10.17504/protocols.io.yinfude" TargetMode="External"/><Relationship Id="rId47" Type="http://schemas.openxmlformats.org/officeDocument/2006/relationships/hyperlink" Target="http://dx.doi.org/10.17504/protocols.io.yinfude" TargetMode="External"/><Relationship Id="rId68" Type="http://schemas.openxmlformats.org/officeDocument/2006/relationships/hyperlink" Target="http://dx.doi.org/10.17504/protocols.io.yinfude" TargetMode="External"/><Relationship Id="rId89" Type="http://schemas.openxmlformats.org/officeDocument/2006/relationships/hyperlink" Target="http://dx.doi.org/10.17504/protocols.io.yinfude" TargetMode="External"/><Relationship Id="rId112" Type="http://schemas.openxmlformats.org/officeDocument/2006/relationships/hyperlink" Target="http://dx.doi.org/10.17504/protocols.io.yinfude" TargetMode="External"/><Relationship Id="rId133" Type="http://schemas.openxmlformats.org/officeDocument/2006/relationships/hyperlink" Target="http://dx.doi.org/10.17504/protocols.io.yinfude" TargetMode="External"/><Relationship Id="rId154" Type="http://schemas.openxmlformats.org/officeDocument/2006/relationships/hyperlink" Target="http://dx.doi.org/10.17504/protocols.io.yinfude" TargetMode="External"/><Relationship Id="rId175" Type="http://schemas.openxmlformats.org/officeDocument/2006/relationships/hyperlink" Target="http://dx.doi.org/10.17504/protocols.io.yinfude" TargetMode="External"/><Relationship Id="rId196" Type="http://schemas.openxmlformats.org/officeDocument/2006/relationships/hyperlink" Target="http://dx.doi.org/10.17504/protocols.io.yinfude" TargetMode="External"/><Relationship Id="rId200" Type="http://schemas.openxmlformats.org/officeDocument/2006/relationships/hyperlink" Target="http://dx.doi.org/10.17504/protocols.io.yinfude" TargetMode="External"/><Relationship Id="rId16" Type="http://schemas.openxmlformats.org/officeDocument/2006/relationships/hyperlink" Target="http://dx.doi.org/10.17504/protocols.io.yinfude" TargetMode="External"/><Relationship Id="rId221" Type="http://schemas.openxmlformats.org/officeDocument/2006/relationships/hyperlink" Target="http://dx.doi.org/10.17504/protocols.io.yinfude" TargetMode="External"/><Relationship Id="rId242" Type="http://schemas.openxmlformats.org/officeDocument/2006/relationships/hyperlink" Target="http://dx.doi.org/10.17504/protocols.io.yinfude" TargetMode="External"/><Relationship Id="rId37" Type="http://schemas.openxmlformats.org/officeDocument/2006/relationships/hyperlink" Target="http://dx.doi.org/10.17504/protocols.io.yinfude" TargetMode="External"/><Relationship Id="rId58" Type="http://schemas.openxmlformats.org/officeDocument/2006/relationships/hyperlink" Target="http://dx.doi.org/10.17504/protocols.io.yinfude" TargetMode="External"/><Relationship Id="rId79" Type="http://schemas.openxmlformats.org/officeDocument/2006/relationships/hyperlink" Target="http://dx.doi.org/10.17504/protocols.io.yinfude" TargetMode="External"/><Relationship Id="rId102" Type="http://schemas.openxmlformats.org/officeDocument/2006/relationships/hyperlink" Target="http://dx.doi.org/10.17504/protocols.io.yinfude" TargetMode="External"/><Relationship Id="rId123" Type="http://schemas.openxmlformats.org/officeDocument/2006/relationships/hyperlink" Target="http://dx.doi.org/10.17504/protocols.io.yinfude" TargetMode="External"/><Relationship Id="rId144" Type="http://schemas.openxmlformats.org/officeDocument/2006/relationships/hyperlink" Target="http://dx.doi.org/10.17504/protocols.io.yinfude" TargetMode="External"/><Relationship Id="rId90" Type="http://schemas.openxmlformats.org/officeDocument/2006/relationships/hyperlink" Target="http://dx.doi.org/10.17504/protocols.io.yinfude" TargetMode="External"/><Relationship Id="rId165" Type="http://schemas.openxmlformats.org/officeDocument/2006/relationships/hyperlink" Target="http://dx.doi.org/10.17504/protocols.io.yinfude" TargetMode="External"/><Relationship Id="rId186" Type="http://schemas.openxmlformats.org/officeDocument/2006/relationships/hyperlink" Target="http://dx.doi.org/10.17504/protocols.io.yinfude" TargetMode="External"/><Relationship Id="rId211" Type="http://schemas.openxmlformats.org/officeDocument/2006/relationships/hyperlink" Target="http://dx.doi.org/10.17504/protocols.io.yinfude" TargetMode="External"/><Relationship Id="rId232" Type="http://schemas.openxmlformats.org/officeDocument/2006/relationships/hyperlink" Target="http://dx.doi.org/10.17504/protocols.io.yinfude" TargetMode="External"/><Relationship Id="rId253" Type="http://schemas.openxmlformats.org/officeDocument/2006/relationships/hyperlink" Target="http://dx.doi.org/10.17504/protocols.io.yinfude" TargetMode="External"/><Relationship Id="rId27" Type="http://schemas.openxmlformats.org/officeDocument/2006/relationships/hyperlink" Target="http://dx.doi.org/10.17504/protocols.io.yinfude" TargetMode="External"/><Relationship Id="rId48" Type="http://schemas.openxmlformats.org/officeDocument/2006/relationships/hyperlink" Target="http://dx.doi.org/10.17504/protocols.io.yinfude" TargetMode="External"/><Relationship Id="rId69" Type="http://schemas.openxmlformats.org/officeDocument/2006/relationships/hyperlink" Target="http://dx.doi.org/10.17504/protocols.io.yinfude" TargetMode="External"/><Relationship Id="rId113" Type="http://schemas.openxmlformats.org/officeDocument/2006/relationships/hyperlink" Target="http://dx.doi.org/10.17504/protocols.io.yinfude" TargetMode="External"/><Relationship Id="rId134" Type="http://schemas.openxmlformats.org/officeDocument/2006/relationships/hyperlink" Target="http://dx.doi.org/10.17504/protocols.io.yinfude" TargetMode="External"/><Relationship Id="rId80" Type="http://schemas.openxmlformats.org/officeDocument/2006/relationships/hyperlink" Target="http://dx.doi.org/10.17504/protocols.io.yinfude" TargetMode="External"/><Relationship Id="rId155" Type="http://schemas.openxmlformats.org/officeDocument/2006/relationships/hyperlink" Target="http://dx.doi.org/10.17504/protocols.io.yinfude" TargetMode="External"/><Relationship Id="rId176" Type="http://schemas.openxmlformats.org/officeDocument/2006/relationships/hyperlink" Target="http://dx.doi.org/10.17504/protocols.io.yinfude" TargetMode="External"/><Relationship Id="rId197" Type="http://schemas.openxmlformats.org/officeDocument/2006/relationships/hyperlink" Target="http://dx.doi.org/10.17504/protocols.io.yinfude" TargetMode="External"/><Relationship Id="rId201" Type="http://schemas.openxmlformats.org/officeDocument/2006/relationships/hyperlink" Target="http://dx.doi.org/10.17504/protocols.io.yinfude" TargetMode="External"/><Relationship Id="rId222" Type="http://schemas.openxmlformats.org/officeDocument/2006/relationships/hyperlink" Target="http://dx.doi.org/10.17504/protocols.io.yinfude" TargetMode="External"/><Relationship Id="rId243" Type="http://schemas.openxmlformats.org/officeDocument/2006/relationships/hyperlink" Target="http://dx.doi.org/10.17504/protocols.io.yinfude" TargetMode="External"/><Relationship Id="rId17" Type="http://schemas.openxmlformats.org/officeDocument/2006/relationships/hyperlink" Target="http://dx.doi.org/10.17504/protocols.io.yinfude" TargetMode="External"/><Relationship Id="rId38" Type="http://schemas.openxmlformats.org/officeDocument/2006/relationships/hyperlink" Target="http://dx.doi.org/10.17504/protocols.io.yinfude" TargetMode="External"/><Relationship Id="rId59" Type="http://schemas.openxmlformats.org/officeDocument/2006/relationships/hyperlink" Target="http://dx.doi.org/10.17504/protocols.io.yinfude" TargetMode="External"/><Relationship Id="rId103" Type="http://schemas.openxmlformats.org/officeDocument/2006/relationships/hyperlink" Target="http://dx.doi.org/10.17504/protocols.io.yinfude" TargetMode="External"/><Relationship Id="rId124" Type="http://schemas.openxmlformats.org/officeDocument/2006/relationships/hyperlink" Target="http://dx.doi.org/10.17504/protocols.io.yinfude" TargetMode="External"/><Relationship Id="rId70" Type="http://schemas.openxmlformats.org/officeDocument/2006/relationships/hyperlink" Target="http://dx.doi.org/10.17504/protocols.io.yinfude" TargetMode="External"/><Relationship Id="rId91" Type="http://schemas.openxmlformats.org/officeDocument/2006/relationships/hyperlink" Target="http://dx.doi.org/10.17504/protocols.io.yinfude" TargetMode="External"/><Relationship Id="rId145" Type="http://schemas.openxmlformats.org/officeDocument/2006/relationships/hyperlink" Target="http://dx.doi.org/10.17504/protocols.io.yinfude" TargetMode="External"/><Relationship Id="rId166" Type="http://schemas.openxmlformats.org/officeDocument/2006/relationships/hyperlink" Target="http://dx.doi.org/10.17504/protocols.io.yinfude" TargetMode="External"/><Relationship Id="rId187" Type="http://schemas.openxmlformats.org/officeDocument/2006/relationships/hyperlink" Target="http://dx.doi.org/10.17504/protocols.io.yinfude" TargetMode="External"/><Relationship Id="rId1" Type="http://schemas.openxmlformats.org/officeDocument/2006/relationships/hyperlink" Target="http://dx.doi.org/10.17504/protocols.io.yinfude" TargetMode="External"/><Relationship Id="rId212" Type="http://schemas.openxmlformats.org/officeDocument/2006/relationships/hyperlink" Target="http://dx.doi.org/10.17504/protocols.io.yinfude" TargetMode="External"/><Relationship Id="rId233" Type="http://schemas.openxmlformats.org/officeDocument/2006/relationships/hyperlink" Target="http://dx.doi.org/10.17504/protocols.io.yinfude" TargetMode="External"/><Relationship Id="rId254" Type="http://schemas.openxmlformats.org/officeDocument/2006/relationships/hyperlink" Target="http://dx.doi.org/10.17504/protocols.io.yinfude" TargetMode="External"/><Relationship Id="rId28" Type="http://schemas.openxmlformats.org/officeDocument/2006/relationships/hyperlink" Target="http://dx.doi.org/10.17504/protocols.io.yinfude" TargetMode="External"/><Relationship Id="rId49" Type="http://schemas.openxmlformats.org/officeDocument/2006/relationships/hyperlink" Target="http://dx.doi.org/10.17504/protocols.io.yinfude" TargetMode="External"/><Relationship Id="rId114" Type="http://schemas.openxmlformats.org/officeDocument/2006/relationships/hyperlink" Target="http://dx.doi.org/10.17504/protocols.io.yinfude" TargetMode="External"/><Relationship Id="rId60" Type="http://schemas.openxmlformats.org/officeDocument/2006/relationships/hyperlink" Target="http://dx.doi.org/10.17504/protocols.io.yinfude" TargetMode="External"/><Relationship Id="rId81" Type="http://schemas.openxmlformats.org/officeDocument/2006/relationships/hyperlink" Target="http://dx.doi.org/10.17504/protocols.io.yinfude" TargetMode="External"/><Relationship Id="rId135" Type="http://schemas.openxmlformats.org/officeDocument/2006/relationships/hyperlink" Target="http://dx.doi.org/10.17504/protocols.io.yinfude" TargetMode="External"/><Relationship Id="rId156" Type="http://schemas.openxmlformats.org/officeDocument/2006/relationships/hyperlink" Target="http://dx.doi.org/10.17504/protocols.io.yinfude" TargetMode="External"/><Relationship Id="rId177" Type="http://schemas.openxmlformats.org/officeDocument/2006/relationships/hyperlink" Target="http://dx.doi.org/10.17504/protocols.io.yinfude" TargetMode="External"/><Relationship Id="rId198" Type="http://schemas.openxmlformats.org/officeDocument/2006/relationships/hyperlink" Target="http://dx.doi.org/10.17504/protocols.io.yinfude" TargetMode="External"/><Relationship Id="rId202" Type="http://schemas.openxmlformats.org/officeDocument/2006/relationships/hyperlink" Target="http://dx.doi.org/10.17504/protocols.io.yinfude" TargetMode="External"/><Relationship Id="rId223" Type="http://schemas.openxmlformats.org/officeDocument/2006/relationships/hyperlink" Target="http://dx.doi.org/10.17504/protocols.io.yinfude" TargetMode="External"/><Relationship Id="rId244" Type="http://schemas.openxmlformats.org/officeDocument/2006/relationships/hyperlink" Target="http://dx.doi.org/10.17504/protocols.io.yinfude" TargetMode="External"/><Relationship Id="rId18" Type="http://schemas.openxmlformats.org/officeDocument/2006/relationships/hyperlink" Target="http://dx.doi.org/10.17504/protocols.io.yinfude" TargetMode="External"/><Relationship Id="rId39" Type="http://schemas.openxmlformats.org/officeDocument/2006/relationships/hyperlink" Target="http://dx.doi.org/10.17504/protocols.io.yinfude" TargetMode="External"/><Relationship Id="rId50" Type="http://schemas.openxmlformats.org/officeDocument/2006/relationships/hyperlink" Target="http://dx.doi.org/10.17504/protocols.io.yinfude" TargetMode="External"/><Relationship Id="rId104" Type="http://schemas.openxmlformats.org/officeDocument/2006/relationships/hyperlink" Target="http://dx.doi.org/10.17504/protocols.io.yinfude" TargetMode="External"/><Relationship Id="rId125" Type="http://schemas.openxmlformats.org/officeDocument/2006/relationships/hyperlink" Target="http://dx.doi.org/10.17504/protocols.io.yinfude" TargetMode="External"/><Relationship Id="rId146" Type="http://schemas.openxmlformats.org/officeDocument/2006/relationships/hyperlink" Target="http://dx.doi.org/10.17504/protocols.io.yinfude" TargetMode="External"/><Relationship Id="rId167" Type="http://schemas.openxmlformats.org/officeDocument/2006/relationships/hyperlink" Target="http://dx.doi.org/10.17504/protocols.io.yinfude" TargetMode="External"/><Relationship Id="rId188" Type="http://schemas.openxmlformats.org/officeDocument/2006/relationships/hyperlink" Target="http://dx.doi.org/10.17504/protocols.io.yinfude" TargetMode="External"/><Relationship Id="rId71" Type="http://schemas.openxmlformats.org/officeDocument/2006/relationships/hyperlink" Target="http://dx.doi.org/10.17504/protocols.io.yinfude" TargetMode="External"/><Relationship Id="rId92" Type="http://schemas.openxmlformats.org/officeDocument/2006/relationships/hyperlink" Target="http://dx.doi.org/10.17504/protocols.io.yinfude" TargetMode="External"/><Relationship Id="rId213" Type="http://schemas.openxmlformats.org/officeDocument/2006/relationships/hyperlink" Target="http://dx.doi.org/10.17504/protocols.io.yinfude" TargetMode="External"/><Relationship Id="rId234" Type="http://schemas.openxmlformats.org/officeDocument/2006/relationships/hyperlink" Target="http://dx.doi.org/10.17504/protocols.io.yinfude" TargetMode="External"/><Relationship Id="rId2" Type="http://schemas.openxmlformats.org/officeDocument/2006/relationships/hyperlink" Target="http://dx.doi.org/10.17504/protocols.io.yinfude" TargetMode="External"/><Relationship Id="rId29" Type="http://schemas.openxmlformats.org/officeDocument/2006/relationships/hyperlink" Target="http://dx.doi.org/10.17504/protocols.io.yinfude" TargetMode="External"/><Relationship Id="rId255" Type="http://schemas.openxmlformats.org/officeDocument/2006/relationships/hyperlink" Target="http://dx.doi.org/10.17504/protocols.io.yinfude" TargetMode="External"/><Relationship Id="rId40" Type="http://schemas.openxmlformats.org/officeDocument/2006/relationships/hyperlink" Target="http://dx.doi.org/10.17504/protocols.io.yinfude" TargetMode="External"/><Relationship Id="rId115" Type="http://schemas.openxmlformats.org/officeDocument/2006/relationships/hyperlink" Target="http://dx.doi.org/10.17504/protocols.io.yinfude" TargetMode="External"/><Relationship Id="rId136" Type="http://schemas.openxmlformats.org/officeDocument/2006/relationships/hyperlink" Target="http://dx.doi.org/10.17504/protocols.io.yinfude" TargetMode="External"/><Relationship Id="rId157" Type="http://schemas.openxmlformats.org/officeDocument/2006/relationships/hyperlink" Target="http://dx.doi.org/10.17504/protocols.io.yinfude" TargetMode="External"/><Relationship Id="rId178" Type="http://schemas.openxmlformats.org/officeDocument/2006/relationships/hyperlink" Target="http://dx.doi.org/10.17504/protocols.io.yinfude" TargetMode="External"/><Relationship Id="rId61" Type="http://schemas.openxmlformats.org/officeDocument/2006/relationships/hyperlink" Target="http://dx.doi.org/10.17504/protocols.io.yinfude" TargetMode="External"/><Relationship Id="rId82" Type="http://schemas.openxmlformats.org/officeDocument/2006/relationships/hyperlink" Target="http://dx.doi.org/10.17504/protocols.io.yinfude" TargetMode="External"/><Relationship Id="rId199" Type="http://schemas.openxmlformats.org/officeDocument/2006/relationships/hyperlink" Target="http://dx.doi.org/10.17504/protocols.io.yinfude" TargetMode="External"/><Relationship Id="rId203" Type="http://schemas.openxmlformats.org/officeDocument/2006/relationships/hyperlink" Target="http://dx.doi.org/10.17504/protocols.io.yinfude" TargetMode="External"/><Relationship Id="rId19" Type="http://schemas.openxmlformats.org/officeDocument/2006/relationships/hyperlink" Target="http://dx.doi.org/10.17504/protocols.io.yinfude" TargetMode="External"/><Relationship Id="rId224" Type="http://schemas.openxmlformats.org/officeDocument/2006/relationships/hyperlink" Target="http://dx.doi.org/10.17504/protocols.io.yinfude" TargetMode="External"/><Relationship Id="rId245" Type="http://schemas.openxmlformats.org/officeDocument/2006/relationships/hyperlink" Target="http://dx.doi.org/10.17504/protocols.io.yinfude" TargetMode="External"/><Relationship Id="rId30" Type="http://schemas.openxmlformats.org/officeDocument/2006/relationships/hyperlink" Target="http://dx.doi.org/10.17504/protocols.io.yinfude" TargetMode="External"/><Relationship Id="rId105" Type="http://schemas.openxmlformats.org/officeDocument/2006/relationships/hyperlink" Target="http://dx.doi.org/10.17504/protocols.io.yinfude" TargetMode="External"/><Relationship Id="rId126" Type="http://schemas.openxmlformats.org/officeDocument/2006/relationships/hyperlink" Target="http://dx.doi.org/10.17504/protocols.io.yinfude" TargetMode="External"/><Relationship Id="rId147" Type="http://schemas.openxmlformats.org/officeDocument/2006/relationships/hyperlink" Target="http://dx.doi.org/10.17504/protocols.io.yinfude" TargetMode="External"/><Relationship Id="rId168" Type="http://schemas.openxmlformats.org/officeDocument/2006/relationships/hyperlink" Target="http://dx.doi.org/10.17504/protocols.io.yinfude" TargetMode="External"/><Relationship Id="rId51" Type="http://schemas.openxmlformats.org/officeDocument/2006/relationships/hyperlink" Target="http://dx.doi.org/10.17504/protocols.io.yinfude" TargetMode="External"/><Relationship Id="rId72" Type="http://schemas.openxmlformats.org/officeDocument/2006/relationships/hyperlink" Target="http://dx.doi.org/10.17504/protocols.io.yinfude" TargetMode="External"/><Relationship Id="rId93" Type="http://schemas.openxmlformats.org/officeDocument/2006/relationships/hyperlink" Target="http://dx.doi.org/10.17504/protocols.io.yinfude" TargetMode="External"/><Relationship Id="rId189" Type="http://schemas.openxmlformats.org/officeDocument/2006/relationships/hyperlink" Target="http://dx.doi.org/10.17504/protocols.io.yinfude" TargetMode="External"/><Relationship Id="rId3" Type="http://schemas.openxmlformats.org/officeDocument/2006/relationships/hyperlink" Target="http://dx.doi.org/10.17504/protocols.io.yinfude" TargetMode="External"/><Relationship Id="rId214" Type="http://schemas.openxmlformats.org/officeDocument/2006/relationships/hyperlink" Target="http://dx.doi.org/10.17504/protocols.io.yinfude" TargetMode="External"/><Relationship Id="rId235" Type="http://schemas.openxmlformats.org/officeDocument/2006/relationships/hyperlink" Target="http://dx.doi.org/10.17504/protocols.io.yinfude" TargetMode="External"/><Relationship Id="rId116" Type="http://schemas.openxmlformats.org/officeDocument/2006/relationships/hyperlink" Target="http://dx.doi.org/10.17504/protocols.io.yinfude" TargetMode="External"/><Relationship Id="rId137" Type="http://schemas.openxmlformats.org/officeDocument/2006/relationships/hyperlink" Target="http://dx.doi.org/10.17504/protocols.io.yinfude" TargetMode="External"/><Relationship Id="rId158" Type="http://schemas.openxmlformats.org/officeDocument/2006/relationships/hyperlink" Target="http://dx.doi.org/10.17504/protocols.io.yinfude" TargetMode="External"/><Relationship Id="rId20" Type="http://schemas.openxmlformats.org/officeDocument/2006/relationships/hyperlink" Target="http://dx.doi.org/10.17504/protocols.io.yinfude" TargetMode="External"/><Relationship Id="rId41" Type="http://schemas.openxmlformats.org/officeDocument/2006/relationships/hyperlink" Target="http://dx.doi.org/10.17504/protocols.io.yinfude" TargetMode="External"/><Relationship Id="rId62" Type="http://schemas.openxmlformats.org/officeDocument/2006/relationships/hyperlink" Target="http://dx.doi.org/10.17504/protocols.io.yinfude" TargetMode="External"/><Relationship Id="rId83" Type="http://schemas.openxmlformats.org/officeDocument/2006/relationships/hyperlink" Target="http://dx.doi.org/10.17504/protocols.io.yinfude" TargetMode="External"/><Relationship Id="rId179" Type="http://schemas.openxmlformats.org/officeDocument/2006/relationships/hyperlink" Target="http://dx.doi.org/10.17504/protocols.io.yinfude" TargetMode="External"/><Relationship Id="rId190" Type="http://schemas.openxmlformats.org/officeDocument/2006/relationships/hyperlink" Target="http://dx.doi.org/10.17504/protocols.io.yinfude" TargetMode="External"/><Relationship Id="rId204" Type="http://schemas.openxmlformats.org/officeDocument/2006/relationships/hyperlink" Target="http://dx.doi.org/10.17504/protocols.io.yinfude" TargetMode="External"/><Relationship Id="rId225" Type="http://schemas.openxmlformats.org/officeDocument/2006/relationships/hyperlink" Target="http://dx.doi.org/10.17504/protocols.io.yinfude" TargetMode="External"/><Relationship Id="rId246" Type="http://schemas.openxmlformats.org/officeDocument/2006/relationships/hyperlink" Target="http://dx.doi.org/10.17504/protocols.io.yinfude" TargetMode="External"/><Relationship Id="rId106" Type="http://schemas.openxmlformats.org/officeDocument/2006/relationships/hyperlink" Target="http://dx.doi.org/10.17504/protocols.io.yinfude" TargetMode="External"/><Relationship Id="rId127" Type="http://schemas.openxmlformats.org/officeDocument/2006/relationships/hyperlink" Target="http://dx.doi.org/10.17504/protocols.io.yinfude" TargetMode="External"/><Relationship Id="rId10" Type="http://schemas.openxmlformats.org/officeDocument/2006/relationships/hyperlink" Target="http://dx.doi.org/10.17504/protocols.io.yinfude" TargetMode="External"/><Relationship Id="rId31" Type="http://schemas.openxmlformats.org/officeDocument/2006/relationships/hyperlink" Target="http://dx.doi.org/10.17504/protocols.io.yinfude" TargetMode="External"/><Relationship Id="rId52" Type="http://schemas.openxmlformats.org/officeDocument/2006/relationships/hyperlink" Target="http://dx.doi.org/10.17504/protocols.io.yinfude" TargetMode="External"/><Relationship Id="rId73" Type="http://schemas.openxmlformats.org/officeDocument/2006/relationships/hyperlink" Target="http://dx.doi.org/10.17504/protocols.io.yinfude" TargetMode="External"/><Relationship Id="rId94" Type="http://schemas.openxmlformats.org/officeDocument/2006/relationships/hyperlink" Target="http://dx.doi.org/10.17504/protocols.io.yinfude" TargetMode="External"/><Relationship Id="rId148" Type="http://schemas.openxmlformats.org/officeDocument/2006/relationships/hyperlink" Target="http://dx.doi.org/10.17504/protocols.io.yinfude" TargetMode="External"/><Relationship Id="rId169" Type="http://schemas.openxmlformats.org/officeDocument/2006/relationships/hyperlink" Target="http://dx.doi.org/10.17504/protocols.io.yinfude" TargetMode="External"/><Relationship Id="rId4" Type="http://schemas.openxmlformats.org/officeDocument/2006/relationships/hyperlink" Target="http://dx.doi.org/10.17504/protocols.io.yinfude" TargetMode="External"/><Relationship Id="rId180" Type="http://schemas.openxmlformats.org/officeDocument/2006/relationships/hyperlink" Target="http://dx.doi.org/10.17504/protocols.io.yinfude" TargetMode="External"/><Relationship Id="rId215" Type="http://schemas.openxmlformats.org/officeDocument/2006/relationships/hyperlink" Target="http://dx.doi.org/10.17504/protocols.io.yinfude" TargetMode="External"/><Relationship Id="rId236" Type="http://schemas.openxmlformats.org/officeDocument/2006/relationships/hyperlink" Target="http://dx.doi.org/10.17504/protocols.io.yinfude" TargetMode="External"/></Relationships>
</file>

<file path=xl/worksheets/_rels/sheet4.xml.rels><?xml version="1.0" encoding="UTF-8" standalone="yes"?>
<Relationships xmlns="http://schemas.openxmlformats.org/package/2006/relationships"><Relationship Id="rId117" Type="http://schemas.openxmlformats.org/officeDocument/2006/relationships/hyperlink" Target="https://biccn.bossdb.org/deliveries/6F16B668-3268-4F17-BC83-7C1FEE5147D46" TargetMode="External"/><Relationship Id="rId21" Type="http://schemas.openxmlformats.org/officeDocument/2006/relationships/hyperlink" Target="https://biccn.bossdb.org/deliveries/9q5a2podd4qsqnje" TargetMode="External"/><Relationship Id="rId42" Type="http://schemas.openxmlformats.org/officeDocument/2006/relationships/hyperlink" Target="https://biccn.bossdb.org/deliveries/9q5a2podd4qsqnje" TargetMode="External"/><Relationship Id="rId63" Type="http://schemas.openxmlformats.org/officeDocument/2006/relationships/hyperlink" Target="https://biccn.bossdb.org/deliveries/9q5a2podd4qsqnje" TargetMode="External"/><Relationship Id="rId84" Type="http://schemas.openxmlformats.org/officeDocument/2006/relationships/hyperlink" Target="https://biccn.bossdb.org/deliveries/6F16B668-3268-4F17-BC83-7C1FEE5147D13" TargetMode="External"/><Relationship Id="rId138" Type="http://schemas.openxmlformats.org/officeDocument/2006/relationships/hyperlink" Target="https://biccn.bossdb.org/deliveries/6F16B668-3268-4F17-BC83-7C1FEE5147D67" TargetMode="External"/><Relationship Id="rId159" Type="http://schemas.openxmlformats.org/officeDocument/2006/relationships/hyperlink" Target="https://biccn.bossdb.org/deliveries/6F16B668-3268-4F17-BC83-7C1FEE5147D88" TargetMode="External"/><Relationship Id="rId170" Type="http://schemas.openxmlformats.org/officeDocument/2006/relationships/hyperlink" Target="https://biccn.bossdb.org/deliveries/6F16B668-3268-4F17-BC83-7C1FEE5147D99" TargetMode="External"/><Relationship Id="rId191" Type="http://schemas.openxmlformats.org/officeDocument/2006/relationships/hyperlink" Target="https://biccn.bossdb.org/deliveries/6F16B668-3268-4F17-BC83-7C1FEE5147D120" TargetMode="External"/><Relationship Id="rId205" Type="http://schemas.openxmlformats.org/officeDocument/2006/relationships/hyperlink" Target="https://biccn.bossdb.org/deliveries/6F16B668-3268-4F17-BC83-7C1FEE5147D134" TargetMode="External"/><Relationship Id="rId226" Type="http://schemas.openxmlformats.org/officeDocument/2006/relationships/hyperlink" Target="https://biccn.bossdb.org/deliveries/08AB1A82-F779-44D2-BF16-1FD4C39858E17" TargetMode="External"/><Relationship Id="rId247" Type="http://schemas.openxmlformats.org/officeDocument/2006/relationships/hyperlink" Target="https://biccn.bossdb.org/deliveries/08AB1A82-F779-44D2-BF16-1FD4C39858E38" TargetMode="External"/><Relationship Id="rId107" Type="http://schemas.openxmlformats.org/officeDocument/2006/relationships/hyperlink" Target="https://biccn.bossdb.org/deliveries/6F16B668-3268-4F17-BC83-7C1FEE5147D36" TargetMode="External"/><Relationship Id="rId11" Type="http://schemas.openxmlformats.org/officeDocument/2006/relationships/hyperlink" Target="https://biccn.bossdb.org/deliveries/9q5a2podd4qsqnje" TargetMode="External"/><Relationship Id="rId32" Type="http://schemas.openxmlformats.org/officeDocument/2006/relationships/hyperlink" Target="https://biccn.bossdb.org/deliveries/9q5a2podd4qsqnje" TargetMode="External"/><Relationship Id="rId53" Type="http://schemas.openxmlformats.org/officeDocument/2006/relationships/hyperlink" Target="https://biccn.bossdb.org/deliveries/9q5a2podd4qsqnje" TargetMode="External"/><Relationship Id="rId74" Type="http://schemas.openxmlformats.org/officeDocument/2006/relationships/hyperlink" Target="https://biccn.bossdb.org/deliveries/9q5a2podd4qsqnje" TargetMode="External"/><Relationship Id="rId128" Type="http://schemas.openxmlformats.org/officeDocument/2006/relationships/hyperlink" Target="https://biccn.bossdb.org/deliveries/6F16B668-3268-4F17-BC83-7C1FEE5147D57" TargetMode="External"/><Relationship Id="rId149" Type="http://schemas.openxmlformats.org/officeDocument/2006/relationships/hyperlink" Target="https://biccn.bossdb.org/deliveries/6F16B668-3268-4F17-BC83-7C1FEE5147D78" TargetMode="External"/><Relationship Id="rId5" Type="http://schemas.openxmlformats.org/officeDocument/2006/relationships/hyperlink" Target="https://biccn.bossdb.org/deliveries/z8d0vi3nfkyj4q4i" TargetMode="External"/><Relationship Id="rId95" Type="http://schemas.openxmlformats.org/officeDocument/2006/relationships/hyperlink" Target="https://biccn.bossdb.org/deliveries/6F16B668-3268-4F17-BC83-7C1FEE5147D24" TargetMode="External"/><Relationship Id="rId160" Type="http://schemas.openxmlformats.org/officeDocument/2006/relationships/hyperlink" Target="https://biccn.bossdb.org/deliveries/6F16B668-3268-4F17-BC83-7C1FEE5147D89" TargetMode="External"/><Relationship Id="rId181" Type="http://schemas.openxmlformats.org/officeDocument/2006/relationships/hyperlink" Target="https://biccn.bossdb.org/deliveries/6F16B668-3268-4F17-BC83-7C1FEE5147D110" TargetMode="External"/><Relationship Id="rId216" Type="http://schemas.openxmlformats.org/officeDocument/2006/relationships/hyperlink" Target="https://biccn.bossdb.org/deliveries/08AB1A82-F779-44D2-BF16-1FD4C39858E7" TargetMode="External"/><Relationship Id="rId237" Type="http://schemas.openxmlformats.org/officeDocument/2006/relationships/hyperlink" Target="https://biccn.bossdb.org/deliveries/08AB1A82-F779-44D2-BF16-1FD4C39858E28" TargetMode="External"/><Relationship Id="rId22" Type="http://schemas.openxmlformats.org/officeDocument/2006/relationships/hyperlink" Target="https://biccn.bossdb.org/deliveries/9q5a2podd4qsqnje" TargetMode="External"/><Relationship Id="rId43" Type="http://schemas.openxmlformats.org/officeDocument/2006/relationships/hyperlink" Target="https://biccn.bossdb.org/deliveries/9q5a2podd4qsqnje" TargetMode="External"/><Relationship Id="rId64" Type="http://schemas.openxmlformats.org/officeDocument/2006/relationships/hyperlink" Target="https://biccn.bossdb.org/deliveries/9q5a2podd4qsqnje" TargetMode="External"/><Relationship Id="rId118" Type="http://schemas.openxmlformats.org/officeDocument/2006/relationships/hyperlink" Target="https://biccn.bossdb.org/deliveries/6F16B668-3268-4F17-BC83-7C1FEE5147D47" TargetMode="External"/><Relationship Id="rId139" Type="http://schemas.openxmlformats.org/officeDocument/2006/relationships/hyperlink" Target="https://biccn.bossdb.org/deliveries/6F16B668-3268-4F17-BC83-7C1FEE5147D68" TargetMode="External"/><Relationship Id="rId85" Type="http://schemas.openxmlformats.org/officeDocument/2006/relationships/hyperlink" Target="https://biccn.bossdb.org/deliveries/6F16B668-3268-4F17-BC83-7C1FEE5147D14" TargetMode="External"/><Relationship Id="rId150" Type="http://schemas.openxmlformats.org/officeDocument/2006/relationships/hyperlink" Target="https://biccn.bossdb.org/deliveries/6F16B668-3268-4F17-BC83-7C1FEE5147D79" TargetMode="External"/><Relationship Id="rId171" Type="http://schemas.openxmlformats.org/officeDocument/2006/relationships/hyperlink" Target="https://biccn.bossdb.org/deliveries/6F16B668-3268-4F17-BC83-7C1FEE5147D100" TargetMode="External"/><Relationship Id="rId192" Type="http://schemas.openxmlformats.org/officeDocument/2006/relationships/hyperlink" Target="https://biccn.bossdb.org/deliveries/6F16B668-3268-4F17-BC83-7C1FEE5147D121" TargetMode="External"/><Relationship Id="rId206" Type="http://schemas.openxmlformats.org/officeDocument/2006/relationships/hyperlink" Target="https://biccn.bossdb.org/deliveries/6F16B668-3268-4F17-BC83-7C1FEE5147D135" TargetMode="External"/><Relationship Id="rId227" Type="http://schemas.openxmlformats.org/officeDocument/2006/relationships/hyperlink" Target="https://biccn.bossdb.org/deliveries/08AB1A82-F779-44D2-BF16-1FD4C39858E18" TargetMode="External"/><Relationship Id="rId248" Type="http://schemas.openxmlformats.org/officeDocument/2006/relationships/hyperlink" Target="https://biccn.bossdb.org/deliveries/08AB1A82-F779-44D2-BF16-1FD4C39858E39" TargetMode="External"/><Relationship Id="rId12" Type="http://schemas.openxmlformats.org/officeDocument/2006/relationships/hyperlink" Target="https://biccn.bossdb.org/deliveries/9q5a2podd4qsqnje" TargetMode="External"/><Relationship Id="rId33" Type="http://schemas.openxmlformats.org/officeDocument/2006/relationships/hyperlink" Target="https://biccn.bossdb.org/deliveries/9q5a2podd4qsqnje" TargetMode="External"/><Relationship Id="rId108" Type="http://schemas.openxmlformats.org/officeDocument/2006/relationships/hyperlink" Target="https://biccn.bossdb.org/deliveries/6F16B668-3268-4F17-BC83-7C1FEE5147D37" TargetMode="External"/><Relationship Id="rId129" Type="http://schemas.openxmlformats.org/officeDocument/2006/relationships/hyperlink" Target="https://biccn.bossdb.org/deliveries/6F16B668-3268-4F17-BC83-7C1FEE5147D58" TargetMode="External"/><Relationship Id="rId54" Type="http://schemas.openxmlformats.org/officeDocument/2006/relationships/hyperlink" Target="https://biccn.bossdb.org/deliveries/9q5a2podd4qsqnje" TargetMode="External"/><Relationship Id="rId75" Type="http://schemas.openxmlformats.org/officeDocument/2006/relationships/hyperlink" Target="https://biccn.bossdb.org/deliveries/9q5a2podd4qsqnje" TargetMode="External"/><Relationship Id="rId96" Type="http://schemas.openxmlformats.org/officeDocument/2006/relationships/hyperlink" Target="https://biccn.bossdb.org/deliveries/6F16B668-3268-4F17-BC83-7C1FEE5147D25" TargetMode="External"/><Relationship Id="rId140" Type="http://schemas.openxmlformats.org/officeDocument/2006/relationships/hyperlink" Target="https://biccn.bossdb.org/deliveries/6F16B668-3268-4F17-BC83-7C1FEE5147D69" TargetMode="External"/><Relationship Id="rId161" Type="http://schemas.openxmlformats.org/officeDocument/2006/relationships/hyperlink" Target="https://biccn.bossdb.org/deliveries/6F16B668-3268-4F17-BC83-7C1FEE5147D90" TargetMode="External"/><Relationship Id="rId182" Type="http://schemas.openxmlformats.org/officeDocument/2006/relationships/hyperlink" Target="https://biccn.bossdb.org/deliveries/6F16B668-3268-4F17-BC83-7C1FEE5147D111" TargetMode="External"/><Relationship Id="rId217" Type="http://schemas.openxmlformats.org/officeDocument/2006/relationships/hyperlink" Target="https://biccn.bossdb.org/deliveries/08AB1A82-F779-44D2-BF16-1FD4C39858E8" TargetMode="External"/><Relationship Id="rId6" Type="http://schemas.openxmlformats.org/officeDocument/2006/relationships/hyperlink" Target="https://biccn.bossdb.org/deliveries/z8d0vi3nfkyj4q4i" TargetMode="External"/><Relationship Id="rId238" Type="http://schemas.openxmlformats.org/officeDocument/2006/relationships/hyperlink" Target="https://biccn.bossdb.org/deliveries/08AB1A82-F779-44D2-BF16-1FD4C39858E29" TargetMode="External"/><Relationship Id="rId23" Type="http://schemas.openxmlformats.org/officeDocument/2006/relationships/hyperlink" Target="https://biccn.bossdb.org/deliveries/9q5a2podd4qsqnje" TargetMode="External"/><Relationship Id="rId119" Type="http://schemas.openxmlformats.org/officeDocument/2006/relationships/hyperlink" Target="https://biccn.bossdb.org/deliveries/6F16B668-3268-4F17-BC83-7C1FEE5147D48" TargetMode="External"/><Relationship Id="rId44" Type="http://schemas.openxmlformats.org/officeDocument/2006/relationships/hyperlink" Target="https://biccn.bossdb.org/deliveries/9q5a2podd4qsqnje" TargetMode="External"/><Relationship Id="rId65" Type="http://schemas.openxmlformats.org/officeDocument/2006/relationships/hyperlink" Target="https://biccn.bossdb.org/deliveries/9q5a2podd4qsqnje" TargetMode="External"/><Relationship Id="rId86" Type="http://schemas.openxmlformats.org/officeDocument/2006/relationships/hyperlink" Target="https://biccn.bossdb.org/deliveries/6F16B668-3268-4F17-BC83-7C1FEE5147D15" TargetMode="External"/><Relationship Id="rId130" Type="http://schemas.openxmlformats.org/officeDocument/2006/relationships/hyperlink" Target="https://biccn.bossdb.org/deliveries/6F16B668-3268-4F17-BC83-7C1FEE5147D59" TargetMode="External"/><Relationship Id="rId151" Type="http://schemas.openxmlformats.org/officeDocument/2006/relationships/hyperlink" Target="https://biccn.bossdb.org/deliveries/6F16B668-3268-4F17-BC83-7C1FEE5147D80" TargetMode="External"/><Relationship Id="rId172" Type="http://schemas.openxmlformats.org/officeDocument/2006/relationships/hyperlink" Target="https://biccn.bossdb.org/deliveries/6F16B668-3268-4F17-BC83-7C1FEE5147D101" TargetMode="External"/><Relationship Id="rId193" Type="http://schemas.openxmlformats.org/officeDocument/2006/relationships/hyperlink" Target="https://biccn.bossdb.org/deliveries/6F16B668-3268-4F17-BC83-7C1FEE5147D122" TargetMode="External"/><Relationship Id="rId207" Type="http://schemas.openxmlformats.org/officeDocument/2006/relationships/hyperlink" Target="https://biccn.bossdb.org/deliveries/6F16B668-3268-4F17-BC83-7C1FEE5147D136" TargetMode="External"/><Relationship Id="rId228" Type="http://schemas.openxmlformats.org/officeDocument/2006/relationships/hyperlink" Target="https://biccn.bossdb.org/deliveries/08AB1A82-F779-44D2-BF16-1FD4C39858E19" TargetMode="External"/><Relationship Id="rId249" Type="http://schemas.openxmlformats.org/officeDocument/2006/relationships/hyperlink" Target="https://biccn.bossdb.org/deliveries/08AB1A82-F779-44D2-BF16-1FD4C39858E40" TargetMode="External"/><Relationship Id="rId13" Type="http://schemas.openxmlformats.org/officeDocument/2006/relationships/hyperlink" Target="https://biccn.bossdb.org/deliveries/9q5a2podd4qsqnje" TargetMode="External"/><Relationship Id="rId109" Type="http://schemas.openxmlformats.org/officeDocument/2006/relationships/hyperlink" Target="https://biccn.bossdb.org/deliveries/6F16B668-3268-4F17-BC83-7C1FEE5147D38" TargetMode="External"/><Relationship Id="rId34" Type="http://schemas.openxmlformats.org/officeDocument/2006/relationships/hyperlink" Target="https://biccn.bossdb.org/deliveries/9q5a2podd4qsqnje" TargetMode="External"/><Relationship Id="rId55" Type="http://schemas.openxmlformats.org/officeDocument/2006/relationships/hyperlink" Target="https://biccn.bossdb.org/deliveries/9q5a2podd4qsqnje" TargetMode="External"/><Relationship Id="rId76" Type="http://schemas.openxmlformats.org/officeDocument/2006/relationships/hyperlink" Target="https://biccn.bossdb.org/deliveries/9q5a2podd4qsqnje" TargetMode="External"/><Relationship Id="rId97" Type="http://schemas.openxmlformats.org/officeDocument/2006/relationships/hyperlink" Target="https://biccn.bossdb.org/deliveries/6F16B668-3268-4F17-BC83-7C1FEE5147D26" TargetMode="External"/><Relationship Id="rId120" Type="http://schemas.openxmlformats.org/officeDocument/2006/relationships/hyperlink" Target="https://biccn.bossdb.org/deliveries/6F16B668-3268-4F17-BC83-7C1FEE5147D49" TargetMode="External"/><Relationship Id="rId141" Type="http://schemas.openxmlformats.org/officeDocument/2006/relationships/hyperlink" Target="https://biccn.bossdb.org/deliveries/6F16B668-3268-4F17-BC83-7C1FEE5147D70" TargetMode="External"/><Relationship Id="rId7" Type="http://schemas.openxmlformats.org/officeDocument/2006/relationships/hyperlink" Target="https://biccn.bossdb.org/deliveries/z8d0vi3nfkyj4q4i" TargetMode="External"/><Relationship Id="rId162" Type="http://schemas.openxmlformats.org/officeDocument/2006/relationships/hyperlink" Target="https://biccn.bossdb.org/deliveries/6F16B668-3268-4F17-BC83-7C1FEE5147D91" TargetMode="External"/><Relationship Id="rId183" Type="http://schemas.openxmlformats.org/officeDocument/2006/relationships/hyperlink" Target="https://biccn.bossdb.org/deliveries/6F16B668-3268-4F17-BC83-7C1FEE5147D112" TargetMode="External"/><Relationship Id="rId218" Type="http://schemas.openxmlformats.org/officeDocument/2006/relationships/hyperlink" Target="https://biccn.bossdb.org/deliveries/08AB1A82-F779-44D2-BF16-1FD4C39858E9" TargetMode="External"/><Relationship Id="rId239" Type="http://schemas.openxmlformats.org/officeDocument/2006/relationships/hyperlink" Target="https://biccn.bossdb.org/deliveries/08AB1A82-F779-44D2-BF16-1FD4C39858E30" TargetMode="External"/><Relationship Id="rId250" Type="http://schemas.openxmlformats.org/officeDocument/2006/relationships/hyperlink" Target="https://biccn.bossdb.org/deliveries/08AB1A82-F779-44D2-BF16-1FD4C39858E41" TargetMode="External"/><Relationship Id="rId24" Type="http://schemas.openxmlformats.org/officeDocument/2006/relationships/hyperlink" Target="https://biccn.bossdb.org/deliveries/9q5a2podd4qsqnje" TargetMode="External"/><Relationship Id="rId45" Type="http://schemas.openxmlformats.org/officeDocument/2006/relationships/hyperlink" Target="https://biccn.bossdb.org/deliveries/9q5a2podd4qsqnje" TargetMode="External"/><Relationship Id="rId66" Type="http://schemas.openxmlformats.org/officeDocument/2006/relationships/hyperlink" Target="https://biccn.bossdb.org/deliveries/9q5a2podd4qsqnje" TargetMode="External"/><Relationship Id="rId87" Type="http://schemas.openxmlformats.org/officeDocument/2006/relationships/hyperlink" Target="https://biccn.bossdb.org/deliveries/6F16B668-3268-4F17-BC83-7C1FEE5147D16" TargetMode="External"/><Relationship Id="rId110" Type="http://schemas.openxmlformats.org/officeDocument/2006/relationships/hyperlink" Target="https://biccn.bossdb.org/deliveries/6F16B668-3268-4F17-BC83-7C1FEE5147D39" TargetMode="External"/><Relationship Id="rId131" Type="http://schemas.openxmlformats.org/officeDocument/2006/relationships/hyperlink" Target="https://biccn.bossdb.org/deliveries/6F16B668-3268-4F17-BC83-7C1FEE5147D60" TargetMode="External"/><Relationship Id="rId152" Type="http://schemas.openxmlformats.org/officeDocument/2006/relationships/hyperlink" Target="https://biccn.bossdb.org/deliveries/6F16B668-3268-4F17-BC83-7C1FEE5147D81" TargetMode="External"/><Relationship Id="rId173" Type="http://schemas.openxmlformats.org/officeDocument/2006/relationships/hyperlink" Target="https://biccn.bossdb.org/deliveries/6F16B668-3268-4F17-BC83-7C1FEE5147D102" TargetMode="External"/><Relationship Id="rId194" Type="http://schemas.openxmlformats.org/officeDocument/2006/relationships/hyperlink" Target="https://biccn.bossdb.org/deliveries/6F16B668-3268-4F17-BC83-7C1FEE5147D123" TargetMode="External"/><Relationship Id="rId208" Type="http://schemas.openxmlformats.org/officeDocument/2006/relationships/hyperlink" Target="https://biccn.bossdb.org/deliveries/6F16B668-3268-4F17-BC83-7C1FEE5147D137" TargetMode="External"/><Relationship Id="rId229" Type="http://schemas.openxmlformats.org/officeDocument/2006/relationships/hyperlink" Target="https://biccn.bossdb.org/deliveries/08AB1A82-F779-44D2-BF16-1FD4C39858E20" TargetMode="External"/><Relationship Id="rId240" Type="http://schemas.openxmlformats.org/officeDocument/2006/relationships/hyperlink" Target="https://biccn.bossdb.org/deliveries/08AB1A82-F779-44D2-BF16-1FD4C39858E31" TargetMode="External"/><Relationship Id="rId14" Type="http://schemas.openxmlformats.org/officeDocument/2006/relationships/hyperlink" Target="https://biccn.bossdb.org/deliveries/9q5a2podd4qsqnje" TargetMode="External"/><Relationship Id="rId35" Type="http://schemas.openxmlformats.org/officeDocument/2006/relationships/hyperlink" Target="https://biccn.bossdb.org/deliveries/9q5a2podd4qsqnje" TargetMode="External"/><Relationship Id="rId56" Type="http://schemas.openxmlformats.org/officeDocument/2006/relationships/hyperlink" Target="https://biccn.bossdb.org/deliveries/9q5a2podd4qsqnje" TargetMode="External"/><Relationship Id="rId77" Type="http://schemas.openxmlformats.org/officeDocument/2006/relationships/hyperlink" Target="https://biccn.bossdb.org/deliveries/6F16B668-3268-4F17-BC83-7C1FEE5147D6" TargetMode="External"/><Relationship Id="rId100" Type="http://schemas.openxmlformats.org/officeDocument/2006/relationships/hyperlink" Target="https://biccn.bossdb.org/deliveries/6F16B668-3268-4F17-BC83-7C1FEE5147D29" TargetMode="External"/><Relationship Id="rId8" Type="http://schemas.openxmlformats.org/officeDocument/2006/relationships/hyperlink" Target="https://biccn.bossdb.org/deliveries/9q5a2podd4qsqnje" TargetMode="External"/><Relationship Id="rId98" Type="http://schemas.openxmlformats.org/officeDocument/2006/relationships/hyperlink" Target="https://biccn.bossdb.org/deliveries/6F16B668-3268-4F17-BC83-7C1FEE5147D27" TargetMode="External"/><Relationship Id="rId121" Type="http://schemas.openxmlformats.org/officeDocument/2006/relationships/hyperlink" Target="https://biccn.bossdb.org/deliveries/6F16B668-3268-4F17-BC83-7C1FEE5147D50" TargetMode="External"/><Relationship Id="rId142" Type="http://schemas.openxmlformats.org/officeDocument/2006/relationships/hyperlink" Target="https://biccn.bossdb.org/deliveries/6F16B668-3268-4F17-BC83-7C1FEE5147D71" TargetMode="External"/><Relationship Id="rId163" Type="http://schemas.openxmlformats.org/officeDocument/2006/relationships/hyperlink" Target="https://biccn.bossdb.org/deliveries/6F16B668-3268-4F17-BC83-7C1FEE5147D92" TargetMode="External"/><Relationship Id="rId184" Type="http://schemas.openxmlformats.org/officeDocument/2006/relationships/hyperlink" Target="https://biccn.bossdb.org/deliveries/6F16B668-3268-4F17-BC83-7C1FEE5147D113" TargetMode="External"/><Relationship Id="rId219" Type="http://schemas.openxmlformats.org/officeDocument/2006/relationships/hyperlink" Target="https://biccn.bossdb.org/deliveries/08AB1A82-F779-44D2-BF16-1FD4C39858E10" TargetMode="External"/><Relationship Id="rId230" Type="http://schemas.openxmlformats.org/officeDocument/2006/relationships/hyperlink" Target="https://biccn.bossdb.org/deliveries/08AB1A82-F779-44D2-BF16-1FD4C39858E21" TargetMode="External"/><Relationship Id="rId251" Type="http://schemas.openxmlformats.org/officeDocument/2006/relationships/hyperlink" Target="https://biccn.bossdb.org/deliveries/08AB1A82-F779-44D2-BF16-1FD4C39858E42" TargetMode="External"/><Relationship Id="rId25" Type="http://schemas.openxmlformats.org/officeDocument/2006/relationships/hyperlink" Target="https://biccn.bossdb.org/deliveries/9q5a2podd4qsqnje" TargetMode="External"/><Relationship Id="rId46" Type="http://schemas.openxmlformats.org/officeDocument/2006/relationships/hyperlink" Target="https://biccn.bossdb.org/deliveries/9q5a2podd4qsqnje" TargetMode="External"/><Relationship Id="rId67" Type="http://schemas.openxmlformats.org/officeDocument/2006/relationships/hyperlink" Target="https://biccn.bossdb.org/deliveries/9q5a2podd4qsqnje" TargetMode="External"/><Relationship Id="rId88" Type="http://schemas.openxmlformats.org/officeDocument/2006/relationships/hyperlink" Target="https://biccn.bossdb.org/deliveries/6F16B668-3268-4F17-BC83-7C1FEE5147D17" TargetMode="External"/><Relationship Id="rId111" Type="http://schemas.openxmlformats.org/officeDocument/2006/relationships/hyperlink" Target="https://biccn.bossdb.org/deliveries/6F16B668-3268-4F17-BC83-7C1FEE5147D40" TargetMode="External"/><Relationship Id="rId132" Type="http://schemas.openxmlformats.org/officeDocument/2006/relationships/hyperlink" Target="https://biccn.bossdb.org/deliveries/6F16B668-3268-4F17-BC83-7C1FEE5147D61" TargetMode="External"/><Relationship Id="rId153" Type="http://schemas.openxmlformats.org/officeDocument/2006/relationships/hyperlink" Target="https://biccn.bossdb.org/deliveries/6F16B668-3268-4F17-BC83-7C1FEE5147D82" TargetMode="External"/><Relationship Id="rId174" Type="http://schemas.openxmlformats.org/officeDocument/2006/relationships/hyperlink" Target="https://biccn.bossdb.org/deliveries/6F16B668-3268-4F17-BC83-7C1FEE5147D103" TargetMode="External"/><Relationship Id="rId195" Type="http://schemas.openxmlformats.org/officeDocument/2006/relationships/hyperlink" Target="https://biccn.bossdb.org/deliveries/6F16B668-3268-4F17-BC83-7C1FEE5147D124" TargetMode="External"/><Relationship Id="rId209" Type="http://schemas.openxmlformats.org/officeDocument/2006/relationships/hyperlink" Target="https://biccn.bossdb.org/deliveries/6F16B668-3268-4F17-BC83-7C1FEE5147D138" TargetMode="External"/><Relationship Id="rId220" Type="http://schemas.openxmlformats.org/officeDocument/2006/relationships/hyperlink" Target="https://biccn.bossdb.org/deliveries/08AB1A82-F779-44D2-BF16-1FD4C39858E11" TargetMode="External"/><Relationship Id="rId241" Type="http://schemas.openxmlformats.org/officeDocument/2006/relationships/hyperlink" Target="https://biccn.bossdb.org/deliveries/08AB1A82-F779-44D2-BF16-1FD4C39858E32" TargetMode="External"/><Relationship Id="rId15" Type="http://schemas.openxmlformats.org/officeDocument/2006/relationships/hyperlink" Target="https://biccn.bossdb.org/deliveries/9q5a2podd4qsqnje" TargetMode="External"/><Relationship Id="rId36" Type="http://schemas.openxmlformats.org/officeDocument/2006/relationships/hyperlink" Target="https://biccn.bossdb.org/deliveries/9q5a2podd4qsqnje" TargetMode="External"/><Relationship Id="rId57" Type="http://schemas.openxmlformats.org/officeDocument/2006/relationships/hyperlink" Target="https://biccn.bossdb.org/deliveries/9q5a2podd4qsqnje" TargetMode="External"/><Relationship Id="rId78" Type="http://schemas.openxmlformats.org/officeDocument/2006/relationships/hyperlink" Target="https://biccn.bossdb.org/deliveries/6F16B668-3268-4F17-BC83-7C1FEE5147D7" TargetMode="External"/><Relationship Id="rId99" Type="http://schemas.openxmlformats.org/officeDocument/2006/relationships/hyperlink" Target="https://biccn.bossdb.org/deliveries/6F16B668-3268-4F17-BC83-7C1FEE5147D28" TargetMode="External"/><Relationship Id="rId101" Type="http://schemas.openxmlformats.org/officeDocument/2006/relationships/hyperlink" Target="https://biccn.bossdb.org/deliveries/6F16B668-3268-4F17-BC83-7C1FEE5147D30" TargetMode="External"/><Relationship Id="rId122" Type="http://schemas.openxmlformats.org/officeDocument/2006/relationships/hyperlink" Target="https://biccn.bossdb.org/deliveries/6F16B668-3268-4F17-BC83-7C1FEE5147D51" TargetMode="External"/><Relationship Id="rId143" Type="http://schemas.openxmlformats.org/officeDocument/2006/relationships/hyperlink" Target="https://biccn.bossdb.org/deliveries/6F16B668-3268-4F17-BC83-7C1FEE5147D72" TargetMode="External"/><Relationship Id="rId164" Type="http://schemas.openxmlformats.org/officeDocument/2006/relationships/hyperlink" Target="https://biccn.bossdb.org/deliveries/6F16B668-3268-4F17-BC83-7C1FEE5147D93" TargetMode="External"/><Relationship Id="rId185" Type="http://schemas.openxmlformats.org/officeDocument/2006/relationships/hyperlink" Target="https://biccn.bossdb.org/deliveries/6F16B668-3268-4F17-BC83-7C1FEE5147D114" TargetMode="External"/><Relationship Id="rId9" Type="http://schemas.openxmlformats.org/officeDocument/2006/relationships/hyperlink" Target="https://biccn.bossdb.org/deliveries/9q5a2podd4qsqnje" TargetMode="External"/><Relationship Id="rId210" Type="http://schemas.openxmlformats.org/officeDocument/2006/relationships/hyperlink" Target="https://biccn.bossdb.org/deliveries/6F16B668-3268-4F17-BC83-7C1FEE5147D139" TargetMode="External"/><Relationship Id="rId26" Type="http://schemas.openxmlformats.org/officeDocument/2006/relationships/hyperlink" Target="https://biccn.bossdb.org/deliveries/9q5a2podd4qsqnje" TargetMode="External"/><Relationship Id="rId231" Type="http://schemas.openxmlformats.org/officeDocument/2006/relationships/hyperlink" Target="https://biccn.bossdb.org/deliveries/08AB1A82-F779-44D2-BF16-1FD4C39858E22" TargetMode="External"/><Relationship Id="rId252" Type="http://schemas.openxmlformats.org/officeDocument/2006/relationships/hyperlink" Target="https://biccn.bossdb.org/deliveries/08AB1A82-F779-44D2-BF16-1FD4C39858E43" TargetMode="External"/><Relationship Id="rId47" Type="http://schemas.openxmlformats.org/officeDocument/2006/relationships/hyperlink" Target="https://biccn.bossdb.org/deliveries/9q5a2podd4qsqnje" TargetMode="External"/><Relationship Id="rId68" Type="http://schemas.openxmlformats.org/officeDocument/2006/relationships/hyperlink" Target="https://biccn.bossdb.org/deliveries/9q5a2podd4qsqnje" TargetMode="External"/><Relationship Id="rId89" Type="http://schemas.openxmlformats.org/officeDocument/2006/relationships/hyperlink" Target="https://biccn.bossdb.org/deliveries/6F16B668-3268-4F17-BC83-7C1FEE5147D18" TargetMode="External"/><Relationship Id="rId112" Type="http://schemas.openxmlformats.org/officeDocument/2006/relationships/hyperlink" Target="https://biccn.bossdb.org/deliveries/6F16B668-3268-4F17-BC83-7C1FEE5147D41" TargetMode="External"/><Relationship Id="rId133" Type="http://schemas.openxmlformats.org/officeDocument/2006/relationships/hyperlink" Target="https://biccn.bossdb.org/deliveries/6F16B668-3268-4F17-BC83-7C1FEE5147D62" TargetMode="External"/><Relationship Id="rId154" Type="http://schemas.openxmlformats.org/officeDocument/2006/relationships/hyperlink" Target="https://biccn.bossdb.org/deliveries/6F16B668-3268-4F17-BC83-7C1FEE5147D83" TargetMode="External"/><Relationship Id="rId175" Type="http://schemas.openxmlformats.org/officeDocument/2006/relationships/hyperlink" Target="https://biccn.bossdb.org/deliveries/6F16B668-3268-4F17-BC83-7C1FEE5147D104" TargetMode="External"/><Relationship Id="rId196" Type="http://schemas.openxmlformats.org/officeDocument/2006/relationships/hyperlink" Target="https://biccn.bossdb.org/deliveries/6F16B668-3268-4F17-BC83-7C1FEE5147D125" TargetMode="External"/><Relationship Id="rId200" Type="http://schemas.openxmlformats.org/officeDocument/2006/relationships/hyperlink" Target="https://biccn.bossdb.org/deliveries/6F16B668-3268-4F17-BC83-7C1FEE5147D129" TargetMode="External"/><Relationship Id="rId16" Type="http://schemas.openxmlformats.org/officeDocument/2006/relationships/hyperlink" Target="https://biccn.bossdb.org/deliveries/9q5a2podd4qsqnje" TargetMode="External"/><Relationship Id="rId221" Type="http://schemas.openxmlformats.org/officeDocument/2006/relationships/hyperlink" Target="https://biccn.bossdb.org/deliveries/08AB1A82-F779-44D2-BF16-1FD4C39858E12" TargetMode="External"/><Relationship Id="rId242" Type="http://schemas.openxmlformats.org/officeDocument/2006/relationships/hyperlink" Target="https://biccn.bossdb.org/deliveries/08AB1A82-F779-44D2-BF16-1FD4C39858E33" TargetMode="External"/><Relationship Id="rId37" Type="http://schemas.openxmlformats.org/officeDocument/2006/relationships/hyperlink" Target="https://biccn.bossdb.org/deliveries/9q5a2podd4qsqnje" TargetMode="External"/><Relationship Id="rId58" Type="http://schemas.openxmlformats.org/officeDocument/2006/relationships/hyperlink" Target="https://biccn.bossdb.org/deliveries/9q5a2podd4qsqnje" TargetMode="External"/><Relationship Id="rId79" Type="http://schemas.openxmlformats.org/officeDocument/2006/relationships/hyperlink" Target="https://biccn.bossdb.org/deliveries/6F16B668-3268-4F17-BC83-7C1FEE5147D8" TargetMode="External"/><Relationship Id="rId102" Type="http://schemas.openxmlformats.org/officeDocument/2006/relationships/hyperlink" Target="https://biccn.bossdb.org/deliveries/6F16B668-3268-4F17-BC83-7C1FEE5147D31" TargetMode="External"/><Relationship Id="rId123" Type="http://schemas.openxmlformats.org/officeDocument/2006/relationships/hyperlink" Target="https://biccn.bossdb.org/deliveries/6F16B668-3268-4F17-BC83-7C1FEE5147D52" TargetMode="External"/><Relationship Id="rId144" Type="http://schemas.openxmlformats.org/officeDocument/2006/relationships/hyperlink" Target="https://biccn.bossdb.org/deliveries/6F16B668-3268-4F17-BC83-7C1FEE5147D73" TargetMode="External"/><Relationship Id="rId90" Type="http://schemas.openxmlformats.org/officeDocument/2006/relationships/hyperlink" Target="https://biccn.bossdb.org/deliveries/6F16B668-3268-4F17-BC83-7C1FEE5147D19" TargetMode="External"/><Relationship Id="rId165" Type="http://schemas.openxmlformats.org/officeDocument/2006/relationships/hyperlink" Target="https://biccn.bossdb.org/deliveries/6F16B668-3268-4F17-BC83-7C1FEE5147D94" TargetMode="External"/><Relationship Id="rId186" Type="http://schemas.openxmlformats.org/officeDocument/2006/relationships/hyperlink" Target="https://biccn.bossdb.org/deliveries/6F16B668-3268-4F17-BC83-7C1FEE5147D115" TargetMode="External"/><Relationship Id="rId211" Type="http://schemas.openxmlformats.org/officeDocument/2006/relationships/hyperlink" Target="https://biccn.bossdb.org/deliveries/08AB1A82-F779-44D2-BF16-1FD4C39858E2" TargetMode="External"/><Relationship Id="rId232" Type="http://schemas.openxmlformats.org/officeDocument/2006/relationships/hyperlink" Target="https://biccn.bossdb.org/deliveries/08AB1A82-F779-44D2-BF16-1FD4C39858E23" TargetMode="External"/><Relationship Id="rId253" Type="http://schemas.openxmlformats.org/officeDocument/2006/relationships/hyperlink" Target="https://biccn.bossdb.org/deliveries/08AB1A82-F779-44D2-BF16-1FD4C39858E44" TargetMode="External"/><Relationship Id="rId27" Type="http://schemas.openxmlformats.org/officeDocument/2006/relationships/hyperlink" Target="https://biccn.bossdb.org/deliveries/9q5a2podd4qsqnje" TargetMode="External"/><Relationship Id="rId48" Type="http://schemas.openxmlformats.org/officeDocument/2006/relationships/hyperlink" Target="https://biccn.bossdb.org/deliveries/9q5a2podd4qsqnje" TargetMode="External"/><Relationship Id="rId69" Type="http://schemas.openxmlformats.org/officeDocument/2006/relationships/hyperlink" Target="https://biccn.bossdb.org/deliveries/9q5a2podd4qsqnje" TargetMode="External"/><Relationship Id="rId113" Type="http://schemas.openxmlformats.org/officeDocument/2006/relationships/hyperlink" Target="https://biccn.bossdb.org/deliveries/6F16B668-3268-4F17-BC83-7C1FEE5147D42" TargetMode="External"/><Relationship Id="rId134" Type="http://schemas.openxmlformats.org/officeDocument/2006/relationships/hyperlink" Target="https://biccn.bossdb.org/deliveries/6F16B668-3268-4F17-BC83-7C1FEE5147D63" TargetMode="External"/><Relationship Id="rId80" Type="http://schemas.openxmlformats.org/officeDocument/2006/relationships/hyperlink" Target="https://biccn.bossdb.org/deliveries/6F16B668-3268-4F17-BC83-7C1FEE5147D9" TargetMode="External"/><Relationship Id="rId155" Type="http://schemas.openxmlformats.org/officeDocument/2006/relationships/hyperlink" Target="https://biccn.bossdb.org/deliveries/6F16B668-3268-4F17-BC83-7C1FEE5147D84" TargetMode="External"/><Relationship Id="rId176" Type="http://schemas.openxmlformats.org/officeDocument/2006/relationships/hyperlink" Target="https://biccn.bossdb.org/deliveries/6F16B668-3268-4F17-BC83-7C1FEE5147D105" TargetMode="External"/><Relationship Id="rId197" Type="http://schemas.openxmlformats.org/officeDocument/2006/relationships/hyperlink" Target="https://biccn.bossdb.org/deliveries/6F16B668-3268-4F17-BC83-7C1FEE5147D126" TargetMode="External"/><Relationship Id="rId201" Type="http://schemas.openxmlformats.org/officeDocument/2006/relationships/hyperlink" Target="https://biccn.bossdb.org/deliveries/6F16B668-3268-4F17-BC83-7C1FEE5147D130" TargetMode="External"/><Relationship Id="rId222" Type="http://schemas.openxmlformats.org/officeDocument/2006/relationships/hyperlink" Target="https://biccn.bossdb.org/deliveries/08AB1A82-F779-44D2-BF16-1FD4C39858E13" TargetMode="External"/><Relationship Id="rId243" Type="http://schemas.openxmlformats.org/officeDocument/2006/relationships/hyperlink" Target="https://biccn.bossdb.org/deliveries/08AB1A82-F779-44D2-BF16-1FD4C39858E34" TargetMode="External"/><Relationship Id="rId17" Type="http://schemas.openxmlformats.org/officeDocument/2006/relationships/hyperlink" Target="https://biccn.bossdb.org/deliveries/9q5a2podd4qsqnje" TargetMode="External"/><Relationship Id="rId38" Type="http://schemas.openxmlformats.org/officeDocument/2006/relationships/hyperlink" Target="https://biccn.bossdb.org/deliveries/9q5a2podd4qsqnje" TargetMode="External"/><Relationship Id="rId59" Type="http://schemas.openxmlformats.org/officeDocument/2006/relationships/hyperlink" Target="https://biccn.bossdb.org/deliveries/9q5a2podd4qsqnje" TargetMode="External"/><Relationship Id="rId103" Type="http://schemas.openxmlformats.org/officeDocument/2006/relationships/hyperlink" Target="https://biccn.bossdb.org/deliveries/6F16B668-3268-4F17-BC83-7C1FEE5147D32" TargetMode="External"/><Relationship Id="rId124" Type="http://schemas.openxmlformats.org/officeDocument/2006/relationships/hyperlink" Target="https://biccn.bossdb.org/deliveries/6F16B668-3268-4F17-BC83-7C1FEE5147D53" TargetMode="External"/><Relationship Id="rId70" Type="http://schemas.openxmlformats.org/officeDocument/2006/relationships/hyperlink" Target="https://biccn.bossdb.org/deliveries/9q5a2podd4qsqnje" TargetMode="External"/><Relationship Id="rId91" Type="http://schemas.openxmlformats.org/officeDocument/2006/relationships/hyperlink" Target="https://biccn.bossdb.org/deliveries/6F16B668-3268-4F17-BC83-7C1FEE5147D20" TargetMode="External"/><Relationship Id="rId145" Type="http://schemas.openxmlformats.org/officeDocument/2006/relationships/hyperlink" Target="https://biccn.bossdb.org/deliveries/6F16B668-3268-4F17-BC83-7C1FEE5147D74" TargetMode="External"/><Relationship Id="rId166" Type="http://schemas.openxmlformats.org/officeDocument/2006/relationships/hyperlink" Target="https://biccn.bossdb.org/deliveries/6F16B668-3268-4F17-BC83-7C1FEE5147D95" TargetMode="External"/><Relationship Id="rId187" Type="http://schemas.openxmlformats.org/officeDocument/2006/relationships/hyperlink" Target="https://biccn.bossdb.org/deliveries/6F16B668-3268-4F17-BC83-7C1FEE5147D116" TargetMode="External"/><Relationship Id="rId1" Type="http://schemas.openxmlformats.org/officeDocument/2006/relationships/hyperlink" Target="https://biccn.bossdb.org/deliveries/z8d0vi3nfkyj4q4i" TargetMode="External"/><Relationship Id="rId212" Type="http://schemas.openxmlformats.org/officeDocument/2006/relationships/hyperlink" Target="https://biccn.bossdb.org/deliveries/08AB1A82-F779-44D2-BF16-1FD4C39858E3" TargetMode="External"/><Relationship Id="rId233" Type="http://schemas.openxmlformats.org/officeDocument/2006/relationships/hyperlink" Target="https://biccn.bossdb.org/deliveries/08AB1A82-F779-44D2-BF16-1FD4C39858E24" TargetMode="External"/><Relationship Id="rId254" Type="http://schemas.openxmlformats.org/officeDocument/2006/relationships/hyperlink" Target="https://biccn.bossdb.org/deliveries/08AB1A82-F779-44D2-BF16-1FD4C39858E45" TargetMode="External"/><Relationship Id="rId28" Type="http://schemas.openxmlformats.org/officeDocument/2006/relationships/hyperlink" Target="https://biccn.bossdb.org/deliveries/9q5a2podd4qsqnje" TargetMode="External"/><Relationship Id="rId49" Type="http://schemas.openxmlformats.org/officeDocument/2006/relationships/hyperlink" Target="https://biccn.bossdb.org/deliveries/9q5a2podd4qsqnje" TargetMode="External"/><Relationship Id="rId114" Type="http://schemas.openxmlformats.org/officeDocument/2006/relationships/hyperlink" Target="https://biccn.bossdb.org/deliveries/6F16B668-3268-4F17-BC83-7C1FEE5147D43" TargetMode="External"/><Relationship Id="rId60" Type="http://schemas.openxmlformats.org/officeDocument/2006/relationships/hyperlink" Target="https://biccn.bossdb.org/deliveries/9q5a2podd4qsqnje" TargetMode="External"/><Relationship Id="rId81" Type="http://schemas.openxmlformats.org/officeDocument/2006/relationships/hyperlink" Target="https://biccn.bossdb.org/deliveries/6F16B668-3268-4F17-BC83-7C1FEE5147D10" TargetMode="External"/><Relationship Id="rId135" Type="http://schemas.openxmlformats.org/officeDocument/2006/relationships/hyperlink" Target="https://biccn.bossdb.org/deliveries/6F16B668-3268-4F17-BC83-7C1FEE5147D64" TargetMode="External"/><Relationship Id="rId156" Type="http://schemas.openxmlformats.org/officeDocument/2006/relationships/hyperlink" Target="https://biccn.bossdb.org/deliveries/6F16B668-3268-4F17-BC83-7C1FEE5147D85" TargetMode="External"/><Relationship Id="rId177" Type="http://schemas.openxmlformats.org/officeDocument/2006/relationships/hyperlink" Target="https://biccn.bossdb.org/deliveries/6F16B668-3268-4F17-BC83-7C1FEE5147D106" TargetMode="External"/><Relationship Id="rId198" Type="http://schemas.openxmlformats.org/officeDocument/2006/relationships/hyperlink" Target="https://biccn.bossdb.org/deliveries/6F16B668-3268-4F17-BC83-7C1FEE5147D127" TargetMode="External"/><Relationship Id="rId202" Type="http://schemas.openxmlformats.org/officeDocument/2006/relationships/hyperlink" Target="https://biccn.bossdb.org/deliveries/6F16B668-3268-4F17-BC83-7C1FEE5147D131" TargetMode="External"/><Relationship Id="rId223" Type="http://schemas.openxmlformats.org/officeDocument/2006/relationships/hyperlink" Target="https://biccn.bossdb.org/deliveries/08AB1A82-F779-44D2-BF16-1FD4C39858E14" TargetMode="External"/><Relationship Id="rId244" Type="http://schemas.openxmlformats.org/officeDocument/2006/relationships/hyperlink" Target="https://biccn.bossdb.org/deliveries/08AB1A82-F779-44D2-BF16-1FD4C39858E35" TargetMode="External"/><Relationship Id="rId18" Type="http://schemas.openxmlformats.org/officeDocument/2006/relationships/hyperlink" Target="https://biccn.bossdb.org/deliveries/9q5a2podd4qsqnje" TargetMode="External"/><Relationship Id="rId39" Type="http://schemas.openxmlformats.org/officeDocument/2006/relationships/hyperlink" Target="https://biccn.bossdb.org/deliveries/9q5a2podd4qsqnje" TargetMode="External"/><Relationship Id="rId50" Type="http://schemas.openxmlformats.org/officeDocument/2006/relationships/hyperlink" Target="https://biccn.bossdb.org/deliveries/9q5a2podd4qsqnje" TargetMode="External"/><Relationship Id="rId104" Type="http://schemas.openxmlformats.org/officeDocument/2006/relationships/hyperlink" Target="https://biccn.bossdb.org/deliveries/6F16B668-3268-4F17-BC83-7C1FEE5147D33" TargetMode="External"/><Relationship Id="rId125" Type="http://schemas.openxmlformats.org/officeDocument/2006/relationships/hyperlink" Target="https://biccn.bossdb.org/deliveries/6F16B668-3268-4F17-BC83-7C1FEE5147D54" TargetMode="External"/><Relationship Id="rId146" Type="http://schemas.openxmlformats.org/officeDocument/2006/relationships/hyperlink" Target="https://biccn.bossdb.org/deliveries/6F16B668-3268-4F17-BC83-7C1FEE5147D75" TargetMode="External"/><Relationship Id="rId167" Type="http://schemas.openxmlformats.org/officeDocument/2006/relationships/hyperlink" Target="https://biccn.bossdb.org/deliveries/6F16B668-3268-4F17-BC83-7C1FEE5147D96" TargetMode="External"/><Relationship Id="rId188" Type="http://schemas.openxmlformats.org/officeDocument/2006/relationships/hyperlink" Target="https://biccn.bossdb.org/deliveries/6F16B668-3268-4F17-BC83-7C1FEE5147D117" TargetMode="External"/><Relationship Id="rId71" Type="http://schemas.openxmlformats.org/officeDocument/2006/relationships/hyperlink" Target="https://biccn.bossdb.org/deliveries/9q5a2podd4qsqnje" TargetMode="External"/><Relationship Id="rId92" Type="http://schemas.openxmlformats.org/officeDocument/2006/relationships/hyperlink" Target="https://biccn.bossdb.org/deliveries/6F16B668-3268-4F17-BC83-7C1FEE5147D21" TargetMode="External"/><Relationship Id="rId213" Type="http://schemas.openxmlformats.org/officeDocument/2006/relationships/hyperlink" Target="https://biccn.bossdb.org/deliveries/08AB1A82-F779-44D2-BF16-1FD4C39858E4" TargetMode="External"/><Relationship Id="rId234" Type="http://schemas.openxmlformats.org/officeDocument/2006/relationships/hyperlink" Target="https://biccn.bossdb.org/deliveries/08AB1A82-F779-44D2-BF16-1FD4C39858E25" TargetMode="External"/><Relationship Id="rId2" Type="http://schemas.openxmlformats.org/officeDocument/2006/relationships/hyperlink" Target="https://biccn.bossdb.org/deliveries/z8d0vi3nfkyj4q4i" TargetMode="External"/><Relationship Id="rId29" Type="http://schemas.openxmlformats.org/officeDocument/2006/relationships/hyperlink" Target="https://biccn.bossdb.org/deliveries/9q5a2podd4qsqnje" TargetMode="External"/><Relationship Id="rId255" Type="http://schemas.openxmlformats.org/officeDocument/2006/relationships/hyperlink" Target="https://biccn.bossdb.org/deliveries/08AB1A82-F779-44D2-BF16-1FD4C39858E46" TargetMode="External"/><Relationship Id="rId40" Type="http://schemas.openxmlformats.org/officeDocument/2006/relationships/hyperlink" Target="https://biccn.bossdb.org/deliveries/9q5a2podd4qsqnje" TargetMode="External"/><Relationship Id="rId115" Type="http://schemas.openxmlformats.org/officeDocument/2006/relationships/hyperlink" Target="https://biccn.bossdb.org/deliveries/6F16B668-3268-4F17-BC83-7C1FEE5147D44" TargetMode="External"/><Relationship Id="rId136" Type="http://schemas.openxmlformats.org/officeDocument/2006/relationships/hyperlink" Target="https://biccn.bossdb.org/deliveries/6F16B668-3268-4F17-BC83-7C1FEE5147D65" TargetMode="External"/><Relationship Id="rId157" Type="http://schemas.openxmlformats.org/officeDocument/2006/relationships/hyperlink" Target="https://biccn.bossdb.org/deliveries/6F16B668-3268-4F17-BC83-7C1FEE5147D86" TargetMode="External"/><Relationship Id="rId178" Type="http://schemas.openxmlformats.org/officeDocument/2006/relationships/hyperlink" Target="https://biccn.bossdb.org/deliveries/6F16B668-3268-4F17-BC83-7C1FEE5147D107" TargetMode="External"/><Relationship Id="rId61" Type="http://schemas.openxmlformats.org/officeDocument/2006/relationships/hyperlink" Target="https://biccn.bossdb.org/deliveries/9q5a2podd4qsqnje" TargetMode="External"/><Relationship Id="rId82" Type="http://schemas.openxmlformats.org/officeDocument/2006/relationships/hyperlink" Target="https://biccn.bossdb.org/deliveries/6F16B668-3268-4F17-BC83-7C1FEE5147D11" TargetMode="External"/><Relationship Id="rId199" Type="http://schemas.openxmlformats.org/officeDocument/2006/relationships/hyperlink" Target="https://biccn.bossdb.org/deliveries/6F16B668-3268-4F17-BC83-7C1FEE5147D128" TargetMode="External"/><Relationship Id="rId203" Type="http://schemas.openxmlformats.org/officeDocument/2006/relationships/hyperlink" Target="https://biccn.bossdb.org/deliveries/6F16B668-3268-4F17-BC83-7C1FEE5147D132" TargetMode="External"/><Relationship Id="rId19" Type="http://schemas.openxmlformats.org/officeDocument/2006/relationships/hyperlink" Target="https://biccn.bossdb.org/deliveries/9q5a2podd4qsqnje" TargetMode="External"/><Relationship Id="rId224" Type="http://schemas.openxmlformats.org/officeDocument/2006/relationships/hyperlink" Target="https://biccn.bossdb.org/deliveries/08AB1A82-F779-44D2-BF16-1FD4C39858E15" TargetMode="External"/><Relationship Id="rId245" Type="http://schemas.openxmlformats.org/officeDocument/2006/relationships/hyperlink" Target="https://biccn.bossdb.org/deliveries/08AB1A82-F779-44D2-BF16-1FD4C39858E36" TargetMode="External"/><Relationship Id="rId30" Type="http://schemas.openxmlformats.org/officeDocument/2006/relationships/hyperlink" Target="https://biccn.bossdb.org/deliveries/9q5a2podd4qsqnje" TargetMode="External"/><Relationship Id="rId105" Type="http://schemas.openxmlformats.org/officeDocument/2006/relationships/hyperlink" Target="https://biccn.bossdb.org/deliveries/6F16B668-3268-4F17-BC83-7C1FEE5147D34" TargetMode="External"/><Relationship Id="rId126" Type="http://schemas.openxmlformats.org/officeDocument/2006/relationships/hyperlink" Target="https://biccn.bossdb.org/deliveries/6F16B668-3268-4F17-BC83-7C1FEE5147D55" TargetMode="External"/><Relationship Id="rId147" Type="http://schemas.openxmlformats.org/officeDocument/2006/relationships/hyperlink" Target="https://biccn.bossdb.org/deliveries/6F16B668-3268-4F17-BC83-7C1FEE5147D76" TargetMode="External"/><Relationship Id="rId168" Type="http://schemas.openxmlformats.org/officeDocument/2006/relationships/hyperlink" Target="https://biccn.bossdb.org/deliveries/6F16B668-3268-4F17-BC83-7C1FEE5147D97" TargetMode="External"/><Relationship Id="rId51" Type="http://schemas.openxmlformats.org/officeDocument/2006/relationships/hyperlink" Target="https://biccn.bossdb.org/deliveries/9q5a2podd4qsqnje" TargetMode="External"/><Relationship Id="rId72" Type="http://schemas.openxmlformats.org/officeDocument/2006/relationships/hyperlink" Target="https://biccn.bossdb.org/deliveries/9q5a2podd4qsqnje" TargetMode="External"/><Relationship Id="rId93" Type="http://schemas.openxmlformats.org/officeDocument/2006/relationships/hyperlink" Target="https://biccn.bossdb.org/deliveries/6F16B668-3268-4F17-BC83-7C1FEE5147D22" TargetMode="External"/><Relationship Id="rId189" Type="http://schemas.openxmlformats.org/officeDocument/2006/relationships/hyperlink" Target="https://biccn.bossdb.org/deliveries/6F16B668-3268-4F17-BC83-7C1FEE5147D118" TargetMode="External"/><Relationship Id="rId3" Type="http://schemas.openxmlformats.org/officeDocument/2006/relationships/hyperlink" Target="https://biccn.bossdb.org/deliveries/z8d0vi3nfkyj4q4i" TargetMode="External"/><Relationship Id="rId214" Type="http://schemas.openxmlformats.org/officeDocument/2006/relationships/hyperlink" Target="https://biccn.bossdb.org/deliveries/08AB1A82-F779-44D2-BF16-1FD4C39858E5" TargetMode="External"/><Relationship Id="rId235" Type="http://schemas.openxmlformats.org/officeDocument/2006/relationships/hyperlink" Target="https://biccn.bossdb.org/deliveries/08AB1A82-F779-44D2-BF16-1FD4C39858E26" TargetMode="External"/><Relationship Id="rId256" Type="http://schemas.openxmlformats.org/officeDocument/2006/relationships/hyperlink" Target="https://api.bossdb.io/v1/mgmt/resources/microns" TargetMode="External"/><Relationship Id="rId116" Type="http://schemas.openxmlformats.org/officeDocument/2006/relationships/hyperlink" Target="https://biccn.bossdb.org/deliveries/6F16B668-3268-4F17-BC83-7C1FEE5147D45" TargetMode="External"/><Relationship Id="rId137" Type="http://schemas.openxmlformats.org/officeDocument/2006/relationships/hyperlink" Target="https://biccn.bossdb.org/deliveries/6F16B668-3268-4F17-BC83-7C1FEE5147D66" TargetMode="External"/><Relationship Id="rId158" Type="http://schemas.openxmlformats.org/officeDocument/2006/relationships/hyperlink" Target="https://biccn.bossdb.org/deliveries/6F16B668-3268-4F17-BC83-7C1FEE5147D87" TargetMode="External"/><Relationship Id="rId20" Type="http://schemas.openxmlformats.org/officeDocument/2006/relationships/hyperlink" Target="https://biccn.bossdb.org/deliveries/9q5a2podd4qsqnje" TargetMode="External"/><Relationship Id="rId41" Type="http://schemas.openxmlformats.org/officeDocument/2006/relationships/hyperlink" Target="https://biccn.bossdb.org/deliveries/9q5a2podd4qsqnje" TargetMode="External"/><Relationship Id="rId62" Type="http://schemas.openxmlformats.org/officeDocument/2006/relationships/hyperlink" Target="https://biccn.bossdb.org/deliveries/9q5a2podd4qsqnje" TargetMode="External"/><Relationship Id="rId83" Type="http://schemas.openxmlformats.org/officeDocument/2006/relationships/hyperlink" Target="https://biccn.bossdb.org/deliveries/6F16B668-3268-4F17-BC83-7C1FEE5147D12" TargetMode="External"/><Relationship Id="rId179" Type="http://schemas.openxmlformats.org/officeDocument/2006/relationships/hyperlink" Target="https://biccn.bossdb.org/deliveries/6F16B668-3268-4F17-BC83-7C1FEE5147D108" TargetMode="External"/><Relationship Id="rId190" Type="http://schemas.openxmlformats.org/officeDocument/2006/relationships/hyperlink" Target="https://biccn.bossdb.org/deliveries/6F16B668-3268-4F17-BC83-7C1FEE5147D119" TargetMode="External"/><Relationship Id="rId204" Type="http://schemas.openxmlformats.org/officeDocument/2006/relationships/hyperlink" Target="https://biccn.bossdb.org/deliveries/6F16B668-3268-4F17-BC83-7C1FEE5147D133" TargetMode="External"/><Relationship Id="rId225" Type="http://schemas.openxmlformats.org/officeDocument/2006/relationships/hyperlink" Target="https://biccn.bossdb.org/deliveries/08AB1A82-F779-44D2-BF16-1FD4C39858E16" TargetMode="External"/><Relationship Id="rId246" Type="http://schemas.openxmlformats.org/officeDocument/2006/relationships/hyperlink" Target="https://biccn.bossdb.org/deliveries/08AB1A82-F779-44D2-BF16-1FD4C39858E37" TargetMode="External"/><Relationship Id="rId106" Type="http://schemas.openxmlformats.org/officeDocument/2006/relationships/hyperlink" Target="https://biccn.bossdb.org/deliveries/6F16B668-3268-4F17-BC83-7C1FEE5147D35" TargetMode="External"/><Relationship Id="rId127" Type="http://schemas.openxmlformats.org/officeDocument/2006/relationships/hyperlink" Target="https://biccn.bossdb.org/deliveries/6F16B668-3268-4F17-BC83-7C1FEE5147D56" TargetMode="External"/><Relationship Id="rId10" Type="http://schemas.openxmlformats.org/officeDocument/2006/relationships/hyperlink" Target="https://biccn.bossdb.org/deliveries/9q5a2podd4qsqnje" TargetMode="External"/><Relationship Id="rId31" Type="http://schemas.openxmlformats.org/officeDocument/2006/relationships/hyperlink" Target="https://biccn.bossdb.org/deliveries/9q5a2podd4qsqnje" TargetMode="External"/><Relationship Id="rId52" Type="http://schemas.openxmlformats.org/officeDocument/2006/relationships/hyperlink" Target="https://biccn.bossdb.org/deliveries/9q5a2podd4qsqnje" TargetMode="External"/><Relationship Id="rId73" Type="http://schemas.openxmlformats.org/officeDocument/2006/relationships/hyperlink" Target="https://biccn.bossdb.org/deliveries/9q5a2podd4qsqnje" TargetMode="External"/><Relationship Id="rId94" Type="http://schemas.openxmlformats.org/officeDocument/2006/relationships/hyperlink" Target="https://biccn.bossdb.org/deliveries/6F16B668-3268-4F17-BC83-7C1FEE5147D23" TargetMode="External"/><Relationship Id="rId148" Type="http://schemas.openxmlformats.org/officeDocument/2006/relationships/hyperlink" Target="https://biccn.bossdb.org/deliveries/6F16B668-3268-4F17-BC83-7C1FEE5147D77" TargetMode="External"/><Relationship Id="rId169" Type="http://schemas.openxmlformats.org/officeDocument/2006/relationships/hyperlink" Target="https://biccn.bossdb.org/deliveries/6F16B668-3268-4F17-BC83-7C1FEE5147D98" TargetMode="External"/><Relationship Id="rId4" Type="http://schemas.openxmlformats.org/officeDocument/2006/relationships/hyperlink" Target="https://biccn.bossdb.org/deliveries/z8d0vi3nfkyj4q4i" TargetMode="External"/><Relationship Id="rId180" Type="http://schemas.openxmlformats.org/officeDocument/2006/relationships/hyperlink" Target="https://biccn.bossdb.org/deliveries/6F16B668-3268-4F17-BC83-7C1FEE5147D109" TargetMode="External"/><Relationship Id="rId215" Type="http://schemas.openxmlformats.org/officeDocument/2006/relationships/hyperlink" Target="https://biccn.bossdb.org/deliveries/08AB1A82-F779-44D2-BF16-1FD4C39858E6" TargetMode="External"/><Relationship Id="rId236" Type="http://schemas.openxmlformats.org/officeDocument/2006/relationships/hyperlink" Target="https://biccn.bossdb.org/deliveries/08AB1A82-F779-44D2-BF16-1FD4C39858E27"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heetPr>
  <dimension ref="A1:BL112"/>
  <sheetViews>
    <sheetView tabSelected="1" topLeftCell="P1" zoomScale="57" zoomScaleNormal="64" workbookViewId="0">
      <selection activeCell="S3" sqref="S3"/>
    </sheetView>
  </sheetViews>
  <sheetFormatPr baseColWidth="10" defaultColWidth="8.83203125" defaultRowHeight="15"/>
  <cols>
    <col min="1" max="1" width="36.33203125" customWidth="1"/>
    <col min="2" max="2" width="30" customWidth="1"/>
    <col min="3" max="3" width="52" customWidth="1"/>
    <col min="4" max="4" width="28.33203125" bestFit="1" customWidth="1"/>
    <col min="5" max="5" width="69.5" customWidth="1"/>
    <col min="6" max="6" width="17.5" style="9" customWidth="1"/>
    <col min="7" max="7" width="19.1640625" bestFit="1" customWidth="1"/>
    <col min="8" max="8" width="52" bestFit="1" customWidth="1"/>
    <col min="9" max="9" width="38.83203125" customWidth="1"/>
    <col min="10" max="10" width="34.33203125" customWidth="1"/>
    <col min="11" max="11" width="12.5" style="1" bestFit="1" customWidth="1"/>
    <col min="12" max="12" width="12.5" bestFit="1" customWidth="1"/>
    <col min="13" max="13" width="54.33203125" customWidth="1"/>
    <col min="14" max="14" width="54.6640625" customWidth="1"/>
    <col min="15" max="15" width="45.1640625" customWidth="1"/>
    <col min="16" max="16" width="61.33203125" customWidth="1"/>
    <col min="17" max="17" width="29.5" style="1" customWidth="1"/>
    <col min="18" max="20" width="12.5" style="9" bestFit="1" customWidth="1"/>
    <col min="21" max="22" width="12.5" bestFit="1" customWidth="1"/>
    <col min="23" max="23" width="28.5" customWidth="1"/>
    <col min="24" max="24" width="73.1640625" bestFit="1" customWidth="1"/>
    <col min="25" max="25" width="43.1640625" style="9" bestFit="1" customWidth="1"/>
    <col min="26" max="26" width="12.5" style="9" bestFit="1" customWidth="1"/>
    <col min="27" max="33" width="12.5" bestFit="1" customWidth="1"/>
  </cols>
  <sheetData>
    <row r="1" spans="1:64" s="9" customFormat="1" ht="28.5" customHeight="1">
      <c r="A1" s="57" t="s">
        <v>827</v>
      </c>
      <c r="B1" s="57" t="s">
        <v>1207</v>
      </c>
      <c r="C1" s="57" t="s">
        <v>1208</v>
      </c>
      <c r="D1" s="57" t="s">
        <v>1357</v>
      </c>
      <c r="E1" s="57" t="s">
        <v>397</v>
      </c>
      <c r="F1" s="57" t="s">
        <v>842</v>
      </c>
      <c r="G1" s="57" t="s">
        <v>1358</v>
      </c>
      <c r="H1" s="57" t="s">
        <v>1210</v>
      </c>
      <c r="I1" s="57" t="s">
        <v>2411</v>
      </c>
      <c r="J1" s="57" t="s">
        <v>1359</v>
      </c>
      <c r="K1" s="57" t="s">
        <v>1360</v>
      </c>
      <c r="L1" s="57" t="s">
        <v>3</v>
      </c>
      <c r="M1" s="59" t="s">
        <v>1361</v>
      </c>
      <c r="N1" s="59" t="s">
        <v>403</v>
      </c>
      <c r="O1" s="59" t="s">
        <v>1362</v>
      </c>
      <c r="P1" s="59" t="s">
        <v>2256</v>
      </c>
      <c r="Q1" s="60" t="s">
        <v>400</v>
      </c>
      <c r="R1" s="59" t="s">
        <v>844</v>
      </c>
      <c r="S1" s="59" t="s">
        <v>1363</v>
      </c>
      <c r="T1" s="59" t="s">
        <v>1364</v>
      </c>
      <c r="U1" s="59" t="s">
        <v>1365</v>
      </c>
      <c r="V1" s="59" t="s">
        <v>1213</v>
      </c>
      <c r="W1" s="59" t="s">
        <v>1366</v>
      </c>
      <c r="X1" s="59" t="s">
        <v>1214</v>
      </c>
      <c r="Y1" s="59" t="s">
        <v>846</v>
      </c>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row>
    <row r="2" spans="1:64" s="9" customFormat="1" ht="28.5" customHeight="1">
      <c r="A2" s="14" t="s">
        <v>2009</v>
      </c>
      <c r="B2" s="14" t="s">
        <v>2010</v>
      </c>
      <c r="C2" s="14" t="s">
        <v>2011</v>
      </c>
      <c r="D2" s="14" t="s">
        <v>2020</v>
      </c>
      <c r="E2" s="61" t="s">
        <v>2392</v>
      </c>
      <c r="F2" s="61" t="s">
        <v>2012</v>
      </c>
      <c r="G2" s="61" t="s">
        <v>2013</v>
      </c>
      <c r="H2" s="14" t="s">
        <v>2014</v>
      </c>
      <c r="I2" s="14" t="s">
        <v>2011</v>
      </c>
      <c r="J2" s="49" t="s">
        <v>2015</v>
      </c>
      <c r="K2" s="14">
        <v>2022</v>
      </c>
      <c r="L2" s="14" t="s">
        <v>413</v>
      </c>
      <c r="M2" s="14"/>
      <c r="N2" s="14" t="b">
        <v>1</v>
      </c>
      <c r="O2" s="14"/>
      <c r="P2" s="14"/>
      <c r="Q2" s="14"/>
      <c r="R2" s="43"/>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row>
    <row r="3" spans="1:64" ht="17.25" customHeight="1">
      <c r="A3" s="43" t="s">
        <v>2466</v>
      </c>
      <c r="B3" s="43" t="s">
        <v>1367</v>
      </c>
      <c r="C3" s="43" t="s">
        <v>1217</v>
      </c>
      <c r="D3" s="43" t="s">
        <v>1368</v>
      </c>
      <c r="E3" s="43" t="s">
        <v>1218</v>
      </c>
      <c r="F3" s="43"/>
      <c r="G3" s="43" t="s">
        <v>1216</v>
      </c>
      <c r="H3" s="62"/>
      <c r="I3" s="62"/>
      <c r="J3" s="53" t="s">
        <v>1369</v>
      </c>
      <c r="K3" s="51">
        <v>2022</v>
      </c>
      <c r="L3" s="43" t="s">
        <v>413</v>
      </c>
      <c r="M3" s="43" t="s">
        <v>2381</v>
      </c>
      <c r="N3" s="14" t="b">
        <v>1</v>
      </c>
      <c r="O3" s="14" t="s">
        <v>1370</v>
      </c>
      <c r="P3" s="43" t="s">
        <v>412</v>
      </c>
      <c r="Q3" s="50">
        <v>44872</v>
      </c>
      <c r="R3" s="43"/>
      <c r="S3" s="14"/>
      <c r="T3" s="14"/>
      <c r="U3" s="14"/>
      <c r="V3" s="43" t="s">
        <v>849</v>
      </c>
      <c r="W3" s="43" t="s">
        <v>1367</v>
      </c>
      <c r="X3" s="43" t="s">
        <v>2201</v>
      </c>
      <c r="Y3" s="14" t="s">
        <v>2202</v>
      </c>
      <c r="Z3" s="14"/>
      <c r="AA3" s="26"/>
      <c r="AB3" s="63"/>
      <c r="AC3" s="26"/>
      <c r="AD3" s="26"/>
      <c r="AE3" s="26"/>
      <c r="AF3" s="26"/>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row>
    <row r="4" spans="1:64" ht="18" customHeight="1">
      <c r="A4" s="43" t="s">
        <v>1223</v>
      </c>
      <c r="B4" s="43" t="s">
        <v>1245</v>
      </c>
      <c r="C4" s="43" t="s">
        <v>1225</v>
      </c>
      <c r="D4" s="43" t="s">
        <v>1371</v>
      </c>
      <c r="E4" s="43" t="s">
        <v>1226</v>
      </c>
      <c r="F4" s="43"/>
      <c r="G4" s="43" t="s">
        <v>1224</v>
      </c>
      <c r="H4" s="14" t="s">
        <v>2203</v>
      </c>
      <c r="I4" s="62"/>
      <c r="J4" s="47" t="s">
        <v>1489</v>
      </c>
      <c r="K4" s="86"/>
      <c r="L4" s="43" t="s">
        <v>413</v>
      </c>
      <c r="M4" s="43" t="s">
        <v>2351</v>
      </c>
      <c r="N4" s="14" t="b">
        <v>1</v>
      </c>
      <c r="O4" s="14" t="s">
        <v>1372</v>
      </c>
      <c r="P4" s="43" t="s">
        <v>2278</v>
      </c>
      <c r="Q4" s="15">
        <v>2019</v>
      </c>
      <c r="R4" s="43"/>
      <c r="S4" s="14"/>
      <c r="T4" s="14"/>
      <c r="U4" s="14"/>
      <c r="V4" s="43" t="s">
        <v>1013</v>
      </c>
      <c r="W4" s="43" t="s">
        <v>1245</v>
      </c>
      <c r="X4" s="51"/>
      <c r="Y4" s="52"/>
      <c r="Z4" s="51"/>
      <c r="AA4" s="26"/>
      <c r="AB4" s="53"/>
      <c r="AC4" s="63"/>
      <c r="AD4" s="63"/>
      <c r="AE4" s="26"/>
      <c r="AF4" s="26"/>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row>
    <row r="5" spans="1:64" ht="20.25" customHeight="1">
      <c r="A5" s="43" t="s">
        <v>2454</v>
      </c>
      <c r="B5" s="43" t="s">
        <v>1227</v>
      </c>
      <c r="C5" s="43" t="s">
        <v>1229</v>
      </c>
      <c r="D5" s="43" t="s">
        <v>1373</v>
      </c>
      <c r="E5" s="43" t="s">
        <v>1230</v>
      </c>
      <c r="F5" s="43"/>
      <c r="G5" s="43" t="s">
        <v>1228</v>
      </c>
      <c r="H5" s="43" t="s">
        <v>1231</v>
      </c>
      <c r="I5" s="43" t="s">
        <v>1374</v>
      </c>
      <c r="J5" s="53" t="s">
        <v>1375</v>
      </c>
      <c r="K5" s="51">
        <v>2021</v>
      </c>
      <c r="L5" s="43" t="s">
        <v>413</v>
      </c>
      <c r="M5" s="43" t="s">
        <v>2205</v>
      </c>
      <c r="N5" s="14" t="b">
        <v>1</v>
      </c>
      <c r="O5" s="14" t="s">
        <v>1376</v>
      </c>
      <c r="P5" s="43" t="s">
        <v>426</v>
      </c>
      <c r="Q5" s="50">
        <v>44559</v>
      </c>
      <c r="R5" s="43"/>
      <c r="S5" s="14"/>
      <c r="T5" s="14"/>
      <c r="U5" s="14"/>
      <c r="V5" s="43" t="s">
        <v>1013</v>
      </c>
      <c r="W5" s="43" t="s">
        <v>1377</v>
      </c>
      <c r="X5" s="43" t="s">
        <v>2206</v>
      </c>
      <c r="Y5" s="14" t="s">
        <v>2207</v>
      </c>
      <c r="Z5" s="14"/>
      <c r="AA5" s="26"/>
      <c r="AB5" s="77"/>
      <c r="AC5" s="77"/>
      <c r="AD5" s="77"/>
      <c r="AE5" s="26"/>
      <c r="AF5" s="26"/>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row>
    <row r="6" spans="1:64" ht="18.75" customHeight="1">
      <c r="A6" s="43" t="s">
        <v>2455</v>
      </c>
      <c r="B6" s="43" t="s">
        <v>1232</v>
      </c>
      <c r="C6" s="43" t="s">
        <v>1234</v>
      </c>
      <c r="D6" s="43" t="s">
        <v>2309</v>
      </c>
      <c r="E6" s="43" t="s">
        <v>1235</v>
      </c>
      <c r="F6" s="43"/>
      <c r="G6" s="43" t="s">
        <v>1233</v>
      </c>
      <c r="H6" s="43" t="s">
        <v>1236</v>
      </c>
      <c r="I6" s="43" t="s">
        <v>1378</v>
      </c>
      <c r="J6" s="53" t="s">
        <v>1379</v>
      </c>
      <c r="K6" s="51">
        <v>2021</v>
      </c>
      <c r="L6" s="43" t="s">
        <v>413</v>
      </c>
      <c r="M6" s="43" t="s">
        <v>2310</v>
      </c>
      <c r="N6" s="14" t="b">
        <v>1</v>
      </c>
      <c r="O6" s="14" t="s">
        <v>1380</v>
      </c>
      <c r="P6" s="14" t="s">
        <v>454</v>
      </c>
      <c r="Q6" s="50">
        <v>44677</v>
      </c>
      <c r="R6" s="43"/>
      <c r="S6" s="14"/>
      <c r="T6" s="14"/>
      <c r="U6" s="14"/>
      <c r="V6" s="43" t="s">
        <v>1013</v>
      </c>
      <c r="W6" s="43" t="s">
        <v>1232</v>
      </c>
      <c r="X6" s="43" t="s">
        <v>2208</v>
      </c>
      <c r="Y6" s="14" t="s">
        <v>2422</v>
      </c>
      <c r="Z6" s="14"/>
      <c r="AA6" s="26"/>
      <c r="AB6" s="63"/>
      <c r="AC6" s="63"/>
      <c r="AD6" s="63"/>
      <c r="AE6" s="26"/>
      <c r="AF6" s="26"/>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row>
    <row r="7" spans="1:64" ht="18.75" customHeight="1">
      <c r="A7" s="43" t="s">
        <v>886</v>
      </c>
      <c r="B7" s="43" t="s">
        <v>1237</v>
      </c>
      <c r="C7" s="43" t="s">
        <v>1239</v>
      </c>
      <c r="D7" s="43" t="s">
        <v>2189</v>
      </c>
      <c r="E7" s="43" t="s">
        <v>1240</v>
      </c>
      <c r="F7" s="43"/>
      <c r="G7" s="43" t="s">
        <v>1238</v>
      </c>
      <c r="H7" s="64" t="s">
        <v>2259</v>
      </c>
      <c r="I7" s="43" t="s">
        <v>2209</v>
      </c>
      <c r="J7" s="53" t="s">
        <v>1381</v>
      </c>
      <c r="K7" s="14"/>
      <c r="L7" s="43" t="s">
        <v>413</v>
      </c>
      <c r="M7" s="43" t="s">
        <v>2210</v>
      </c>
      <c r="N7" s="14" t="b">
        <v>1</v>
      </c>
      <c r="O7" s="14" t="s">
        <v>1382</v>
      </c>
      <c r="P7" s="43" t="s">
        <v>460</v>
      </c>
      <c r="Q7" s="50">
        <v>44553</v>
      </c>
      <c r="R7" s="43"/>
      <c r="S7" s="14"/>
      <c r="T7" s="14"/>
      <c r="U7" s="14"/>
      <c r="V7" s="43" t="s">
        <v>1130</v>
      </c>
      <c r="W7" s="43" t="s">
        <v>1237</v>
      </c>
      <c r="X7" s="43" t="s">
        <v>2211</v>
      </c>
      <c r="Y7" s="14" t="s">
        <v>2212</v>
      </c>
      <c r="Z7" s="14"/>
      <c r="AA7" s="26"/>
      <c r="AB7" s="63"/>
      <c r="AC7" s="63"/>
      <c r="AD7" s="63"/>
      <c r="AE7" s="26"/>
      <c r="AF7" s="26"/>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row>
    <row r="8" spans="1:64" ht="18.75" customHeight="1">
      <c r="A8" s="43" t="s">
        <v>2456</v>
      </c>
      <c r="B8" s="43" t="s">
        <v>1241</v>
      </c>
      <c r="C8" s="43" t="s">
        <v>1243</v>
      </c>
      <c r="D8" s="43" t="s">
        <v>1383</v>
      </c>
      <c r="E8" s="43" t="s">
        <v>1244</v>
      </c>
      <c r="F8" s="43"/>
      <c r="G8" s="43" t="s">
        <v>1242</v>
      </c>
      <c r="H8" s="43" t="s">
        <v>2213</v>
      </c>
      <c r="I8" s="43" t="s">
        <v>2214</v>
      </c>
      <c r="J8" s="48" t="s">
        <v>2311</v>
      </c>
      <c r="K8" s="51">
        <v>2020</v>
      </c>
      <c r="L8" s="43" t="s">
        <v>413</v>
      </c>
      <c r="M8" s="43" t="s">
        <v>2215</v>
      </c>
      <c r="N8" s="14" t="b">
        <v>1</v>
      </c>
      <c r="O8" s="14" t="s">
        <v>1384</v>
      </c>
      <c r="P8" s="43" t="s">
        <v>465</v>
      </c>
      <c r="Q8" s="65">
        <v>44412</v>
      </c>
      <c r="R8" s="43"/>
      <c r="S8" s="14"/>
      <c r="T8" s="14"/>
      <c r="U8" s="14"/>
      <c r="V8" s="43" t="s">
        <v>849</v>
      </c>
      <c r="W8" s="43" t="s">
        <v>1241</v>
      </c>
      <c r="X8" s="43" t="s">
        <v>2216</v>
      </c>
      <c r="Y8" s="14" t="s">
        <v>2217</v>
      </c>
      <c r="Z8" s="14"/>
      <c r="AA8" s="26"/>
      <c r="AB8" s="63"/>
      <c r="AC8" s="63"/>
      <c r="AD8" s="63"/>
      <c r="AE8" s="26"/>
      <c r="AF8" s="26"/>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row>
    <row r="9" spans="1:64" ht="18.75" customHeight="1">
      <c r="A9" s="54" t="s">
        <v>1482</v>
      </c>
      <c r="B9" s="43" t="s">
        <v>1245</v>
      </c>
      <c r="C9" s="43" t="s">
        <v>2218</v>
      </c>
      <c r="D9" s="43" t="s">
        <v>2312</v>
      </c>
      <c r="E9" s="51" t="s">
        <v>1226</v>
      </c>
      <c r="F9" s="43"/>
      <c r="G9" s="43" t="s">
        <v>1224</v>
      </c>
      <c r="H9" s="51" t="s">
        <v>2257</v>
      </c>
      <c r="I9" s="62" t="s">
        <v>2416</v>
      </c>
      <c r="J9" s="53" t="s">
        <v>1489</v>
      </c>
      <c r="K9" s="51"/>
      <c r="L9" s="43" t="s">
        <v>413</v>
      </c>
      <c r="M9" s="43" t="s">
        <v>2313</v>
      </c>
      <c r="N9" s="14" t="b">
        <v>1</v>
      </c>
      <c r="O9" s="14" t="s">
        <v>1483</v>
      </c>
      <c r="P9" s="43" t="s">
        <v>2278</v>
      </c>
      <c r="Q9" s="15">
        <v>2019</v>
      </c>
      <c r="R9" s="43"/>
      <c r="S9" s="14"/>
      <c r="T9" s="14"/>
      <c r="U9" s="14"/>
      <c r="V9" s="43" t="s">
        <v>1013</v>
      </c>
      <c r="W9" s="43" t="s">
        <v>1245</v>
      </c>
      <c r="X9" s="43" t="s">
        <v>2219</v>
      </c>
      <c r="Y9" s="14" t="s">
        <v>2220</v>
      </c>
      <c r="Z9" s="14"/>
      <c r="AA9" s="26"/>
      <c r="AB9" s="63"/>
      <c r="AC9" s="63"/>
      <c r="AD9" s="63"/>
      <c r="AE9" s="26"/>
      <c r="AF9" s="26"/>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row>
    <row r="10" spans="1:64" ht="18.75" customHeight="1">
      <c r="A10" s="43" t="s">
        <v>933</v>
      </c>
      <c r="B10" s="43" t="s">
        <v>1245</v>
      </c>
      <c r="C10" s="43" t="s">
        <v>1246</v>
      </c>
      <c r="D10" s="43" t="s">
        <v>2314</v>
      </c>
      <c r="E10" s="43" t="s">
        <v>1226</v>
      </c>
      <c r="F10" s="43"/>
      <c r="G10" s="43" t="s">
        <v>1224</v>
      </c>
      <c r="H10" s="43" t="s">
        <v>2203</v>
      </c>
      <c r="I10" s="62"/>
      <c r="J10" s="66" t="s">
        <v>1489</v>
      </c>
      <c r="K10" s="86"/>
      <c r="L10" s="43" t="s">
        <v>413</v>
      </c>
      <c r="M10" s="43" t="s">
        <v>2313</v>
      </c>
      <c r="N10" s="14" t="b">
        <v>1</v>
      </c>
      <c r="O10" s="14" t="s">
        <v>1385</v>
      </c>
      <c r="P10" s="43" t="s">
        <v>2278</v>
      </c>
      <c r="Q10" s="15">
        <v>2019</v>
      </c>
      <c r="R10" s="43"/>
      <c r="S10" s="14"/>
      <c r="T10" s="14"/>
      <c r="U10" s="14"/>
      <c r="V10" s="43" t="s">
        <v>1013</v>
      </c>
      <c r="W10" s="43" t="s">
        <v>1245</v>
      </c>
      <c r="X10" s="43" t="s">
        <v>2219</v>
      </c>
      <c r="Y10" s="52"/>
      <c r="Z10" s="14"/>
      <c r="AA10" s="26"/>
      <c r="AB10" s="63"/>
      <c r="AC10" s="63"/>
      <c r="AD10" s="63"/>
      <c r="AE10" s="26"/>
      <c r="AF10" s="26"/>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row>
    <row r="11" spans="1:64" ht="18.75" customHeight="1">
      <c r="A11" s="43" t="s">
        <v>2457</v>
      </c>
      <c r="B11" s="43" t="s">
        <v>1247</v>
      </c>
      <c r="C11" s="43" t="s">
        <v>1249</v>
      </c>
      <c r="D11" s="43" t="s">
        <v>2315</v>
      </c>
      <c r="E11" s="43" t="s">
        <v>1250</v>
      </c>
      <c r="F11" s="43"/>
      <c r="G11" s="43" t="s">
        <v>1248</v>
      </c>
      <c r="H11" s="43" t="s">
        <v>2221</v>
      </c>
      <c r="I11" s="43" t="s">
        <v>2222</v>
      </c>
      <c r="J11" s="49" t="s">
        <v>2190</v>
      </c>
      <c r="K11" s="14"/>
      <c r="L11" s="43" t="s">
        <v>413</v>
      </c>
      <c r="M11" s="43" t="s">
        <v>2223</v>
      </c>
      <c r="N11" s="14" t="b">
        <v>1</v>
      </c>
      <c r="O11" s="14" t="s">
        <v>1386</v>
      </c>
      <c r="P11" s="14" t="s">
        <v>516</v>
      </c>
      <c r="Q11" s="50">
        <v>44194</v>
      </c>
      <c r="R11" s="43"/>
      <c r="S11" s="14"/>
      <c r="T11" s="14"/>
      <c r="U11" s="14"/>
      <c r="V11" s="43" t="s">
        <v>849</v>
      </c>
      <c r="W11" s="43" t="s">
        <v>1387</v>
      </c>
      <c r="X11" s="67" t="s">
        <v>2224</v>
      </c>
      <c r="Y11" s="14" t="s">
        <v>2225</v>
      </c>
      <c r="Z11" s="14"/>
      <c r="AA11" s="26"/>
      <c r="AB11" s="63"/>
      <c r="AC11" s="63"/>
      <c r="AD11" s="63"/>
      <c r="AE11" s="26"/>
      <c r="AF11" s="26"/>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row>
    <row r="12" spans="1:64" ht="18.75" customHeight="1">
      <c r="A12" s="43" t="s">
        <v>2465</v>
      </c>
      <c r="B12" s="43" t="s">
        <v>1388</v>
      </c>
      <c r="C12" s="43" t="s">
        <v>1253</v>
      </c>
      <c r="D12" s="43" t="s">
        <v>1389</v>
      </c>
      <c r="E12" s="43" t="s">
        <v>1254</v>
      </c>
      <c r="F12" s="43"/>
      <c r="G12" s="43" t="s">
        <v>1252</v>
      </c>
      <c r="H12" s="43" t="s">
        <v>2226</v>
      </c>
      <c r="I12" s="43" t="s">
        <v>2412</v>
      </c>
      <c r="J12" s="49" t="s">
        <v>2191</v>
      </c>
      <c r="K12" s="51">
        <v>2021</v>
      </c>
      <c r="L12" s="43" t="s">
        <v>413</v>
      </c>
      <c r="M12" s="43" t="s">
        <v>2227</v>
      </c>
      <c r="N12" s="14" t="b">
        <v>1</v>
      </c>
      <c r="O12" s="14" t="s">
        <v>1390</v>
      </c>
      <c r="P12" s="43" t="s">
        <v>582</v>
      </c>
      <c r="Q12" s="50">
        <v>44231</v>
      </c>
      <c r="R12" s="43"/>
      <c r="S12" s="14"/>
      <c r="T12" s="14"/>
      <c r="U12" s="14"/>
      <c r="V12" s="43" t="s">
        <v>1130</v>
      </c>
      <c r="W12" s="43" t="s">
        <v>1388</v>
      </c>
      <c r="X12" s="43" t="s">
        <v>579</v>
      </c>
      <c r="Y12" s="14" t="s">
        <v>406</v>
      </c>
      <c r="Z12" s="14"/>
      <c r="AA12" s="26"/>
      <c r="AB12" s="63"/>
      <c r="AC12" s="63"/>
      <c r="AD12" s="63"/>
      <c r="AE12" s="26"/>
      <c r="AF12" s="26"/>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row>
    <row r="13" spans="1:64" ht="96.75" customHeight="1">
      <c r="A13" s="43" t="s">
        <v>2467</v>
      </c>
      <c r="B13" s="43" t="s">
        <v>1255</v>
      </c>
      <c r="C13" s="43" t="s">
        <v>1257</v>
      </c>
      <c r="D13" s="43" t="s">
        <v>2316</v>
      </c>
      <c r="E13" s="43" t="s">
        <v>1258</v>
      </c>
      <c r="F13" s="43"/>
      <c r="G13" s="43" t="s">
        <v>1256</v>
      </c>
      <c r="H13" s="43" t="s">
        <v>1259</v>
      </c>
      <c r="I13" s="43" t="s">
        <v>2413</v>
      </c>
      <c r="J13" s="49" t="s">
        <v>2317</v>
      </c>
      <c r="K13" s="51" t="s">
        <v>2187</v>
      </c>
      <c r="L13" s="43" t="s">
        <v>413</v>
      </c>
      <c r="M13" s="43" t="s">
        <v>2318</v>
      </c>
      <c r="N13" s="14" t="b">
        <v>1</v>
      </c>
      <c r="O13" s="14" t="s">
        <v>1391</v>
      </c>
      <c r="P13" s="43" t="s">
        <v>584</v>
      </c>
      <c r="Q13" s="50">
        <v>44088</v>
      </c>
      <c r="R13" s="43"/>
      <c r="S13" s="14"/>
      <c r="T13" s="14"/>
      <c r="U13" s="14"/>
      <c r="V13" s="43" t="s">
        <v>2260</v>
      </c>
      <c r="W13" s="43" t="s">
        <v>1255</v>
      </c>
      <c r="X13" s="43" t="s">
        <v>2423</v>
      </c>
      <c r="Y13" s="14" t="s">
        <v>2228</v>
      </c>
      <c r="Z13" s="14"/>
      <c r="AA13" s="26"/>
      <c r="AB13" s="63"/>
      <c r="AC13" s="63"/>
      <c r="AD13" s="63"/>
      <c r="AE13" s="26"/>
      <c r="AF13" s="26"/>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row>
    <row r="14" spans="1:64" ht="18.75" customHeight="1">
      <c r="A14" s="43" t="s">
        <v>973</v>
      </c>
      <c r="B14" s="43" t="s">
        <v>1260</v>
      </c>
      <c r="C14" s="43" t="s">
        <v>1262</v>
      </c>
      <c r="D14" s="43" t="s">
        <v>2319</v>
      </c>
      <c r="E14" s="43" t="s">
        <v>1262</v>
      </c>
      <c r="F14" s="43"/>
      <c r="G14" s="43" t="s">
        <v>1261</v>
      </c>
      <c r="H14" s="43" t="s">
        <v>2229</v>
      </c>
      <c r="I14" s="43" t="s">
        <v>2230</v>
      </c>
      <c r="J14" s="49"/>
      <c r="K14" s="14"/>
      <c r="L14" s="43" t="s">
        <v>413</v>
      </c>
      <c r="M14" s="43" t="s">
        <v>2320</v>
      </c>
      <c r="N14" s="14" t="b">
        <v>1</v>
      </c>
      <c r="O14" s="14" t="s">
        <v>1392</v>
      </c>
      <c r="P14" s="43" t="s">
        <v>597</v>
      </c>
      <c r="Q14" s="50">
        <v>44124</v>
      </c>
      <c r="R14" s="43"/>
      <c r="S14" s="14"/>
      <c r="T14" s="14"/>
      <c r="U14" s="14"/>
      <c r="V14" s="43" t="s">
        <v>1013</v>
      </c>
      <c r="W14" s="43" t="s">
        <v>978</v>
      </c>
      <c r="X14" s="43" t="s">
        <v>2231</v>
      </c>
      <c r="Y14" s="14" t="s">
        <v>2232</v>
      </c>
      <c r="Z14" s="14"/>
      <c r="AA14" s="26"/>
      <c r="AB14" s="63"/>
      <c r="AC14" s="63"/>
      <c r="AD14" s="63"/>
      <c r="AE14" s="26"/>
      <c r="AF14" s="26"/>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row>
    <row r="15" spans="1:64" ht="18.75" customHeight="1">
      <c r="A15" s="43" t="s">
        <v>1393</v>
      </c>
      <c r="B15" s="43" t="s">
        <v>1263</v>
      </c>
      <c r="C15" s="43" t="s">
        <v>1265</v>
      </c>
      <c r="D15" s="43" t="s">
        <v>1394</v>
      </c>
      <c r="E15" s="43" t="s">
        <v>1266</v>
      </c>
      <c r="F15" s="43"/>
      <c r="G15" s="43" t="s">
        <v>1264</v>
      </c>
      <c r="H15" s="43" t="s">
        <v>2233</v>
      </c>
      <c r="I15" s="43" t="s">
        <v>2414</v>
      </c>
      <c r="J15" s="53" t="s">
        <v>1395</v>
      </c>
      <c r="K15" s="51">
        <v>2020</v>
      </c>
      <c r="L15" s="43" t="s">
        <v>413</v>
      </c>
      <c r="M15" s="43" t="s">
        <v>2234</v>
      </c>
      <c r="N15" s="14" t="b">
        <v>1</v>
      </c>
      <c r="O15" s="14" t="s">
        <v>1396</v>
      </c>
      <c r="P15" s="43" t="s">
        <v>612</v>
      </c>
      <c r="Q15" s="15"/>
      <c r="R15" s="43"/>
      <c r="S15" s="14"/>
      <c r="T15" s="14"/>
      <c r="U15" s="14"/>
      <c r="V15" s="43" t="s">
        <v>1013</v>
      </c>
      <c r="W15" s="43" t="s">
        <v>1263</v>
      </c>
      <c r="X15" s="43" t="s">
        <v>1397</v>
      </c>
      <c r="Y15" s="14" t="s">
        <v>406</v>
      </c>
      <c r="Z15" s="14"/>
      <c r="AA15" s="26"/>
      <c r="AB15" s="63"/>
      <c r="AC15" s="63"/>
      <c r="AD15" s="63"/>
      <c r="AE15" s="26"/>
      <c r="AF15" s="26"/>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row>
    <row r="16" spans="1:64" ht="18.75" customHeight="1">
      <c r="A16" s="43" t="s">
        <v>2458</v>
      </c>
      <c r="B16" s="43" t="s">
        <v>1267</v>
      </c>
      <c r="C16" s="43" t="s">
        <v>1269</v>
      </c>
      <c r="D16" s="43" t="s">
        <v>1398</v>
      </c>
      <c r="E16" s="43" t="s">
        <v>1269</v>
      </c>
      <c r="F16" s="43"/>
      <c r="G16" s="43" t="s">
        <v>1268</v>
      </c>
      <c r="H16" s="55" t="s">
        <v>2382</v>
      </c>
      <c r="I16" s="55" t="s">
        <v>2383</v>
      </c>
      <c r="J16" s="53" t="s">
        <v>1399</v>
      </c>
      <c r="K16" s="14"/>
      <c r="L16" s="43" t="s">
        <v>413</v>
      </c>
      <c r="M16" s="43" t="s">
        <v>2321</v>
      </c>
      <c r="N16" s="14" t="b">
        <v>1</v>
      </c>
      <c r="O16" s="68" t="s">
        <v>1400</v>
      </c>
      <c r="P16" s="43" t="s">
        <v>614</v>
      </c>
      <c r="Q16" s="50">
        <v>43657</v>
      </c>
      <c r="R16" s="43"/>
      <c r="S16" s="14"/>
      <c r="T16" s="14"/>
      <c r="U16" s="14"/>
      <c r="V16" s="43" t="s">
        <v>1401</v>
      </c>
      <c r="W16" s="43" t="s">
        <v>1402</v>
      </c>
      <c r="X16" s="43" t="s">
        <v>2235</v>
      </c>
      <c r="Y16" s="14" t="s">
        <v>2236</v>
      </c>
      <c r="Z16" s="14"/>
      <c r="AA16" s="26"/>
      <c r="AB16" s="63"/>
      <c r="AC16" s="63"/>
      <c r="AD16" s="63"/>
      <c r="AE16" s="26"/>
      <c r="AF16" s="26"/>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row>
    <row r="17" spans="1:64" ht="18.75" customHeight="1">
      <c r="A17" s="43" t="s">
        <v>990</v>
      </c>
      <c r="B17" s="43" t="s">
        <v>1270</v>
      </c>
      <c r="C17" s="43" t="s">
        <v>1272</v>
      </c>
      <c r="D17" s="43" t="s">
        <v>1403</v>
      </c>
      <c r="E17" s="43" t="s">
        <v>1273</v>
      </c>
      <c r="F17" s="43"/>
      <c r="G17" s="43" t="s">
        <v>1271</v>
      </c>
      <c r="H17" s="43" t="s">
        <v>2237</v>
      </c>
      <c r="I17" s="43" t="s">
        <v>2415</v>
      </c>
      <c r="J17" s="53" t="s">
        <v>1404</v>
      </c>
      <c r="K17" s="51">
        <v>2019</v>
      </c>
      <c r="L17" s="43" t="s">
        <v>413</v>
      </c>
      <c r="M17" s="43" t="s">
        <v>2238</v>
      </c>
      <c r="N17" s="14" t="b">
        <v>1</v>
      </c>
      <c r="O17" s="14" t="s">
        <v>1405</v>
      </c>
      <c r="P17" s="43" t="s">
        <v>647</v>
      </c>
      <c r="Q17" s="50">
        <v>43795</v>
      </c>
      <c r="R17" s="43"/>
      <c r="S17" s="14"/>
      <c r="T17" s="14"/>
      <c r="U17" s="14"/>
      <c r="V17" s="43" t="s">
        <v>1013</v>
      </c>
      <c r="W17" s="43" t="s">
        <v>1270</v>
      </c>
      <c r="X17" s="43" t="s">
        <v>2239</v>
      </c>
      <c r="Y17" s="14" t="s">
        <v>2212</v>
      </c>
      <c r="Z17" s="14"/>
      <c r="AA17" s="26"/>
      <c r="AB17" s="63"/>
      <c r="AC17" s="63"/>
      <c r="AD17" s="63"/>
      <c r="AE17" s="26"/>
      <c r="AF17" s="26"/>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row>
    <row r="18" spans="1:64" ht="18.75" customHeight="1">
      <c r="A18" s="43" t="s">
        <v>997</v>
      </c>
      <c r="B18" s="43" t="s">
        <v>1274</v>
      </c>
      <c r="C18" s="43" t="s">
        <v>1276</v>
      </c>
      <c r="D18" s="43" t="s">
        <v>2322</v>
      </c>
      <c r="E18" s="43" t="s">
        <v>1277</v>
      </c>
      <c r="F18" s="43"/>
      <c r="G18" s="43" t="s">
        <v>1275</v>
      </c>
      <c r="H18" s="43" t="s">
        <v>1278</v>
      </c>
      <c r="I18" s="43" t="s">
        <v>1406</v>
      </c>
      <c r="J18" s="48" t="s">
        <v>2323</v>
      </c>
      <c r="K18" s="14"/>
      <c r="L18" s="43" t="s">
        <v>413</v>
      </c>
      <c r="M18" s="43" t="s">
        <v>2240</v>
      </c>
      <c r="N18" s="14" t="b">
        <v>1</v>
      </c>
      <c r="O18" s="14" t="s">
        <v>1407</v>
      </c>
      <c r="P18" s="43" t="s">
        <v>2393</v>
      </c>
      <c r="Q18" s="50">
        <v>43403</v>
      </c>
      <c r="R18" s="43"/>
      <c r="S18" s="14"/>
      <c r="T18" s="14"/>
      <c r="U18" s="14"/>
      <c r="V18" s="43" t="s">
        <v>1013</v>
      </c>
      <c r="W18" s="43" t="s">
        <v>1408</v>
      </c>
      <c r="X18" s="43" t="s">
        <v>998</v>
      </c>
      <c r="Y18" s="14" t="s">
        <v>649</v>
      </c>
      <c r="Z18" s="14"/>
      <c r="AA18" s="26"/>
      <c r="AB18" s="63"/>
      <c r="AC18" s="63"/>
      <c r="AD18" s="63"/>
      <c r="AE18" s="26"/>
      <c r="AF18" s="26"/>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row>
    <row r="19" spans="1:64" ht="18.75" customHeight="1">
      <c r="A19" s="43" t="s">
        <v>1001</v>
      </c>
      <c r="B19" s="43" t="s">
        <v>1279</v>
      </c>
      <c r="C19" s="43" t="s">
        <v>1281</v>
      </c>
      <c r="D19" s="43" t="s">
        <v>2324</v>
      </c>
      <c r="E19" s="43" t="s">
        <v>1281</v>
      </c>
      <c r="F19" s="43"/>
      <c r="G19" s="43" t="s">
        <v>1280</v>
      </c>
      <c r="H19" s="56"/>
      <c r="I19" s="56" t="s">
        <v>2446</v>
      </c>
      <c r="J19" s="27" t="s">
        <v>2325</v>
      </c>
      <c r="K19" s="14"/>
      <c r="L19" s="43" t="s">
        <v>413</v>
      </c>
      <c r="M19" s="43" t="s">
        <v>2240</v>
      </c>
      <c r="N19" s="14" t="b">
        <v>1</v>
      </c>
      <c r="O19" s="14" t="s">
        <v>1409</v>
      </c>
      <c r="P19" s="43" t="s">
        <v>655</v>
      </c>
      <c r="Q19" s="50">
        <v>43150</v>
      </c>
      <c r="R19" s="43"/>
      <c r="S19" s="14"/>
      <c r="T19" s="14"/>
      <c r="U19" s="14"/>
      <c r="V19" s="43" t="s">
        <v>1013</v>
      </c>
      <c r="W19" s="43" t="s">
        <v>1410</v>
      </c>
      <c r="X19" s="43" t="s">
        <v>2241</v>
      </c>
      <c r="Y19" s="14" t="s">
        <v>423</v>
      </c>
      <c r="Z19" s="14"/>
      <c r="AA19" s="26"/>
      <c r="AB19" s="63"/>
      <c r="AC19" s="63"/>
      <c r="AD19" s="63"/>
      <c r="AE19" s="26"/>
      <c r="AF19" s="26"/>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row>
    <row r="20" spans="1:64" ht="18.75" customHeight="1">
      <c r="A20" s="43" t="s">
        <v>1411</v>
      </c>
      <c r="B20" s="43" t="s">
        <v>1282</v>
      </c>
      <c r="C20" s="43" t="s">
        <v>1284</v>
      </c>
      <c r="D20" s="43" t="s">
        <v>1412</v>
      </c>
      <c r="E20" s="43" t="s">
        <v>1285</v>
      </c>
      <c r="F20" s="43"/>
      <c r="G20" s="43" t="s">
        <v>1413</v>
      </c>
      <c r="H20" s="56"/>
      <c r="I20" s="56" t="s">
        <v>2446</v>
      </c>
      <c r="J20" s="49" t="s">
        <v>2192</v>
      </c>
      <c r="K20" s="51">
        <v>2017</v>
      </c>
      <c r="L20" s="43" t="s">
        <v>413</v>
      </c>
      <c r="M20" s="43" t="s">
        <v>2242</v>
      </c>
      <c r="N20" s="14" t="b">
        <v>1</v>
      </c>
      <c r="O20" s="14" t="s">
        <v>1414</v>
      </c>
      <c r="P20" s="43" t="s">
        <v>665</v>
      </c>
      <c r="Q20" s="50">
        <v>43031</v>
      </c>
      <c r="R20" s="43"/>
      <c r="S20" s="14"/>
      <c r="T20" s="14"/>
      <c r="U20" s="14"/>
      <c r="V20" s="43" t="s">
        <v>1415</v>
      </c>
      <c r="W20" s="43" t="s">
        <v>1282</v>
      </c>
      <c r="X20" s="43" t="s">
        <v>1416</v>
      </c>
      <c r="Y20" s="14" t="s">
        <v>2243</v>
      </c>
      <c r="Z20" s="14"/>
      <c r="AA20" s="26"/>
      <c r="AB20" s="63"/>
      <c r="AC20" s="63"/>
      <c r="AD20" s="63"/>
      <c r="AE20" s="26"/>
      <c r="AF20" s="26"/>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row>
    <row r="21" spans="1:64" ht="34" customHeight="1">
      <c r="A21" s="43" t="s">
        <v>1010</v>
      </c>
      <c r="B21" s="43" t="s">
        <v>670</v>
      </c>
      <c r="C21" s="43" t="s">
        <v>1287</v>
      </c>
      <c r="D21" s="43" t="s">
        <v>1417</v>
      </c>
      <c r="E21" s="43" t="s">
        <v>1288</v>
      </c>
      <c r="F21" s="43"/>
      <c r="G21" s="43" t="s">
        <v>1286</v>
      </c>
      <c r="H21" s="43" t="s">
        <v>2262</v>
      </c>
      <c r="I21" s="43" t="s">
        <v>2417</v>
      </c>
      <c r="J21" s="53" t="s">
        <v>2244</v>
      </c>
      <c r="K21" s="43">
        <v>2017</v>
      </c>
      <c r="L21" s="43" t="s">
        <v>413</v>
      </c>
      <c r="M21" s="43" t="s">
        <v>2352</v>
      </c>
      <c r="N21" s="14" t="b">
        <v>1</v>
      </c>
      <c r="O21" s="68" t="s">
        <v>1418</v>
      </c>
      <c r="P21" s="43" t="s">
        <v>2280</v>
      </c>
      <c r="Q21" s="87">
        <v>2017</v>
      </c>
      <c r="R21" s="43"/>
      <c r="S21" s="43" t="s">
        <v>1419</v>
      </c>
      <c r="T21" s="14"/>
      <c r="U21" s="43" t="str">
        <f t="shared" ref="U21:U41" si="0">S21</f>
        <v>/assets/projects/dyer2018.jpg</v>
      </c>
      <c r="V21" s="43" t="s">
        <v>1013</v>
      </c>
      <c r="W21" s="43" t="s">
        <v>670</v>
      </c>
      <c r="X21" s="67" t="s">
        <v>668</v>
      </c>
      <c r="Y21" s="43" t="s">
        <v>2245</v>
      </c>
      <c r="Z21" s="14"/>
      <c r="AA21" s="26"/>
      <c r="AB21" s="26"/>
      <c r="AC21" s="63"/>
      <c r="AD21" s="26"/>
      <c r="AE21" s="26"/>
      <c r="AF21" s="26"/>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row>
    <row r="22" spans="1:64" s="9" customFormat="1" ht="52" customHeight="1">
      <c r="A22" s="43" t="s">
        <v>1020</v>
      </c>
      <c r="B22" s="43" t="s">
        <v>678</v>
      </c>
      <c r="C22" s="43" t="s">
        <v>1291</v>
      </c>
      <c r="D22" s="43" t="s">
        <v>2326</v>
      </c>
      <c r="E22" s="43" t="s">
        <v>1292</v>
      </c>
      <c r="F22" s="43"/>
      <c r="G22" s="43" t="s">
        <v>1290</v>
      </c>
      <c r="H22" s="43" t="s">
        <v>2199</v>
      </c>
      <c r="I22" s="43"/>
      <c r="J22" s="53" t="s">
        <v>2327</v>
      </c>
      <c r="K22" s="43">
        <v>2017</v>
      </c>
      <c r="L22" s="43" t="s">
        <v>413</v>
      </c>
      <c r="M22" s="43" t="s">
        <v>2353</v>
      </c>
      <c r="N22" s="14" t="b">
        <v>1</v>
      </c>
      <c r="O22" s="68" t="s">
        <v>1420</v>
      </c>
      <c r="P22" s="43" t="s">
        <v>2281</v>
      </c>
      <c r="Q22" s="87">
        <v>2017</v>
      </c>
      <c r="R22" s="43"/>
      <c r="S22" s="43" t="s">
        <v>1421</v>
      </c>
      <c r="T22" s="14"/>
      <c r="U22" s="43" t="str">
        <f t="shared" si="0"/>
        <v>/assets/projects/ara17.jpg</v>
      </c>
      <c r="V22" s="43" t="s">
        <v>1013</v>
      </c>
      <c r="W22" s="43" t="s">
        <v>678</v>
      </c>
      <c r="X22" s="70" t="s">
        <v>2263</v>
      </c>
      <c r="Y22" s="70" t="s">
        <v>2384</v>
      </c>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row>
    <row r="23" spans="1:64" ht="51" customHeight="1">
      <c r="A23" s="43" t="s">
        <v>1037</v>
      </c>
      <c r="B23" s="43" t="s">
        <v>697</v>
      </c>
      <c r="C23" s="43" t="s">
        <v>1294</v>
      </c>
      <c r="D23" s="43" t="s">
        <v>1422</v>
      </c>
      <c r="E23" s="43" t="s">
        <v>1295</v>
      </c>
      <c r="F23" s="43"/>
      <c r="G23" s="43" t="s">
        <v>1293</v>
      </c>
      <c r="H23" s="43" t="s">
        <v>2258</v>
      </c>
      <c r="I23" s="43" t="s">
        <v>2418</v>
      </c>
      <c r="J23" s="53" t="s">
        <v>2328</v>
      </c>
      <c r="K23" s="43">
        <v>2017</v>
      </c>
      <c r="L23" s="43" t="s">
        <v>413</v>
      </c>
      <c r="M23" s="43" t="s">
        <v>2354</v>
      </c>
      <c r="N23" s="14" t="b">
        <v>1</v>
      </c>
      <c r="O23" s="68" t="s">
        <v>1423</v>
      </c>
      <c r="P23" s="43" t="s">
        <v>2282</v>
      </c>
      <c r="Q23" s="87">
        <v>2017</v>
      </c>
      <c r="R23" s="43"/>
      <c r="S23" s="43" t="s">
        <v>1424</v>
      </c>
      <c r="T23" s="14"/>
      <c r="U23" s="43" t="str">
        <f t="shared" si="0"/>
        <v>/assets/projects/hildebrand2017.jpg</v>
      </c>
      <c r="V23" s="43" t="s">
        <v>1039</v>
      </c>
      <c r="W23" s="43" t="s">
        <v>697</v>
      </c>
      <c r="X23" s="70" t="s">
        <v>2246</v>
      </c>
      <c r="Y23" s="70" t="s">
        <v>2247</v>
      </c>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row>
    <row r="24" spans="1:64" s="9" customFormat="1" ht="41" customHeight="1">
      <c r="A24" s="43" t="s">
        <v>1044</v>
      </c>
      <c r="B24" s="43" t="s">
        <v>1296</v>
      </c>
      <c r="C24" s="43" t="s">
        <v>1297</v>
      </c>
      <c r="D24" s="43" t="s">
        <v>1425</v>
      </c>
      <c r="E24" s="43" t="s">
        <v>1298</v>
      </c>
      <c r="F24" s="43"/>
      <c r="G24" s="43" t="s">
        <v>1045</v>
      </c>
      <c r="H24" s="71"/>
      <c r="I24" s="71"/>
      <c r="J24" s="53" t="s">
        <v>2329</v>
      </c>
      <c r="K24" s="43">
        <v>2016</v>
      </c>
      <c r="L24" s="43" t="s">
        <v>413</v>
      </c>
      <c r="M24" s="43" t="s">
        <v>2355</v>
      </c>
      <c r="N24" s="14" t="b">
        <v>1</v>
      </c>
      <c r="O24" s="68" t="s">
        <v>1427</v>
      </c>
      <c r="P24" s="43" t="s">
        <v>2283</v>
      </c>
      <c r="Q24" s="87">
        <v>2016</v>
      </c>
      <c r="R24" s="43"/>
      <c r="S24" s="43" t="s">
        <v>1428</v>
      </c>
      <c r="T24" s="14"/>
      <c r="U24" s="43" t="str">
        <f t="shared" si="0"/>
        <v>/assets/projects/wanner16.jpg</v>
      </c>
      <c r="V24" s="43" t="s">
        <v>1039</v>
      </c>
      <c r="W24" s="43"/>
      <c r="X24" s="70" t="s">
        <v>701</v>
      </c>
      <c r="Y24" s="70" t="s">
        <v>702</v>
      </c>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row>
    <row r="25" spans="1:64" s="9" customFormat="1" ht="90" customHeight="1">
      <c r="A25" s="43" t="s">
        <v>2459</v>
      </c>
      <c r="B25" s="43" t="s">
        <v>2330</v>
      </c>
      <c r="C25" s="43" t="s">
        <v>1299</v>
      </c>
      <c r="D25" s="43" t="s">
        <v>1429</v>
      </c>
      <c r="E25" s="43" t="s">
        <v>1300</v>
      </c>
      <c r="F25" s="43"/>
      <c r="G25" s="43" t="s">
        <v>2331</v>
      </c>
      <c r="H25" s="43" t="s">
        <v>2266</v>
      </c>
      <c r="I25" s="43" t="s">
        <v>2441</v>
      </c>
      <c r="J25" s="53" t="s">
        <v>1430</v>
      </c>
      <c r="K25" s="43">
        <v>2015</v>
      </c>
      <c r="L25" s="43" t="s">
        <v>413</v>
      </c>
      <c r="M25" s="43" t="s">
        <v>2356</v>
      </c>
      <c r="N25" s="14" t="b">
        <v>1</v>
      </c>
      <c r="O25" s="68" t="s">
        <v>2332</v>
      </c>
      <c r="P25" s="43" t="s">
        <v>2284</v>
      </c>
      <c r="Q25" s="87">
        <v>2016</v>
      </c>
      <c r="R25" s="43"/>
      <c r="S25" s="43" t="s">
        <v>2333</v>
      </c>
      <c r="T25" s="14"/>
      <c r="U25" s="43" t="str">
        <f t="shared" si="0"/>
        <v>/assets/projects/kristi2015.jpg</v>
      </c>
      <c r="V25" s="43" t="s">
        <v>1013</v>
      </c>
      <c r="W25" s="43" t="s">
        <v>706</v>
      </c>
      <c r="X25" s="72" t="s">
        <v>423</v>
      </c>
      <c r="Y25" s="70" t="s">
        <v>2357</v>
      </c>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row>
    <row r="26" spans="1:64" s="9" customFormat="1" ht="84" customHeight="1">
      <c r="A26" s="43" t="s">
        <v>2460</v>
      </c>
      <c r="B26" s="43" t="s">
        <v>718</v>
      </c>
      <c r="C26" s="43" t="s">
        <v>1302</v>
      </c>
      <c r="D26" s="43" t="s">
        <v>1431</v>
      </c>
      <c r="E26" s="43" t="s">
        <v>1303</v>
      </c>
      <c r="F26" s="43"/>
      <c r="G26" s="43" t="s">
        <v>1301</v>
      </c>
      <c r="H26" s="43" t="s">
        <v>2267</v>
      </c>
      <c r="I26" s="71"/>
      <c r="J26" s="53" t="s">
        <v>1432</v>
      </c>
      <c r="K26" s="43">
        <v>2016</v>
      </c>
      <c r="L26" s="43" t="s">
        <v>413</v>
      </c>
      <c r="M26" s="43" t="s">
        <v>2358</v>
      </c>
      <c r="N26" s="14" t="b">
        <v>1</v>
      </c>
      <c r="O26" s="68" t="s">
        <v>1433</v>
      </c>
      <c r="P26" s="43" t="s">
        <v>2285</v>
      </c>
      <c r="Q26" s="87">
        <v>2016</v>
      </c>
      <c r="R26" s="43"/>
      <c r="S26" s="43" t="s">
        <v>1434</v>
      </c>
      <c r="T26" s="14"/>
      <c r="U26" s="43" t="str">
        <f t="shared" si="0"/>
        <v>/assets/projects/kutten2016.jpg</v>
      </c>
      <c r="V26" s="43" t="s">
        <v>1013</v>
      </c>
      <c r="W26" s="43" t="s">
        <v>718</v>
      </c>
      <c r="X26" s="70" t="s">
        <v>2385</v>
      </c>
      <c r="Y26" s="70" t="s">
        <v>2359</v>
      </c>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row>
    <row r="27" spans="1:64" s="9" customFormat="1" ht="85.5" customHeight="1">
      <c r="A27" s="43" t="s">
        <v>1074</v>
      </c>
      <c r="B27" s="43" t="s">
        <v>1304</v>
      </c>
      <c r="C27" s="43" t="s">
        <v>1305</v>
      </c>
      <c r="D27" s="43" t="s">
        <v>1435</v>
      </c>
      <c r="E27" s="43" t="s">
        <v>1306</v>
      </c>
      <c r="F27" s="43"/>
      <c r="G27" s="43" t="s">
        <v>1075</v>
      </c>
      <c r="H27" s="43" t="s">
        <v>2386</v>
      </c>
      <c r="I27" s="43" t="s">
        <v>1374</v>
      </c>
      <c r="J27" s="53" t="s">
        <v>2193</v>
      </c>
      <c r="K27" s="43">
        <v>2016</v>
      </c>
      <c r="L27" s="43" t="s">
        <v>413</v>
      </c>
      <c r="M27" s="43" t="s">
        <v>2360</v>
      </c>
      <c r="N27" s="14" t="b">
        <v>1</v>
      </c>
      <c r="O27" s="68" t="s">
        <v>1418</v>
      </c>
      <c r="P27" s="43" t="s">
        <v>2286</v>
      </c>
      <c r="Q27" s="87">
        <v>2017</v>
      </c>
      <c r="R27" s="43"/>
      <c r="S27" s="43" t="s">
        <v>1436</v>
      </c>
      <c r="T27" s="14"/>
      <c r="U27" s="43" t="str">
        <f t="shared" si="0"/>
        <v>/assets/projects/dyer2016.jpg</v>
      </c>
      <c r="V27" s="43" t="s">
        <v>1013</v>
      </c>
      <c r="W27" s="43"/>
      <c r="X27" s="70" t="s">
        <v>1307</v>
      </c>
      <c r="Y27" s="70" t="s">
        <v>423</v>
      </c>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row>
    <row r="28" spans="1:64" s="9" customFormat="1" ht="85.5" customHeight="1">
      <c r="A28" s="43" t="s">
        <v>1077</v>
      </c>
      <c r="B28" s="43" t="s">
        <v>1308</v>
      </c>
      <c r="C28" s="43" t="s">
        <v>1309</v>
      </c>
      <c r="D28" s="43" t="s">
        <v>1437</v>
      </c>
      <c r="E28" s="43" t="s">
        <v>1310</v>
      </c>
      <c r="F28" s="43"/>
      <c r="G28" s="43" t="s">
        <v>1078</v>
      </c>
      <c r="H28" s="43" t="s">
        <v>2387</v>
      </c>
      <c r="I28" s="43" t="s">
        <v>2442</v>
      </c>
      <c r="J28" s="53" t="s">
        <v>2334</v>
      </c>
      <c r="K28" s="43">
        <v>2016</v>
      </c>
      <c r="L28" s="43" t="s">
        <v>413</v>
      </c>
      <c r="M28" s="43" t="s">
        <v>2361</v>
      </c>
      <c r="N28" s="14" t="b">
        <v>1</v>
      </c>
      <c r="O28" s="68" t="s">
        <v>1438</v>
      </c>
      <c r="P28" s="43" t="s">
        <v>2287</v>
      </c>
      <c r="Q28" s="87">
        <v>2016</v>
      </c>
      <c r="R28" s="43"/>
      <c r="S28" s="43" t="s">
        <v>1439</v>
      </c>
      <c r="T28" s="14"/>
      <c r="U28" s="43" t="str">
        <f t="shared" si="0"/>
        <v>/assets/projects/lee16.jpg</v>
      </c>
      <c r="V28" s="43" t="s">
        <v>1013</v>
      </c>
      <c r="W28" s="43"/>
      <c r="X28" s="70" t="s">
        <v>1311</v>
      </c>
      <c r="Y28" s="70" t="s">
        <v>423</v>
      </c>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row>
    <row r="29" spans="1:64" s="9" customFormat="1" ht="119.25" customHeight="1">
      <c r="A29" s="43" t="s">
        <v>1080</v>
      </c>
      <c r="B29" s="43" t="s">
        <v>1312</v>
      </c>
      <c r="C29" s="43" t="s">
        <v>1314</v>
      </c>
      <c r="D29" s="43" t="s">
        <v>1440</v>
      </c>
      <c r="E29" s="43" t="s">
        <v>1315</v>
      </c>
      <c r="F29" s="43"/>
      <c r="G29" s="43" t="s">
        <v>1313</v>
      </c>
      <c r="H29" s="43" t="s">
        <v>1316</v>
      </c>
      <c r="I29" s="71"/>
      <c r="J29" s="53" t="s">
        <v>1441</v>
      </c>
      <c r="K29" s="43">
        <v>2016</v>
      </c>
      <c r="L29" s="43" t="s">
        <v>413</v>
      </c>
      <c r="M29" s="43" t="s">
        <v>2362</v>
      </c>
      <c r="N29" s="14" t="b">
        <v>1</v>
      </c>
      <c r="O29" s="68" t="s">
        <v>1442</v>
      </c>
      <c r="P29" s="43" t="s">
        <v>2288</v>
      </c>
      <c r="Q29" s="87">
        <v>2016</v>
      </c>
      <c r="R29" s="43"/>
      <c r="S29" s="43" t="s">
        <v>1443</v>
      </c>
      <c r="T29" s="14"/>
      <c r="U29" s="43" t="str">
        <f t="shared" si="0"/>
        <v>/assets/projects/bloss2016.jpg</v>
      </c>
      <c r="V29" s="43" t="s">
        <v>1013</v>
      </c>
      <c r="W29" s="43"/>
      <c r="X29" s="70" t="s">
        <v>1002</v>
      </c>
      <c r="Y29" s="70" t="s">
        <v>2248</v>
      </c>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row>
    <row r="30" spans="1:64" s="9" customFormat="1" ht="165" customHeight="1">
      <c r="A30" s="43" t="s">
        <v>2461</v>
      </c>
      <c r="B30" s="43" t="s">
        <v>738</v>
      </c>
      <c r="C30" s="43" t="s">
        <v>1317</v>
      </c>
      <c r="D30" s="43" t="s">
        <v>1444</v>
      </c>
      <c r="E30" s="43" t="s">
        <v>1318</v>
      </c>
      <c r="F30" s="43"/>
      <c r="G30" s="43" t="s">
        <v>1088</v>
      </c>
      <c r="H30" s="43" t="s">
        <v>2388</v>
      </c>
      <c r="I30" s="43" t="s">
        <v>2419</v>
      </c>
      <c r="J30" s="53" t="s">
        <v>1445</v>
      </c>
      <c r="K30" s="43">
        <v>2015</v>
      </c>
      <c r="L30" s="43" t="s">
        <v>413</v>
      </c>
      <c r="M30" s="43" t="s">
        <v>2363</v>
      </c>
      <c r="N30" s="14" t="b">
        <v>1</v>
      </c>
      <c r="O30" s="68" t="s">
        <v>1446</v>
      </c>
      <c r="P30" s="43" t="s">
        <v>2453</v>
      </c>
      <c r="Q30" s="87">
        <v>2015</v>
      </c>
      <c r="R30" s="43"/>
      <c r="S30" s="43" t="s">
        <v>1447</v>
      </c>
      <c r="T30" s="14"/>
      <c r="U30" s="43" t="str">
        <f t="shared" si="0"/>
        <v>/assets/projects/randlett2015.jpg</v>
      </c>
      <c r="V30" s="43" t="s">
        <v>1039</v>
      </c>
      <c r="W30" s="43"/>
      <c r="X30" s="70"/>
      <c r="Y30" s="70"/>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row>
    <row r="31" spans="1:64" s="9" customFormat="1" ht="141.75" customHeight="1">
      <c r="A31" s="43" t="s">
        <v>1092</v>
      </c>
      <c r="B31" s="43" t="s">
        <v>743</v>
      </c>
      <c r="C31" s="43" t="s">
        <v>1320</v>
      </c>
      <c r="D31" s="43" t="s">
        <v>1448</v>
      </c>
      <c r="E31" s="43" t="s">
        <v>1321</v>
      </c>
      <c r="F31" s="43"/>
      <c r="G31" s="43" t="s">
        <v>1319</v>
      </c>
      <c r="H31" s="43" t="s">
        <v>2272</v>
      </c>
      <c r="I31" s="43" t="s">
        <v>2420</v>
      </c>
      <c r="J31" s="53" t="s">
        <v>2335</v>
      </c>
      <c r="K31" s="43">
        <v>2015</v>
      </c>
      <c r="L31" s="43" t="s">
        <v>413</v>
      </c>
      <c r="M31" s="43" t="s">
        <v>2364</v>
      </c>
      <c r="N31" s="14" t="b">
        <v>1</v>
      </c>
      <c r="O31" s="68" t="s">
        <v>1449</v>
      </c>
      <c r="P31" s="43" t="s">
        <v>2290</v>
      </c>
      <c r="Q31" s="87">
        <v>2015</v>
      </c>
      <c r="R31" s="43"/>
      <c r="S31" s="43" t="s">
        <v>1450</v>
      </c>
      <c r="T31" s="14"/>
      <c r="U31" s="43" t="str">
        <f t="shared" si="0"/>
        <v>/assets/projects/kharris15.jpg</v>
      </c>
      <c r="V31" s="43" t="s">
        <v>1094</v>
      </c>
      <c r="W31" s="43" t="s">
        <v>743</v>
      </c>
      <c r="X31" s="70" t="s">
        <v>2249</v>
      </c>
      <c r="Y31" s="70" t="s">
        <v>2365</v>
      </c>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row>
    <row r="32" spans="1:64" s="9" customFormat="1" ht="36" customHeight="1">
      <c r="A32" s="43" t="s">
        <v>2462</v>
      </c>
      <c r="B32" s="43" t="s">
        <v>1322</v>
      </c>
      <c r="C32" s="43" t="s">
        <v>1324</v>
      </c>
      <c r="D32" s="43" t="s">
        <v>1451</v>
      </c>
      <c r="E32" s="43" t="s">
        <v>1325</v>
      </c>
      <c r="F32" s="43"/>
      <c r="G32" s="43" t="s">
        <v>1323</v>
      </c>
      <c r="H32" s="43" t="s">
        <v>2200</v>
      </c>
      <c r="I32" s="71"/>
      <c r="J32" s="53" t="s">
        <v>1452</v>
      </c>
      <c r="K32" s="43">
        <v>2015</v>
      </c>
      <c r="L32" s="43" t="s">
        <v>413</v>
      </c>
      <c r="M32" s="43" t="s">
        <v>2366</v>
      </c>
      <c r="N32" s="14" t="b">
        <v>1</v>
      </c>
      <c r="O32" s="68" t="s">
        <v>1453</v>
      </c>
      <c r="P32" s="43" t="s">
        <v>2291</v>
      </c>
      <c r="Q32" s="87">
        <v>2015</v>
      </c>
      <c r="R32" s="43"/>
      <c r="S32" s="43" t="s">
        <v>1454</v>
      </c>
      <c r="T32" s="14"/>
      <c r="U32" s="43" t="str">
        <f t="shared" si="0"/>
        <v>/assets/projects/bhatla15_thumb.jpg</v>
      </c>
      <c r="V32" s="43" t="s">
        <v>849</v>
      </c>
      <c r="W32" s="43"/>
      <c r="X32" s="70" t="s">
        <v>1326</v>
      </c>
      <c r="Y32" s="70" t="s">
        <v>2250</v>
      </c>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row>
    <row r="33" spans="1:64" s="9" customFormat="1" ht="51" customHeight="1">
      <c r="A33" s="43" t="s">
        <v>2463</v>
      </c>
      <c r="B33" s="43" t="s">
        <v>751</v>
      </c>
      <c r="C33" s="43" t="s">
        <v>1327</v>
      </c>
      <c r="D33" s="43" t="s">
        <v>2336</v>
      </c>
      <c r="E33" s="43" t="s">
        <v>1328</v>
      </c>
      <c r="F33" s="43"/>
      <c r="G33" s="43" t="s">
        <v>2337</v>
      </c>
      <c r="H33" s="43" t="s">
        <v>2389</v>
      </c>
      <c r="I33" s="43" t="s">
        <v>2421</v>
      </c>
      <c r="J33" s="53" t="s">
        <v>1455</v>
      </c>
      <c r="K33" s="43">
        <v>2015</v>
      </c>
      <c r="L33" s="43" t="s">
        <v>413</v>
      </c>
      <c r="M33" s="43" t="s">
        <v>2367</v>
      </c>
      <c r="N33" s="14" t="b">
        <v>1</v>
      </c>
      <c r="O33" s="68" t="s">
        <v>1456</v>
      </c>
      <c r="P33" s="43" t="s">
        <v>2428</v>
      </c>
      <c r="Q33" s="87">
        <v>2015</v>
      </c>
      <c r="R33" s="43"/>
      <c r="S33" s="43" t="s">
        <v>1457</v>
      </c>
      <c r="T33" s="14"/>
      <c r="U33" s="43" t="str">
        <f t="shared" si="0"/>
        <v>/assets/projects/kasthuri2015.jpg</v>
      </c>
      <c r="V33" s="43" t="s">
        <v>1013</v>
      </c>
      <c r="W33" s="43" t="s">
        <v>751</v>
      </c>
      <c r="X33" s="70" t="s">
        <v>2390</v>
      </c>
      <c r="Y33" s="70" t="s">
        <v>2443</v>
      </c>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row>
    <row r="34" spans="1:64" s="9" customFormat="1" ht="15.75" customHeight="1">
      <c r="A34" s="43" t="s">
        <v>2464</v>
      </c>
      <c r="B34" s="43" t="s">
        <v>1329</v>
      </c>
      <c r="C34" s="43" t="s">
        <v>1330</v>
      </c>
      <c r="D34" s="43" t="s">
        <v>2338</v>
      </c>
      <c r="E34" s="43" t="s">
        <v>2449</v>
      </c>
      <c r="F34" s="43"/>
      <c r="G34" s="43" t="s">
        <v>1123</v>
      </c>
      <c r="H34" s="71"/>
      <c r="I34" s="71"/>
      <c r="J34" s="53" t="s">
        <v>1458</v>
      </c>
      <c r="K34" s="43">
        <v>2015</v>
      </c>
      <c r="L34" s="43" t="s">
        <v>413</v>
      </c>
      <c r="M34" s="43" t="s">
        <v>2368</v>
      </c>
      <c r="N34" s="14" t="b">
        <v>1</v>
      </c>
      <c r="O34" s="68" t="s">
        <v>1459</v>
      </c>
      <c r="P34" s="43" t="s">
        <v>2293</v>
      </c>
      <c r="Q34" s="87">
        <v>2013</v>
      </c>
      <c r="R34" s="43"/>
      <c r="S34" s="51" t="s">
        <v>1460</v>
      </c>
      <c r="T34" s="14"/>
      <c r="U34" s="43" t="str">
        <f t="shared" si="0"/>
        <v>/assets/projects/big_brain.jpg</v>
      </c>
      <c r="V34" s="43" t="s">
        <v>1124</v>
      </c>
      <c r="W34" s="43"/>
      <c r="X34" s="70" t="s">
        <v>1332</v>
      </c>
      <c r="Y34" s="70" t="s">
        <v>423</v>
      </c>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row>
    <row r="35" spans="1:64" s="9" customFormat="1" ht="15.75" customHeight="1">
      <c r="A35" s="43" t="s">
        <v>1128</v>
      </c>
      <c r="B35" s="43" t="s">
        <v>2339</v>
      </c>
      <c r="C35" s="43" t="s">
        <v>1333</v>
      </c>
      <c r="D35" s="43" t="s">
        <v>1461</v>
      </c>
      <c r="E35" s="43" t="s">
        <v>1334</v>
      </c>
      <c r="F35" s="43"/>
      <c r="G35" s="43" t="s">
        <v>2340</v>
      </c>
      <c r="H35" s="43" t="s">
        <v>1335</v>
      </c>
      <c r="I35" s="71"/>
      <c r="J35" s="53" t="s">
        <v>2341</v>
      </c>
      <c r="K35" s="43">
        <v>2015</v>
      </c>
      <c r="L35" s="43" t="s">
        <v>413</v>
      </c>
      <c r="M35" s="43" t="s">
        <v>2369</v>
      </c>
      <c r="N35" s="14" t="b">
        <v>1</v>
      </c>
      <c r="O35" s="68" t="s">
        <v>1462</v>
      </c>
      <c r="P35" s="43" t="s">
        <v>2436</v>
      </c>
      <c r="Q35" s="87">
        <v>2015</v>
      </c>
      <c r="R35" s="43"/>
      <c r="S35" s="43" t="s">
        <v>2342</v>
      </c>
      <c r="T35" s="14"/>
      <c r="U35" s="43" t="str">
        <f t="shared" si="0"/>
        <v>/assets/projects/cardo2015.jpg</v>
      </c>
      <c r="V35" s="43" t="s">
        <v>1130</v>
      </c>
      <c r="W35" s="43" t="s">
        <v>769</v>
      </c>
      <c r="X35" s="70" t="s">
        <v>2251</v>
      </c>
      <c r="Y35" s="70" t="s">
        <v>2252</v>
      </c>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row>
    <row r="36" spans="1:64" s="9" customFormat="1" ht="15.75" customHeight="1">
      <c r="A36" s="43" t="s">
        <v>1134</v>
      </c>
      <c r="B36" s="43" t="s">
        <v>773</v>
      </c>
      <c r="C36" s="43" t="s">
        <v>1337</v>
      </c>
      <c r="D36" s="43" t="s">
        <v>1463</v>
      </c>
      <c r="E36" s="43" t="s">
        <v>1338</v>
      </c>
      <c r="F36" s="43"/>
      <c r="G36" s="43" t="s">
        <v>1336</v>
      </c>
      <c r="H36" s="71"/>
      <c r="I36" s="71"/>
      <c r="J36" s="53" t="s">
        <v>1464</v>
      </c>
      <c r="K36" s="43">
        <v>2015</v>
      </c>
      <c r="L36" s="43" t="s">
        <v>413</v>
      </c>
      <c r="M36" s="43" t="s">
        <v>2370</v>
      </c>
      <c r="N36" s="14" t="b">
        <v>1</v>
      </c>
      <c r="O36" s="68" t="s">
        <v>1465</v>
      </c>
      <c r="P36" s="43" t="s">
        <v>2295</v>
      </c>
      <c r="Q36" s="87">
        <v>2015</v>
      </c>
      <c r="R36" s="43"/>
      <c r="S36" s="43" t="s">
        <v>1466</v>
      </c>
      <c r="T36" s="14"/>
      <c r="U36" s="43" t="str">
        <f t="shared" si="0"/>
        <v>/assets/projects/collman2015.jpg</v>
      </c>
      <c r="V36" s="43" t="s">
        <v>1013</v>
      </c>
      <c r="W36" s="43" t="s">
        <v>773</v>
      </c>
      <c r="X36" s="70" t="s">
        <v>2253</v>
      </c>
      <c r="Y36" s="70" t="s">
        <v>2371</v>
      </c>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row>
    <row r="37" spans="1:64" s="9" customFormat="1" ht="15.75" customHeight="1">
      <c r="A37" s="43" t="s">
        <v>1156</v>
      </c>
      <c r="B37" s="43" t="s">
        <v>796</v>
      </c>
      <c r="C37" s="43" t="s">
        <v>1341</v>
      </c>
      <c r="D37" s="43" t="s">
        <v>2343</v>
      </c>
      <c r="E37" s="43" t="s">
        <v>1342</v>
      </c>
      <c r="F37" s="43"/>
      <c r="G37" s="43" t="s">
        <v>1340</v>
      </c>
      <c r="H37" s="43" t="s">
        <v>2275</v>
      </c>
      <c r="I37" s="43" t="s">
        <v>2444</v>
      </c>
      <c r="J37" s="53" t="s">
        <v>2344</v>
      </c>
      <c r="K37" s="43">
        <v>2014</v>
      </c>
      <c r="L37" s="43" t="s">
        <v>413</v>
      </c>
      <c r="M37" s="43" t="s">
        <v>2372</v>
      </c>
      <c r="N37" s="14" t="b">
        <v>1</v>
      </c>
      <c r="O37" s="68" t="s">
        <v>1467</v>
      </c>
      <c r="P37" s="43" t="s">
        <v>2447</v>
      </c>
      <c r="Q37" s="87">
        <v>2014</v>
      </c>
      <c r="R37" s="43"/>
      <c r="S37" s="43" t="s">
        <v>1468</v>
      </c>
      <c r="T37" s="14"/>
      <c r="U37" s="43" t="str">
        <f t="shared" si="0"/>
        <v>/assets/projects/weiler2014.jpg</v>
      </c>
      <c r="V37" s="43" t="s">
        <v>1013</v>
      </c>
      <c r="W37" s="43" t="s">
        <v>796</v>
      </c>
      <c r="X37" s="70" t="s">
        <v>2254</v>
      </c>
      <c r="Y37" s="70" t="s">
        <v>2373</v>
      </c>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row>
    <row r="38" spans="1:64" s="9" customFormat="1" ht="15.75" customHeight="1">
      <c r="A38" s="43" t="s">
        <v>1188</v>
      </c>
      <c r="B38" s="43" t="s">
        <v>1343</v>
      </c>
      <c r="C38" s="43" t="s">
        <v>1344</v>
      </c>
      <c r="D38" s="43" t="s">
        <v>1469</v>
      </c>
      <c r="E38" s="43" t="s">
        <v>1345</v>
      </c>
      <c r="F38" s="43"/>
      <c r="G38" s="43" t="s">
        <v>1189</v>
      </c>
      <c r="H38" s="71"/>
      <c r="I38" s="71"/>
      <c r="J38" s="53" t="s">
        <v>2345</v>
      </c>
      <c r="K38" s="43">
        <v>2013</v>
      </c>
      <c r="L38" s="43" t="s">
        <v>413</v>
      </c>
      <c r="M38" s="43" t="s">
        <v>2374</v>
      </c>
      <c r="N38" s="14" t="b">
        <v>1</v>
      </c>
      <c r="O38" s="68" t="s">
        <v>1470</v>
      </c>
      <c r="P38" s="43" t="s">
        <v>2448</v>
      </c>
      <c r="Q38" s="87">
        <v>2013</v>
      </c>
      <c r="R38" s="43"/>
      <c r="S38" s="43" t="s">
        <v>1471</v>
      </c>
      <c r="T38" s="14"/>
      <c r="U38" s="43" t="str">
        <f t="shared" si="0"/>
        <v>/assets/projects/takemura14.jpg</v>
      </c>
      <c r="V38" s="43" t="s">
        <v>1130</v>
      </c>
      <c r="W38" s="43" t="str">
        <f>V37</f>
        <v>Mouse</v>
      </c>
      <c r="X38" s="70" t="s">
        <v>1346</v>
      </c>
      <c r="Y38" s="70" t="s">
        <v>423</v>
      </c>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row>
    <row r="39" spans="1:64" s="9" customFormat="1" ht="15.75" customHeight="1">
      <c r="A39" s="43" t="s">
        <v>1193</v>
      </c>
      <c r="B39" s="43" t="s">
        <v>2346</v>
      </c>
      <c r="C39" s="43" t="s">
        <v>1347</v>
      </c>
      <c r="D39" s="43" t="s">
        <v>2347</v>
      </c>
      <c r="E39" s="43" t="s">
        <v>1348</v>
      </c>
      <c r="F39" s="43"/>
      <c r="G39" s="43" t="s">
        <v>2348</v>
      </c>
      <c r="H39" s="71"/>
      <c r="I39" s="71"/>
      <c r="J39" s="53" t="s">
        <v>2349</v>
      </c>
      <c r="K39" s="43">
        <v>2013</v>
      </c>
      <c r="L39" s="43" t="s">
        <v>413</v>
      </c>
      <c r="M39" s="43" t="s">
        <v>2375</v>
      </c>
      <c r="N39" s="14" t="b">
        <v>1</v>
      </c>
      <c r="O39" s="68" t="s">
        <v>1472</v>
      </c>
      <c r="P39" s="43" t="s">
        <v>2430</v>
      </c>
      <c r="Q39" s="87">
        <v>2013</v>
      </c>
      <c r="R39" s="43"/>
      <c r="S39" s="43" t="s">
        <v>1473</v>
      </c>
      <c r="T39" s="14"/>
      <c r="U39" s="43" t="str">
        <f t="shared" si="0"/>
        <v>/assets/projects/MH_3.jpg</v>
      </c>
      <c r="V39" s="43" t="s">
        <v>1013</v>
      </c>
      <c r="W39" s="43"/>
      <c r="X39" s="70" t="s">
        <v>1349</v>
      </c>
      <c r="Y39" s="70" t="s">
        <v>2255</v>
      </c>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row>
    <row r="40" spans="1:64" s="9" customFormat="1" ht="15.75" customHeight="1">
      <c r="A40" s="43" t="s">
        <v>1198</v>
      </c>
      <c r="B40" s="43" t="s">
        <v>1350</v>
      </c>
      <c r="C40" s="43" t="s">
        <v>1351</v>
      </c>
      <c r="D40" s="43" t="s">
        <v>1474</v>
      </c>
      <c r="E40" s="43" t="s">
        <v>1352</v>
      </c>
      <c r="F40" s="43"/>
      <c r="G40" s="43" t="s">
        <v>1199</v>
      </c>
      <c r="I40" s="71" t="s">
        <v>2445</v>
      </c>
      <c r="J40" s="53" t="s">
        <v>1475</v>
      </c>
      <c r="K40" s="43">
        <v>2013</v>
      </c>
      <c r="L40" s="43" t="s">
        <v>413</v>
      </c>
      <c r="M40" s="43" t="s">
        <v>2376</v>
      </c>
      <c r="N40" s="14" t="b">
        <v>1</v>
      </c>
      <c r="O40" s="68" t="s">
        <v>1476</v>
      </c>
      <c r="P40" s="43" t="s">
        <v>2301</v>
      </c>
      <c r="Q40" s="87">
        <v>2013</v>
      </c>
      <c r="R40" s="43"/>
      <c r="S40" s="43" t="s">
        <v>1477</v>
      </c>
      <c r="T40" s="14"/>
      <c r="U40" s="43" t="str">
        <f t="shared" si="0"/>
        <v>/assets/projects/bumbarger2013.jpg</v>
      </c>
      <c r="V40" s="43" t="s">
        <v>1478</v>
      </c>
      <c r="W40" s="43"/>
      <c r="X40" s="70" t="s">
        <v>821</v>
      </c>
      <c r="Y40" s="70" t="s">
        <v>423</v>
      </c>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row>
    <row r="41" spans="1:64" s="9" customFormat="1" ht="15.75" customHeight="1">
      <c r="A41" s="43" t="s">
        <v>1203</v>
      </c>
      <c r="B41" s="43" t="s">
        <v>1353</v>
      </c>
      <c r="C41" s="43" t="s">
        <v>1354</v>
      </c>
      <c r="D41" s="43" t="s">
        <v>1479</v>
      </c>
      <c r="E41" s="43" t="s">
        <v>1355</v>
      </c>
      <c r="F41" s="43"/>
      <c r="G41" s="43" t="s">
        <v>1204</v>
      </c>
      <c r="H41" s="43" t="s">
        <v>2277</v>
      </c>
      <c r="I41" s="71"/>
      <c r="J41" s="53" t="s">
        <v>2350</v>
      </c>
      <c r="K41" s="43">
        <v>2011</v>
      </c>
      <c r="L41" s="43" t="s">
        <v>413</v>
      </c>
      <c r="M41" s="43" t="s">
        <v>2377</v>
      </c>
      <c r="N41" s="14" t="b">
        <v>1</v>
      </c>
      <c r="O41" s="68" t="s">
        <v>1480</v>
      </c>
      <c r="P41" s="43" t="s">
        <v>2431</v>
      </c>
      <c r="Q41" s="87">
        <v>2011</v>
      </c>
      <c r="R41" s="43"/>
      <c r="S41" s="43" t="s">
        <v>1481</v>
      </c>
      <c r="T41" s="14"/>
      <c r="U41" s="43" t="str">
        <f t="shared" si="0"/>
        <v>/assets/projects/bock2011.jpg</v>
      </c>
      <c r="V41" s="43" t="s">
        <v>1013</v>
      </c>
      <c r="W41" s="43"/>
      <c r="X41" s="70" t="s">
        <v>1356</v>
      </c>
      <c r="Y41" s="70" t="s">
        <v>423</v>
      </c>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row>
    <row r="42" spans="1:64" ht="17.25" customHeight="1">
      <c r="A42" s="14"/>
      <c r="B42" s="14"/>
      <c r="C42" s="14"/>
      <c r="D42" s="14"/>
      <c r="E42" s="14"/>
      <c r="F42" s="14"/>
      <c r="G42" s="14"/>
      <c r="H42" s="14"/>
      <c r="I42" s="14"/>
      <c r="J42" s="14"/>
      <c r="K42" s="15"/>
      <c r="L42" s="14"/>
      <c r="M42" s="14"/>
      <c r="N42" s="14"/>
      <c r="O42" s="14"/>
      <c r="P42" s="14"/>
      <c r="Q42" s="15"/>
      <c r="R42" s="14"/>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row>
    <row r="43" spans="1:64" ht="17.25" customHeight="1">
      <c r="A43" s="14"/>
      <c r="B43" s="14"/>
      <c r="C43" s="14"/>
      <c r="D43" s="14"/>
      <c r="E43" s="14"/>
      <c r="F43" s="14"/>
      <c r="G43" s="14"/>
      <c r="H43" s="14"/>
      <c r="I43" s="14"/>
      <c r="J43" s="14"/>
      <c r="K43" s="15"/>
      <c r="L43" s="14"/>
      <c r="M43" s="14"/>
      <c r="N43" s="14"/>
      <c r="O43" s="14"/>
      <c r="P43" s="14"/>
      <c r="Q43" s="15"/>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row>
    <row r="44" spans="1:64" s="9" customFormat="1" ht="15.75" customHeight="1">
      <c r="A44" s="43"/>
      <c r="B44" s="14"/>
      <c r="C44" s="14"/>
      <c r="D44" s="14"/>
      <c r="E44" s="14"/>
      <c r="F44" s="14"/>
      <c r="G44" s="14"/>
      <c r="H44" s="14"/>
      <c r="I44" s="14"/>
      <c r="J44" s="14"/>
      <c r="K44" s="15"/>
      <c r="L44" s="14"/>
      <c r="M44" s="14"/>
      <c r="N44" s="14"/>
      <c r="O44" s="14"/>
      <c r="P44" s="14"/>
      <c r="Q44" s="15"/>
      <c r="R44" s="14"/>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row>
    <row r="45" spans="1:64" s="9" customFormat="1" ht="15.75" customHeight="1">
      <c r="A45" s="43"/>
      <c r="B45" s="14"/>
      <c r="C45" s="14"/>
      <c r="D45" s="14"/>
      <c r="E45" s="14"/>
      <c r="F45" s="14"/>
      <c r="G45" s="14"/>
      <c r="H45" s="14"/>
      <c r="I45" s="14"/>
      <c r="J45" s="14"/>
      <c r="K45" s="15"/>
      <c r="L45" s="14"/>
      <c r="M45" s="14"/>
      <c r="N45" s="14"/>
      <c r="O45" s="14"/>
      <c r="P45" s="14"/>
      <c r="Q45" s="15"/>
      <c r="R45" s="14"/>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row>
    <row r="46" spans="1:64" s="9" customFormat="1" ht="15.75" customHeight="1">
      <c r="A46" s="43"/>
      <c r="B46" s="14"/>
      <c r="C46" s="14"/>
      <c r="D46" s="14"/>
      <c r="E46" s="14"/>
      <c r="F46" s="14"/>
      <c r="G46" s="14"/>
      <c r="H46" s="14"/>
      <c r="I46" s="14"/>
      <c r="J46" s="14"/>
      <c r="K46" s="15"/>
      <c r="L46" s="14"/>
      <c r="M46" s="14"/>
      <c r="N46" s="14"/>
      <c r="O46" s="14"/>
      <c r="P46" s="14"/>
      <c r="Q46" s="15"/>
      <c r="R46" s="14"/>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row>
    <row r="47" spans="1:64" s="9" customFormat="1" ht="15.75" customHeight="1">
      <c r="A47" s="43"/>
      <c r="B47" s="43"/>
      <c r="C47" s="43"/>
      <c r="D47" s="43"/>
      <c r="E47" s="43"/>
      <c r="F47" s="43"/>
      <c r="G47" s="43"/>
      <c r="H47" s="43"/>
      <c r="I47" s="43"/>
      <c r="J47" s="43"/>
      <c r="K47" s="69"/>
      <c r="L47" s="43"/>
      <c r="M47" s="43"/>
      <c r="N47" s="43"/>
      <c r="O47" s="43"/>
      <c r="P47" s="43"/>
      <c r="Q47" s="69"/>
      <c r="R47" s="43"/>
      <c r="S47" s="43"/>
      <c r="T47" s="43"/>
      <c r="U47" s="43"/>
      <c r="V47" s="43"/>
      <c r="W47" s="43"/>
      <c r="X47" s="43"/>
      <c r="Y47" s="43"/>
      <c r="Z47" s="43"/>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row>
    <row r="48" spans="1:64" ht="15.75" customHeight="1">
      <c r="A48" s="14"/>
      <c r="B48" s="14"/>
      <c r="C48" s="14"/>
      <c r="D48" s="43"/>
      <c r="E48" s="14"/>
      <c r="F48" s="14"/>
      <c r="G48" s="14"/>
      <c r="H48" s="14"/>
      <c r="I48" s="14"/>
      <c r="J48" s="14"/>
      <c r="K48" s="15"/>
      <c r="L48" s="14"/>
      <c r="M48" s="14"/>
      <c r="N48" s="14"/>
      <c r="O48" s="14"/>
      <c r="P48" s="14"/>
      <c r="Q48" s="15"/>
      <c r="R48" s="14"/>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row>
    <row r="49" spans="1:64" ht="15.75" customHeight="1">
      <c r="A49" s="14"/>
      <c r="B49" s="14"/>
      <c r="C49" s="14"/>
      <c r="D49" s="43"/>
      <c r="E49" s="14"/>
      <c r="F49" s="14"/>
      <c r="G49" s="14"/>
      <c r="H49" s="14"/>
      <c r="I49" s="14"/>
      <c r="J49" s="14"/>
      <c r="K49" s="15"/>
      <c r="L49" s="14"/>
      <c r="M49" s="14"/>
      <c r="N49" s="14"/>
      <c r="O49" s="14"/>
      <c r="P49" s="14"/>
      <c r="Q49" s="15"/>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row>
    <row r="50" spans="1:64" ht="15.75" customHeight="1">
      <c r="A50" s="14"/>
      <c r="B50" s="14"/>
      <c r="C50" s="14"/>
      <c r="D50" s="43"/>
      <c r="E50" s="14"/>
      <c r="F50" s="14"/>
      <c r="G50" s="14"/>
      <c r="H50" s="14"/>
      <c r="I50" s="14"/>
      <c r="J50" s="14"/>
      <c r="K50" s="15"/>
      <c r="L50" s="14"/>
      <c r="M50" s="14"/>
      <c r="N50" s="14"/>
      <c r="O50" s="14"/>
      <c r="P50" s="14"/>
      <c r="Q50" s="15"/>
      <c r="R50" s="14"/>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row>
    <row r="51" spans="1:64">
      <c r="A51" s="14"/>
      <c r="B51" s="14"/>
      <c r="C51" s="14"/>
      <c r="D51" s="14"/>
      <c r="E51" s="14"/>
      <c r="F51" s="14"/>
      <c r="G51" s="14"/>
      <c r="H51" s="14"/>
      <c r="I51" s="14"/>
      <c r="J51" s="14"/>
      <c r="K51" s="15"/>
      <c r="L51" s="14"/>
      <c r="M51" s="14"/>
      <c r="N51" s="14"/>
      <c r="O51" s="14"/>
      <c r="P51" s="14"/>
      <c r="Q51" s="15"/>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row>
    <row r="52" spans="1:64">
      <c r="A52" s="14"/>
      <c r="B52" s="14"/>
      <c r="C52" s="14"/>
      <c r="D52" s="14"/>
      <c r="E52" s="14"/>
      <c r="F52" s="14"/>
      <c r="G52" s="14"/>
      <c r="H52" s="14"/>
      <c r="I52" s="14"/>
      <c r="J52" s="14"/>
      <c r="K52" s="15"/>
      <c r="L52" s="14"/>
      <c r="M52" s="14"/>
      <c r="N52" s="14"/>
      <c r="O52" s="14"/>
      <c r="P52" s="14"/>
      <c r="Q52" s="15"/>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row>
    <row r="53" spans="1:64">
      <c r="A53" s="14"/>
      <c r="B53" s="14"/>
      <c r="C53" s="14"/>
      <c r="D53" s="14"/>
      <c r="E53" s="14"/>
      <c r="F53" s="14"/>
      <c r="G53" s="14"/>
      <c r="H53" s="14"/>
      <c r="I53" s="14"/>
      <c r="J53" s="14"/>
      <c r="K53" s="15"/>
      <c r="L53" s="14"/>
      <c r="M53" s="14"/>
      <c r="N53" s="14"/>
      <c r="O53" s="14"/>
      <c r="P53" s="14"/>
      <c r="Q53" s="15"/>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row>
    <row r="54" spans="1:64">
      <c r="A54" s="14"/>
      <c r="B54" s="14"/>
      <c r="C54" s="14"/>
      <c r="D54" s="14"/>
      <c r="E54" s="14"/>
      <c r="F54" s="14"/>
      <c r="G54" s="14"/>
      <c r="H54" s="14"/>
      <c r="I54" s="14"/>
      <c r="J54" s="14"/>
      <c r="K54" s="15"/>
      <c r="L54" s="14"/>
      <c r="M54" s="14"/>
      <c r="N54" s="14"/>
      <c r="O54" s="14"/>
      <c r="P54" s="14"/>
      <c r="Q54" s="15"/>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row>
    <row r="55" spans="1:64">
      <c r="A55" s="14"/>
      <c r="B55" s="14"/>
      <c r="C55" s="14"/>
      <c r="D55" s="14"/>
      <c r="E55" s="14"/>
      <c r="F55" s="14"/>
      <c r="G55" s="14"/>
      <c r="H55" s="14"/>
      <c r="I55" s="14"/>
      <c r="J55" s="14"/>
      <c r="K55" s="15"/>
      <c r="L55" s="14"/>
      <c r="M55" s="14"/>
      <c r="N55" s="14"/>
      <c r="O55" s="14"/>
      <c r="P55" s="14"/>
      <c r="Q55" s="15"/>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row>
    <row r="56" spans="1:64">
      <c r="A56" s="14"/>
      <c r="B56" s="14"/>
      <c r="C56" s="14"/>
      <c r="D56" s="14"/>
      <c r="E56" s="14"/>
      <c r="F56" s="14"/>
      <c r="G56" s="14"/>
      <c r="H56" s="14"/>
      <c r="I56" s="14"/>
      <c r="J56" s="14"/>
      <c r="K56" s="15"/>
      <c r="L56" s="14"/>
      <c r="M56" s="14"/>
      <c r="N56" s="14"/>
      <c r="O56" s="14"/>
      <c r="P56" s="14"/>
      <c r="Q56" s="15"/>
      <c r="R56" s="14"/>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row>
    <row r="57" spans="1:64">
      <c r="A57" s="14"/>
      <c r="B57" s="14"/>
      <c r="C57" s="14"/>
      <c r="D57" s="14"/>
      <c r="E57" s="14"/>
      <c r="F57" s="14"/>
      <c r="G57" s="14"/>
      <c r="H57" s="14"/>
      <c r="I57" s="14"/>
      <c r="J57" s="14"/>
      <c r="K57" s="15"/>
      <c r="L57" s="14"/>
      <c r="M57" s="14"/>
      <c r="N57" s="14"/>
      <c r="O57" s="14"/>
      <c r="P57" s="14"/>
      <c r="Q57" s="15"/>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row>
    <row r="58" spans="1:64">
      <c r="A58" s="14"/>
      <c r="B58" s="14"/>
      <c r="C58" s="14"/>
      <c r="D58" s="14"/>
      <c r="E58" s="14"/>
      <c r="F58" s="14"/>
      <c r="G58" s="14"/>
      <c r="H58" s="14"/>
      <c r="I58" s="14"/>
      <c r="J58" s="14"/>
      <c r="K58" s="15"/>
      <c r="L58" s="14"/>
      <c r="M58" s="14"/>
      <c r="N58" s="14"/>
      <c r="O58" s="14"/>
      <c r="P58" s="14"/>
      <c r="Q58" s="15"/>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row>
    <row r="59" spans="1:64">
      <c r="A59" s="14"/>
      <c r="B59" s="14"/>
      <c r="C59" s="14"/>
      <c r="D59" s="14"/>
      <c r="E59" s="14"/>
      <c r="F59" s="14"/>
      <c r="G59" s="14"/>
      <c r="H59" s="14"/>
      <c r="I59" s="14"/>
      <c r="J59" s="14"/>
      <c r="K59" s="15"/>
      <c r="L59" s="14"/>
      <c r="M59" s="14"/>
      <c r="N59" s="14"/>
      <c r="O59" s="14"/>
      <c r="P59" s="14"/>
      <c r="Q59" s="15"/>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row>
    <row r="60" spans="1:64">
      <c r="A60" s="14"/>
      <c r="B60" s="14"/>
      <c r="C60" s="14"/>
      <c r="D60" s="14"/>
      <c r="E60" s="14"/>
      <c r="F60" s="14"/>
      <c r="G60" s="14"/>
      <c r="H60" s="14"/>
      <c r="I60" s="14"/>
      <c r="J60" s="14"/>
      <c r="K60" s="15"/>
      <c r="L60" s="14"/>
      <c r="M60" s="14"/>
      <c r="N60" s="14"/>
      <c r="O60" s="14"/>
      <c r="P60" s="14"/>
      <c r="Q60" s="15"/>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row>
    <row r="61" spans="1:64">
      <c r="A61" s="14"/>
      <c r="B61" s="14"/>
      <c r="C61" s="14"/>
      <c r="D61" s="14"/>
      <c r="E61" s="14"/>
      <c r="F61" s="14"/>
      <c r="G61" s="14"/>
      <c r="H61" s="14"/>
      <c r="I61" s="14"/>
      <c r="J61" s="14"/>
      <c r="K61" s="15"/>
      <c r="L61" s="14"/>
      <c r="M61" s="14"/>
      <c r="N61" s="14"/>
      <c r="O61" s="14"/>
      <c r="P61" s="14"/>
      <c r="Q61" s="15"/>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row>
    <row r="62" spans="1:64">
      <c r="A62" s="14"/>
      <c r="B62" s="14"/>
      <c r="C62" s="14"/>
      <c r="D62" s="14"/>
      <c r="E62" s="14"/>
      <c r="F62" s="14"/>
      <c r="G62" s="14"/>
      <c r="H62" s="14"/>
      <c r="I62" s="14"/>
      <c r="J62" s="14"/>
      <c r="K62" s="15"/>
      <c r="L62" s="14"/>
      <c r="M62" s="14"/>
      <c r="N62" s="14"/>
      <c r="O62" s="14"/>
      <c r="P62" s="14"/>
      <c r="Q62" s="15"/>
      <c r="R62" s="14"/>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row>
    <row r="63" spans="1:64">
      <c r="A63" s="14"/>
      <c r="B63" s="14"/>
      <c r="C63" s="14"/>
      <c r="D63" s="14"/>
      <c r="E63" s="14"/>
      <c r="F63" s="14"/>
      <c r="G63" s="14"/>
      <c r="H63" s="14"/>
      <c r="I63" s="14"/>
      <c r="J63" s="14"/>
      <c r="K63" s="15"/>
      <c r="L63" s="14"/>
      <c r="M63" s="14"/>
      <c r="N63" s="14"/>
      <c r="O63" s="14"/>
      <c r="P63" s="14"/>
      <c r="Q63" s="15"/>
      <c r="R63" s="14"/>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row>
    <row r="64" spans="1:64">
      <c r="A64" s="14"/>
      <c r="B64" s="14"/>
      <c r="C64" s="14"/>
      <c r="D64" s="14"/>
      <c r="E64" s="14"/>
      <c r="F64" s="14"/>
      <c r="G64" s="14"/>
      <c r="H64" s="14"/>
      <c r="I64" s="14"/>
      <c r="J64" s="14"/>
      <c r="K64" s="15"/>
      <c r="L64" s="14"/>
      <c r="M64" s="14"/>
      <c r="N64" s="14"/>
      <c r="O64" s="14"/>
      <c r="P64" s="14"/>
      <c r="Q64" s="15"/>
      <c r="R64" s="14"/>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row>
    <row r="65" spans="1:64">
      <c r="A65" s="14"/>
      <c r="B65" s="14"/>
      <c r="C65" s="14"/>
      <c r="D65" s="14"/>
      <c r="E65" s="14"/>
      <c r="F65" s="14"/>
      <c r="G65" s="14"/>
      <c r="H65" s="14"/>
      <c r="I65" s="14"/>
      <c r="J65" s="14"/>
      <c r="K65" s="15"/>
      <c r="L65" s="14"/>
      <c r="M65" s="14"/>
      <c r="N65" s="14"/>
      <c r="O65" s="14"/>
      <c r="P65" s="14"/>
      <c r="Q65" s="15"/>
      <c r="R65" s="14"/>
      <c r="S65" s="14"/>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row>
    <row r="66" spans="1:64">
      <c r="A66" s="14"/>
      <c r="B66" s="14"/>
      <c r="C66" s="14"/>
      <c r="D66" s="14"/>
      <c r="E66" s="14"/>
      <c r="F66" s="14"/>
      <c r="G66" s="14"/>
      <c r="H66" s="14"/>
      <c r="I66" s="14"/>
      <c r="J66" s="14"/>
      <c r="K66" s="15"/>
      <c r="L66" s="14"/>
      <c r="M66" s="14"/>
      <c r="N66" s="14"/>
      <c r="O66" s="14"/>
      <c r="P66" s="14"/>
      <c r="Q66" s="15"/>
      <c r="R66" s="14"/>
      <c r="S66" s="14"/>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row>
    <row r="67" spans="1:64">
      <c r="A67" s="14"/>
      <c r="B67" s="14"/>
      <c r="C67" s="14"/>
      <c r="D67" s="14"/>
      <c r="E67" s="14"/>
      <c r="F67" s="14"/>
      <c r="G67" s="14"/>
      <c r="H67" s="14"/>
      <c r="I67" s="14"/>
      <c r="J67" s="14"/>
      <c r="K67" s="15"/>
      <c r="L67" s="14"/>
      <c r="M67" s="14"/>
      <c r="N67" s="14"/>
      <c r="O67" s="14"/>
      <c r="P67" s="14"/>
      <c r="Q67" s="15"/>
      <c r="R67" s="14"/>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row>
    <row r="68" spans="1:64">
      <c r="A68" s="14"/>
      <c r="B68" s="14"/>
      <c r="C68" s="14"/>
      <c r="D68" s="14"/>
      <c r="E68" s="14"/>
      <c r="F68" s="14"/>
      <c r="G68" s="14"/>
      <c r="H68" s="14"/>
      <c r="I68" s="14"/>
      <c r="J68" s="14"/>
      <c r="K68" s="15"/>
      <c r="L68" s="14"/>
      <c r="M68" s="14"/>
      <c r="N68" s="14"/>
      <c r="O68" s="14"/>
      <c r="P68" s="14"/>
      <c r="Q68" s="15"/>
      <c r="R68" s="14"/>
      <c r="S68" s="14"/>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row>
    <row r="69" spans="1:64">
      <c r="A69" s="14"/>
      <c r="B69" s="14"/>
      <c r="C69" s="14"/>
      <c r="D69" s="14"/>
      <c r="E69" s="14"/>
      <c r="F69" s="14"/>
      <c r="G69" s="14"/>
      <c r="H69" s="14"/>
      <c r="I69" s="14"/>
      <c r="J69" s="14"/>
      <c r="K69" s="15"/>
      <c r="L69" s="14"/>
      <c r="M69" s="14"/>
      <c r="N69" s="14"/>
      <c r="O69" s="14"/>
      <c r="P69" s="14"/>
      <c r="Q69" s="15"/>
      <c r="R69" s="14"/>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row>
    <row r="70" spans="1:64">
      <c r="A70" s="14"/>
      <c r="B70" s="14"/>
      <c r="C70" s="14"/>
      <c r="D70" s="14"/>
      <c r="E70" s="14"/>
      <c r="F70" s="14"/>
      <c r="G70" s="14"/>
      <c r="H70" s="14"/>
      <c r="I70" s="14"/>
      <c r="J70" s="14"/>
      <c r="K70" s="15"/>
      <c r="L70" s="14"/>
      <c r="M70" s="14"/>
      <c r="N70" s="14"/>
      <c r="O70" s="14"/>
      <c r="P70" s="14"/>
      <c r="Q70" s="15"/>
      <c r="R70" s="14"/>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row>
    <row r="71" spans="1:64">
      <c r="A71" s="14"/>
      <c r="B71" s="14"/>
      <c r="C71" s="14"/>
      <c r="D71" s="14"/>
      <c r="E71" s="14"/>
      <c r="F71" s="14"/>
      <c r="G71" s="14"/>
      <c r="H71" s="14"/>
      <c r="I71" s="14"/>
      <c r="J71" s="14"/>
      <c r="K71" s="15"/>
      <c r="L71" s="14"/>
      <c r="M71" s="14"/>
      <c r="N71" s="14"/>
      <c r="O71" s="14"/>
      <c r="P71" s="14"/>
      <c r="Q71" s="15"/>
      <c r="R71" s="14"/>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row>
    <row r="72" spans="1:64">
      <c r="A72" s="14"/>
      <c r="B72" s="14"/>
      <c r="C72" s="14"/>
      <c r="D72" s="14"/>
      <c r="E72" s="14"/>
      <c r="F72" s="14"/>
      <c r="G72" s="14"/>
      <c r="H72" s="14"/>
      <c r="I72" s="14"/>
      <c r="J72" s="14"/>
      <c r="K72" s="15"/>
      <c r="L72" s="14"/>
      <c r="M72" s="14"/>
      <c r="N72" s="14"/>
      <c r="O72" s="14"/>
      <c r="P72" s="14"/>
      <c r="Q72" s="15"/>
      <c r="R72" s="14"/>
      <c r="S72" s="14"/>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row>
    <row r="73" spans="1:64">
      <c r="A73" s="14"/>
      <c r="B73" s="14"/>
      <c r="C73" s="14"/>
      <c r="D73" s="14"/>
      <c r="E73" s="14"/>
      <c r="F73" s="14"/>
      <c r="G73" s="14"/>
      <c r="H73" s="14"/>
      <c r="I73" s="14"/>
      <c r="J73" s="14"/>
      <c r="K73" s="15"/>
      <c r="L73" s="14"/>
      <c r="M73" s="14"/>
      <c r="N73" s="14"/>
      <c r="O73" s="14"/>
      <c r="P73" s="14"/>
      <c r="Q73" s="15"/>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row>
    <row r="74" spans="1:64">
      <c r="A74" s="14"/>
      <c r="B74" s="14"/>
      <c r="C74" s="14"/>
      <c r="D74" s="14"/>
      <c r="E74" s="14"/>
      <c r="F74" s="14"/>
      <c r="G74" s="14"/>
      <c r="H74" s="14"/>
      <c r="I74" s="14"/>
      <c r="J74" s="14"/>
      <c r="K74" s="15"/>
      <c r="L74" s="14"/>
      <c r="M74" s="14"/>
      <c r="N74" s="14"/>
      <c r="O74" s="14"/>
      <c r="P74" s="14"/>
      <c r="Q74" s="15"/>
      <c r="R74" s="14"/>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row>
    <row r="75" spans="1:64">
      <c r="A75" s="14"/>
      <c r="B75" s="14"/>
      <c r="C75" s="14"/>
      <c r="D75" s="14"/>
      <c r="E75" s="14"/>
      <c r="F75" s="14"/>
      <c r="G75" s="14"/>
      <c r="H75" s="14"/>
      <c r="I75" s="14"/>
      <c r="J75" s="14"/>
      <c r="K75" s="15"/>
      <c r="L75" s="14"/>
      <c r="M75" s="14"/>
      <c r="N75" s="14"/>
      <c r="O75" s="14"/>
      <c r="P75" s="14"/>
      <c r="Q75" s="15"/>
      <c r="R75" s="14"/>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row>
    <row r="76" spans="1:64">
      <c r="A76" s="14"/>
      <c r="B76" s="14"/>
      <c r="C76" s="14"/>
      <c r="D76" s="14"/>
      <c r="E76" s="14"/>
      <c r="F76" s="14"/>
      <c r="G76" s="14"/>
      <c r="H76" s="14"/>
      <c r="I76" s="14"/>
      <c r="J76" s="14"/>
      <c r="K76" s="15"/>
      <c r="L76" s="14"/>
      <c r="M76" s="14"/>
      <c r="N76" s="14"/>
      <c r="O76" s="14"/>
      <c r="P76" s="14"/>
      <c r="Q76" s="15"/>
      <c r="R76" s="14"/>
      <c r="S76" s="14"/>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row>
    <row r="77" spans="1:64">
      <c r="A77" s="14"/>
      <c r="B77" s="14"/>
      <c r="C77" s="14"/>
      <c r="D77" s="14"/>
      <c r="E77" s="14"/>
      <c r="F77" s="14"/>
      <c r="G77" s="14"/>
      <c r="H77" s="14"/>
      <c r="I77" s="14"/>
      <c r="J77" s="14"/>
      <c r="K77" s="15"/>
      <c r="L77" s="14"/>
      <c r="M77" s="14"/>
      <c r="N77" s="14"/>
      <c r="O77" s="14"/>
      <c r="P77" s="14"/>
      <c r="Q77" s="15"/>
      <c r="R77" s="14"/>
      <c r="S77" s="14"/>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row>
    <row r="78" spans="1:64">
      <c r="A78" s="14"/>
      <c r="B78" s="14"/>
      <c r="C78" s="14"/>
      <c r="D78" s="14"/>
      <c r="E78" s="14"/>
      <c r="F78" s="14"/>
      <c r="G78" s="14"/>
      <c r="H78" s="14"/>
      <c r="I78" s="14"/>
      <c r="J78" s="14"/>
      <c r="K78" s="15"/>
      <c r="L78" s="14"/>
      <c r="M78" s="14"/>
      <c r="N78" s="14"/>
      <c r="O78" s="14"/>
      <c r="P78" s="14"/>
      <c r="Q78" s="15"/>
      <c r="R78" s="14"/>
      <c r="S78" s="14"/>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row>
    <row r="79" spans="1:64">
      <c r="A79" s="14"/>
      <c r="B79" s="14"/>
      <c r="C79" s="14"/>
      <c r="D79" s="14"/>
      <c r="E79" s="14"/>
      <c r="F79" s="14"/>
      <c r="G79" s="14"/>
      <c r="H79" s="14"/>
      <c r="I79" s="14"/>
      <c r="J79" s="14"/>
      <c r="K79" s="15"/>
      <c r="L79" s="14"/>
      <c r="M79" s="14"/>
      <c r="N79" s="14"/>
      <c r="O79" s="14"/>
      <c r="P79" s="14"/>
      <c r="Q79" s="15"/>
      <c r="R79" s="14"/>
      <c r="S79" s="14"/>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row>
    <row r="80" spans="1:64">
      <c r="A80" s="14"/>
      <c r="B80" s="14"/>
      <c r="C80" s="14"/>
      <c r="D80" s="14"/>
      <c r="E80" s="14"/>
      <c r="F80" s="14"/>
      <c r="G80" s="14"/>
      <c r="H80" s="14"/>
      <c r="I80" s="14"/>
      <c r="J80" s="14"/>
      <c r="K80" s="15"/>
      <c r="L80" s="14"/>
      <c r="M80" s="14"/>
      <c r="N80" s="14"/>
      <c r="O80" s="14"/>
      <c r="P80" s="14"/>
      <c r="Q80" s="15"/>
      <c r="R80" s="14"/>
      <c r="S80" s="14"/>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row>
    <row r="81" spans="1:64">
      <c r="A81" s="14"/>
      <c r="B81" s="14"/>
      <c r="C81" s="14"/>
      <c r="D81" s="14"/>
      <c r="E81" s="14"/>
      <c r="F81" s="14"/>
      <c r="G81" s="14"/>
      <c r="H81" s="14"/>
      <c r="I81" s="14"/>
      <c r="J81" s="14"/>
      <c r="K81" s="15"/>
      <c r="L81" s="14"/>
      <c r="M81" s="14"/>
      <c r="N81" s="14"/>
      <c r="O81" s="14"/>
      <c r="P81" s="14"/>
      <c r="Q81" s="15"/>
      <c r="R81" s="14"/>
      <c r="S81" s="14"/>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row>
    <row r="82" spans="1:64">
      <c r="A82" s="14"/>
      <c r="B82" s="14"/>
      <c r="C82" s="14"/>
      <c r="D82" s="14"/>
      <c r="E82" s="14"/>
      <c r="F82" s="14"/>
      <c r="G82" s="14"/>
      <c r="H82" s="14"/>
      <c r="I82" s="14"/>
      <c r="J82" s="14"/>
      <c r="K82" s="15"/>
      <c r="L82" s="14"/>
      <c r="M82" s="14"/>
      <c r="N82" s="14"/>
      <c r="O82" s="14"/>
      <c r="P82" s="14"/>
      <c r="Q82" s="15"/>
      <c r="R82" s="14"/>
      <c r="S82" s="14"/>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row>
    <row r="83" spans="1:64">
      <c r="A83" s="14"/>
      <c r="B83" s="14"/>
      <c r="C83" s="14"/>
      <c r="D83" s="14"/>
      <c r="E83" s="14"/>
      <c r="F83" s="14"/>
      <c r="G83" s="14"/>
      <c r="H83" s="14"/>
      <c r="I83" s="14"/>
      <c r="J83" s="14"/>
      <c r="K83" s="15"/>
      <c r="L83" s="14"/>
      <c r="M83" s="14"/>
      <c r="N83" s="14"/>
      <c r="O83" s="14"/>
      <c r="P83" s="14"/>
      <c r="Q83" s="15"/>
      <c r="R83" s="14"/>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row>
    <row r="84" spans="1:64">
      <c r="A84" s="14"/>
      <c r="B84" s="14"/>
      <c r="C84" s="14"/>
      <c r="D84" s="14"/>
      <c r="E84" s="14"/>
      <c r="F84" s="14"/>
      <c r="G84" s="14"/>
      <c r="H84" s="14"/>
      <c r="I84" s="14"/>
      <c r="J84" s="14"/>
      <c r="K84" s="15"/>
      <c r="L84" s="14"/>
      <c r="M84" s="14"/>
      <c r="N84" s="14"/>
      <c r="O84" s="14"/>
      <c r="P84" s="14"/>
      <c r="Q84" s="15"/>
      <c r="R84" s="14"/>
      <c r="S84" s="14"/>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row>
    <row r="85" spans="1:64">
      <c r="A85" s="14"/>
      <c r="B85" s="14"/>
      <c r="C85" s="14"/>
      <c r="D85" s="14"/>
      <c r="E85" s="14"/>
      <c r="F85" s="14"/>
      <c r="G85" s="14"/>
      <c r="H85" s="14"/>
      <c r="I85" s="14"/>
      <c r="J85" s="14"/>
      <c r="K85" s="15"/>
      <c r="L85" s="14"/>
      <c r="M85" s="14"/>
      <c r="N85" s="14"/>
      <c r="O85" s="14"/>
      <c r="P85" s="14"/>
      <c r="Q85" s="15"/>
      <c r="R85" s="14"/>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row>
    <row r="86" spans="1:64">
      <c r="A86" s="14"/>
      <c r="B86" s="14"/>
      <c r="C86" s="14"/>
      <c r="D86" s="14"/>
      <c r="E86" s="14"/>
      <c r="F86" s="14"/>
      <c r="G86" s="14"/>
      <c r="H86" s="14"/>
      <c r="I86" s="14"/>
      <c r="J86" s="14"/>
      <c r="K86" s="15"/>
      <c r="L86" s="14"/>
      <c r="M86" s="14"/>
      <c r="N86" s="14"/>
      <c r="O86" s="14"/>
      <c r="P86" s="14"/>
      <c r="Q86" s="15"/>
      <c r="R86" s="14"/>
      <c r="S86" s="14"/>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row>
    <row r="87" spans="1:64">
      <c r="A87" s="14"/>
      <c r="B87" s="14"/>
      <c r="C87" s="14"/>
      <c r="D87" s="14"/>
      <c r="E87" s="14"/>
      <c r="F87" s="14"/>
      <c r="G87" s="14"/>
      <c r="H87" s="14"/>
      <c r="I87" s="14"/>
      <c r="J87" s="14"/>
      <c r="K87" s="15"/>
      <c r="L87" s="14"/>
      <c r="M87" s="14"/>
      <c r="N87" s="14"/>
      <c r="O87" s="14"/>
      <c r="P87" s="14"/>
      <c r="Q87" s="15"/>
      <c r="R87" s="14"/>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row>
    <row r="88" spans="1:64">
      <c r="A88" s="14"/>
      <c r="B88" s="14"/>
      <c r="C88" s="14"/>
      <c r="D88" s="14"/>
      <c r="E88" s="14"/>
      <c r="F88" s="14"/>
      <c r="G88" s="14"/>
      <c r="H88" s="14"/>
      <c r="I88" s="14"/>
      <c r="J88" s="14"/>
      <c r="K88" s="15"/>
      <c r="L88" s="14"/>
      <c r="M88" s="14"/>
      <c r="N88" s="14"/>
      <c r="O88" s="14"/>
      <c r="P88" s="14"/>
      <c r="Q88" s="15"/>
      <c r="R88" s="14"/>
      <c r="S88" s="14"/>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row>
    <row r="89" spans="1:64">
      <c r="A89" s="14"/>
      <c r="B89" s="14"/>
      <c r="C89" s="14"/>
      <c r="D89" s="14"/>
      <c r="E89" s="14"/>
      <c r="F89" s="14"/>
      <c r="G89" s="14"/>
      <c r="H89" s="14"/>
      <c r="I89" s="14"/>
      <c r="J89" s="14"/>
      <c r="K89" s="15"/>
      <c r="L89" s="14"/>
      <c r="M89" s="14"/>
      <c r="N89" s="14"/>
      <c r="O89" s="14"/>
      <c r="P89" s="14"/>
      <c r="Q89" s="15"/>
      <c r="R89" s="14"/>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row>
    <row r="90" spans="1:64">
      <c r="A90" s="14"/>
      <c r="B90" s="14"/>
      <c r="C90" s="14"/>
      <c r="D90" s="14"/>
      <c r="E90" s="14"/>
      <c r="F90" s="14"/>
      <c r="G90" s="14"/>
      <c r="H90" s="14"/>
      <c r="I90" s="14"/>
      <c r="J90" s="14"/>
      <c r="K90" s="15"/>
      <c r="L90" s="14"/>
      <c r="M90" s="14"/>
      <c r="N90" s="14"/>
      <c r="O90" s="14"/>
      <c r="P90" s="14"/>
      <c r="Q90" s="15"/>
      <c r="R90" s="14"/>
      <c r="S90" s="14"/>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row>
    <row r="91" spans="1:64">
      <c r="A91" s="14"/>
      <c r="B91" s="14"/>
      <c r="C91" s="14"/>
      <c r="D91" s="14"/>
      <c r="E91" s="14"/>
      <c r="F91" s="14"/>
      <c r="G91" s="14"/>
      <c r="H91" s="14"/>
      <c r="I91" s="14"/>
      <c r="J91" s="14"/>
      <c r="K91" s="15"/>
      <c r="L91" s="14"/>
      <c r="M91" s="14"/>
      <c r="N91" s="14"/>
      <c r="O91" s="14"/>
      <c r="P91" s="14"/>
      <c r="Q91" s="15"/>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row>
    <row r="92" spans="1:64">
      <c r="A92" s="14"/>
      <c r="B92" s="14"/>
      <c r="C92" s="14"/>
      <c r="D92" s="14"/>
      <c r="E92" s="14"/>
      <c r="F92" s="14"/>
      <c r="G92" s="14"/>
      <c r="H92" s="14"/>
      <c r="I92" s="14"/>
      <c r="J92" s="14"/>
      <c r="K92" s="15"/>
      <c r="L92" s="14"/>
      <c r="M92" s="14"/>
      <c r="N92" s="14"/>
      <c r="O92" s="14"/>
      <c r="P92" s="14"/>
      <c r="Q92" s="15"/>
      <c r="R92" s="14"/>
      <c r="S92" s="14"/>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row>
    <row r="93" spans="1:64">
      <c r="A93" s="14"/>
      <c r="B93" s="14"/>
      <c r="C93" s="14"/>
      <c r="D93" s="14"/>
      <c r="E93" s="14"/>
      <c r="F93" s="14"/>
      <c r="G93" s="14"/>
      <c r="H93" s="14"/>
      <c r="I93" s="14"/>
      <c r="J93" s="14"/>
      <c r="K93" s="15"/>
      <c r="L93" s="14"/>
      <c r="M93" s="14"/>
      <c r="N93" s="14"/>
      <c r="O93" s="14"/>
      <c r="P93" s="14"/>
      <c r="Q93" s="15"/>
      <c r="R93" s="14"/>
      <c r="S93" s="14"/>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row>
    <row r="94" spans="1:64">
      <c r="A94" s="14"/>
      <c r="B94" s="14"/>
      <c r="C94" s="14"/>
      <c r="D94" s="14"/>
      <c r="E94" s="14"/>
      <c r="F94" s="14"/>
      <c r="G94" s="14"/>
      <c r="H94" s="14"/>
      <c r="I94" s="14"/>
      <c r="J94" s="14"/>
      <c r="K94" s="15"/>
      <c r="L94" s="14"/>
      <c r="M94" s="14"/>
      <c r="N94" s="14"/>
      <c r="O94" s="14"/>
      <c r="P94" s="14"/>
      <c r="Q94" s="15"/>
      <c r="R94" s="14"/>
      <c r="S94" s="14"/>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row>
    <row r="95" spans="1:64">
      <c r="A95" s="14"/>
      <c r="B95" s="14"/>
      <c r="C95" s="14"/>
      <c r="D95" s="14"/>
      <c r="E95" s="14"/>
      <c r="F95" s="14"/>
      <c r="G95" s="14"/>
      <c r="H95" s="14"/>
      <c r="I95" s="14"/>
      <c r="J95" s="14"/>
      <c r="K95" s="15"/>
      <c r="L95" s="14"/>
      <c r="M95" s="14"/>
      <c r="N95" s="14"/>
      <c r="O95" s="14"/>
      <c r="P95" s="14"/>
      <c r="Q95" s="15"/>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row>
    <row r="96" spans="1:64">
      <c r="A96" s="14"/>
      <c r="B96" s="14"/>
      <c r="C96" s="14"/>
      <c r="D96" s="14"/>
      <c r="E96" s="14"/>
      <c r="F96" s="14"/>
      <c r="G96" s="14"/>
      <c r="H96" s="14"/>
      <c r="I96" s="14"/>
      <c r="J96" s="14"/>
      <c r="K96" s="15"/>
      <c r="L96" s="14"/>
      <c r="M96" s="14"/>
      <c r="N96" s="14"/>
      <c r="O96" s="14"/>
      <c r="P96" s="14"/>
      <c r="Q96" s="15"/>
      <c r="R96" s="14"/>
      <c r="S96" s="14"/>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row>
    <row r="97" spans="1:64">
      <c r="A97" s="14"/>
      <c r="B97" s="14"/>
      <c r="C97" s="14"/>
      <c r="D97" s="14"/>
      <c r="E97" s="14"/>
      <c r="F97" s="14"/>
      <c r="G97" s="14"/>
      <c r="H97" s="14"/>
      <c r="I97" s="14"/>
      <c r="J97" s="14"/>
      <c r="K97" s="15"/>
      <c r="L97" s="14"/>
      <c r="M97" s="14"/>
      <c r="N97" s="14"/>
      <c r="O97" s="14"/>
      <c r="P97" s="14"/>
      <c r="Q97" s="15"/>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row>
    <row r="98" spans="1:64">
      <c r="A98" s="14"/>
      <c r="B98" s="14"/>
      <c r="C98" s="14"/>
      <c r="D98" s="14"/>
      <c r="E98" s="14"/>
      <c r="F98" s="14"/>
      <c r="G98" s="14"/>
      <c r="H98" s="14"/>
      <c r="I98" s="14"/>
      <c r="J98" s="14"/>
      <c r="K98" s="15"/>
      <c r="L98" s="14"/>
      <c r="M98" s="14"/>
      <c r="N98" s="14"/>
      <c r="O98" s="14"/>
      <c r="P98" s="14"/>
      <c r="Q98" s="15"/>
      <c r="R98" s="14"/>
      <c r="S98" s="14"/>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row>
    <row r="99" spans="1:64">
      <c r="A99" s="14"/>
      <c r="B99" s="14"/>
      <c r="C99" s="14"/>
      <c r="D99" s="14"/>
      <c r="E99" s="14"/>
      <c r="F99" s="14"/>
      <c r="G99" s="14"/>
      <c r="H99" s="14"/>
      <c r="I99" s="14"/>
      <c r="J99" s="14"/>
      <c r="K99" s="15"/>
      <c r="L99" s="14"/>
      <c r="M99" s="14"/>
      <c r="N99" s="14"/>
      <c r="O99" s="14"/>
      <c r="P99" s="14"/>
      <c r="Q99" s="15"/>
      <c r="R99" s="14"/>
      <c r="S99" s="14"/>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row>
    <row r="100" spans="1:64">
      <c r="A100" s="14"/>
      <c r="B100" s="14"/>
      <c r="C100" s="14"/>
      <c r="D100" s="14"/>
      <c r="E100" s="14"/>
      <c r="F100" s="14"/>
      <c r="G100" s="14"/>
      <c r="H100" s="14"/>
      <c r="I100" s="14"/>
      <c r="J100" s="14"/>
      <c r="K100" s="15"/>
      <c r="L100" s="14"/>
      <c r="M100" s="14"/>
      <c r="N100" s="14"/>
      <c r="O100" s="14"/>
      <c r="P100" s="14"/>
      <c r="Q100" s="15"/>
      <c r="R100" s="14"/>
      <c r="S100" s="14"/>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row>
    <row r="101" spans="1:64">
      <c r="A101" s="14"/>
      <c r="B101" s="14"/>
      <c r="C101" s="14"/>
      <c r="D101" s="14"/>
      <c r="E101" s="14"/>
      <c r="F101" s="14"/>
      <c r="G101" s="14"/>
      <c r="H101" s="14"/>
      <c r="I101" s="14"/>
      <c r="J101" s="14"/>
      <c r="K101" s="15"/>
      <c r="L101" s="14"/>
      <c r="M101" s="14"/>
      <c r="N101" s="14"/>
      <c r="O101" s="14"/>
      <c r="P101" s="14"/>
      <c r="Q101" s="15"/>
      <c r="R101" s="14"/>
      <c r="S101" s="14"/>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row>
    <row r="102" spans="1:64">
      <c r="A102" s="14"/>
      <c r="B102" s="14"/>
      <c r="C102" s="14"/>
      <c r="D102" s="14"/>
      <c r="E102" s="14"/>
      <c r="F102" s="14"/>
      <c r="G102" s="14"/>
      <c r="H102" s="14"/>
      <c r="I102" s="14"/>
      <c r="J102" s="14"/>
      <c r="K102" s="15"/>
      <c r="L102" s="14"/>
      <c r="M102" s="14"/>
      <c r="N102" s="14"/>
      <c r="O102" s="14"/>
      <c r="P102" s="14"/>
      <c r="Q102" s="15"/>
      <c r="R102" s="14"/>
      <c r="S102" s="14"/>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row>
    <row r="103" spans="1:64">
      <c r="A103" s="14"/>
      <c r="B103" s="14"/>
      <c r="C103" s="14"/>
      <c r="D103" s="14"/>
      <c r="E103" s="14"/>
      <c r="F103" s="14"/>
      <c r="G103" s="14"/>
      <c r="H103" s="14"/>
      <c r="I103" s="14"/>
      <c r="J103" s="14"/>
      <c r="K103" s="15"/>
      <c r="L103" s="14"/>
      <c r="M103" s="14"/>
      <c r="N103" s="14"/>
      <c r="O103" s="14"/>
      <c r="P103" s="14"/>
      <c r="Q103" s="15"/>
      <c r="R103" s="14"/>
      <c r="S103" s="14"/>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row>
    <row r="104" spans="1:64">
      <c r="A104" s="14"/>
      <c r="B104" s="14"/>
      <c r="C104" s="14"/>
      <c r="D104" s="14"/>
      <c r="E104" s="14"/>
      <c r="F104" s="14"/>
      <c r="G104" s="14"/>
      <c r="H104" s="14"/>
      <c r="I104" s="14"/>
      <c r="J104" s="14"/>
      <c r="K104" s="15"/>
      <c r="L104" s="14"/>
      <c r="M104" s="14"/>
      <c r="N104" s="14"/>
      <c r="O104" s="14"/>
      <c r="P104" s="14"/>
      <c r="Q104" s="15"/>
      <c r="R104" s="14"/>
      <c r="S104" s="14"/>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row>
    <row r="105" spans="1:64">
      <c r="A105" s="14"/>
      <c r="B105" s="14"/>
      <c r="C105" s="14"/>
      <c r="D105" s="14"/>
      <c r="E105" s="14"/>
      <c r="F105" s="14"/>
      <c r="G105" s="14"/>
      <c r="H105" s="14"/>
      <c r="I105" s="14"/>
      <c r="J105" s="14"/>
      <c r="K105" s="15"/>
      <c r="L105" s="14"/>
      <c r="M105" s="14"/>
      <c r="N105" s="14"/>
      <c r="O105" s="14"/>
      <c r="P105" s="14"/>
      <c r="Q105" s="15"/>
      <c r="R105" s="14"/>
      <c r="S105" s="14"/>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row>
    <row r="106" spans="1:64">
      <c r="A106" s="14"/>
      <c r="B106" s="14"/>
      <c r="C106" s="14"/>
      <c r="D106" s="14"/>
      <c r="E106" s="14"/>
      <c r="F106" s="14"/>
      <c r="G106" s="14"/>
      <c r="H106" s="14"/>
      <c r="I106" s="14"/>
      <c r="J106" s="14"/>
      <c r="K106" s="15"/>
      <c r="L106" s="14"/>
      <c r="M106" s="14"/>
      <c r="N106" s="14"/>
      <c r="O106" s="14"/>
      <c r="P106" s="14"/>
      <c r="Q106" s="15"/>
      <c r="R106" s="14"/>
      <c r="S106" s="14"/>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row>
    <row r="107" spans="1:64">
      <c r="A107" s="14"/>
      <c r="B107" s="14"/>
      <c r="C107" s="14"/>
      <c r="D107" s="14"/>
      <c r="E107" s="14"/>
      <c r="F107" s="14"/>
      <c r="G107" s="14"/>
      <c r="H107" s="14"/>
      <c r="I107" s="14"/>
      <c r="J107" s="14"/>
      <c r="K107" s="15"/>
      <c r="L107" s="14"/>
      <c r="M107" s="14"/>
      <c r="N107" s="14"/>
      <c r="O107" s="14"/>
      <c r="P107" s="14"/>
      <c r="Q107" s="15"/>
      <c r="R107" s="14"/>
      <c r="S107" s="14"/>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c r="AV107" s="14"/>
      <c r="AW107" s="14"/>
      <c r="AX107" s="14"/>
      <c r="AY107" s="14"/>
      <c r="AZ107" s="14"/>
      <c r="BA107" s="14"/>
      <c r="BB107" s="14"/>
      <c r="BC107" s="14"/>
      <c r="BD107" s="14"/>
      <c r="BE107" s="14"/>
      <c r="BF107" s="14"/>
      <c r="BG107" s="14"/>
      <c r="BH107" s="14"/>
      <c r="BI107" s="14"/>
      <c r="BJ107" s="14"/>
      <c r="BK107" s="14"/>
      <c r="BL107" s="14"/>
    </row>
    <row r="108" spans="1:64">
      <c r="A108" s="14"/>
      <c r="B108" s="14"/>
      <c r="C108" s="14"/>
      <c r="D108" s="14"/>
      <c r="E108" s="14"/>
      <c r="F108" s="14"/>
      <c r="G108" s="14"/>
      <c r="H108" s="14"/>
      <c r="I108" s="14"/>
      <c r="J108" s="14"/>
      <c r="K108" s="15"/>
      <c r="L108" s="14"/>
      <c r="M108" s="14"/>
      <c r="N108" s="14"/>
      <c r="O108" s="14"/>
      <c r="P108" s="14"/>
      <c r="Q108" s="15"/>
      <c r="R108" s="14"/>
      <c r="S108" s="14"/>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row>
    <row r="109" spans="1:64">
      <c r="A109" s="14"/>
      <c r="B109" s="14"/>
      <c r="C109" s="14"/>
      <c r="D109" s="14"/>
      <c r="E109" s="14"/>
      <c r="F109" s="14"/>
      <c r="G109" s="14"/>
      <c r="H109" s="14"/>
      <c r="I109" s="14"/>
      <c r="J109" s="14"/>
      <c r="K109" s="15"/>
      <c r="L109" s="14"/>
      <c r="M109" s="14"/>
      <c r="N109" s="14"/>
      <c r="O109" s="14"/>
      <c r="P109" s="14"/>
      <c r="Q109" s="15"/>
      <c r="R109" s="14"/>
      <c r="S109" s="14"/>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c r="AS109" s="14"/>
      <c r="AT109" s="14"/>
      <c r="AU109" s="14"/>
      <c r="AV109" s="14"/>
      <c r="AW109" s="14"/>
      <c r="AX109" s="14"/>
      <c r="AY109" s="14"/>
      <c r="AZ109" s="14"/>
      <c r="BA109" s="14"/>
      <c r="BB109" s="14"/>
      <c r="BC109" s="14"/>
      <c r="BD109" s="14"/>
      <c r="BE109" s="14"/>
      <c r="BF109" s="14"/>
      <c r="BG109" s="14"/>
      <c r="BH109" s="14"/>
      <c r="BI109" s="14"/>
      <c r="BJ109" s="14"/>
      <c r="BK109" s="14"/>
      <c r="BL109" s="14"/>
    </row>
    <row r="110" spans="1:64">
      <c r="A110" s="14"/>
      <c r="B110" s="14"/>
      <c r="C110" s="14"/>
      <c r="D110" s="14"/>
      <c r="E110" s="14"/>
      <c r="F110" s="14"/>
      <c r="G110" s="14"/>
      <c r="H110" s="14"/>
      <c r="I110" s="14"/>
      <c r="J110" s="14"/>
      <c r="K110" s="15"/>
      <c r="L110" s="14"/>
      <c r="M110" s="14"/>
      <c r="N110" s="14"/>
      <c r="O110" s="14"/>
      <c r="P110" s="14"/>
      <c r="Q110" s="15"/>
      <c r="R110" s="14"/>
      <c r="S110" s="14"/>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14"/>
      <c r="AX110" s="14"/>
      <c r="AY110" s="14"/>
      <c r="AZ110" s="14"/>
      <c r="BA110" s="14"/>
      <c r="BB110" s="14"/>
      <c r="BC110" s="14"/>
      <c r="BD110" s="14"/>
      <c r="BE110" s="14"/>
      <c r="BF110" s="14"/>
      <c r="BG110" s="14"/>
      <c r="BH110" s="14"/>
      <c r="BI110" s="14"/>
      <c r="BJ110" s="14"/>
      <c r="BK110" s="14"/>
      <c r="BL110" s="14"/>
    </row>
    <row r="111" spans="1:64">
      <c r="A111" s="14"/>
      <c r="B111" s="14"/>
      <c r="C111" s="14"/>
      <c r="D111" s="14"/>
      <c r="E111" s="14"/>
      <c r="F111" s="14"/>
      <c r="G111" s="14"/>
      <c r="H111" s="14"/>
      <c r="I111" s="14"/>
      <c r="J111" s="14"/>
      <c r="K111" s="15"/>
      <c r="L111" s="14"/>
      <c r="M111" s="14"/>
      <c r="N111" s="14"/>
      <c r="O111" s="14"/>
      <c r="P111" s="14"/>
      <c r="Q111" s="15"/>
      <c r="R111" s="14"/>
      <c r="S111" s="14"/>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c r="AV111" s="14"/>
      <c r="AW111" s="14"/>
      <c r="AX111" s="14"/>
      <c r="AY111" s="14"/>
      <c r="AZ111" s="14"/>
      <c r="BA111" s="14"/>
      <c r="BB111" s="14"/>
      <c r="BC111" s="14"/>
      <c r="BD111" s="14"/>
      <c r="BE111" s="14"/>
      <c r="BF111" s="14"/>
      <c r="BG111" s="14"/>
      <c r="BH111" s="14"/>
      <c r="BI111" s="14"/>
      <c r="BJ111" s="14"/>
      <c r="BK111" s="14"/>
      <c r="BL111" s="14"/>
    </row>
    <row r="112" spans="1:64">
      <c r="A112" s="14"/>
      <c r="B112" s="14"/>
      <c r="C112" s="14"/>
      <c r="D112" s="14"/>
      <c r="E112" s="14"/>
      <c r="F112" s="14"/>
      <c r="G112" s="14"/>
      <c r="H112" s="14"/>
      <c r="I112" s="14"/>
      <c r="J112" s="14"/>
      <c r="K112" s="15"/>
      <c r="L112" s="14"/>
      <c r="M112" s="14"/>
      <c r="N112" s="14"/>
      <c r="O112" s="14"/>
      <c r="P112" s="14"/>
      <c r="Q112" s="15"/>
      <c r="R112" s="14"/>
      <c r="S112" s="14"/>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row>
  </sheetData>
  <hyperlinks>
    <hyperlink ref="J8" r:id="rId1" display="https://www.nature.com/articles/s41586-021-03778-8" xr:uid="{FB5E4360-702E-C84C-A7C2-74B0CA11EA92}"/>
    <hyperlink ref="J18" r:id="rId2" display="https://www.nature.com/articles/s41592-018-0181-1" xr:uid="{AE61A672-F485-CF4B-97BD-E93BD222ACFC}"/>
    <hyperlink ref="J19" r:id="rId3" xr:uid="{7DAA6D86-2C09-B94B-B57B-824E5DC88351}"/>
    <hyperlink ref="J4" r:id="rId4" xr:uid="{07DB0D81-B5B1-2E48-BAF6-0A36CE846594}"/>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heetPr>
  <dimension ref="A1:AC104"/>
  <sheetViews>
    <sheetView zoomScale="82" workbookViewId="0">
      <selection activeCell="C60" sqref="C60"/>
    </sheetView>
  </sheetViews>
  <sheetFormatPr baseColWidth="10" defaultColWidth="8.83203125" defaultRowHeight="15"/>
  <cols>
    <col min="1" max="1" width="20.83203125" bestFit="1" customWidth="1"/>
    <col min="2" max="2" width="27.1640625" customWidth="1"/>
    <col min="3" max="3" width="28.83203125" bestFit="1" customWidth="1"/>
    <col min="4" max="4" width="35.1640625" customWidth="1"/>
    <col min="5" max="5" width="27.83203125" bestFit="1" customWidth="1"/>
    <col min="6" max="6" width="19.1640625" style="9" bestFit="1" customWidth="1"/>
    <col min="7" max="7" width="31" bestFit="1" customWidth="1"/>
    <col min="8" max="8" width="35.5" customWidth="1"/>
    <col min="9" max="9" width="12.5" style="1" bestFit="1" customWidth="1"/>
    <col min="10" max="10" width="12.5" style="9" bestFit="1" customWidth="1"/>
    <col min="11" max="11" width="12.5" bestFit="1" customWidth="1"/>
    <col min="12" max="12" width="90.1640625" customWidth="1"/>
    <col min="13" max="13" width="65.83203125" customWidth="1"/>
    <col min="14" max="14" width="16" bestFit="1" customWidth="1"/>
    <col min="15" max="15" width="12.5" style="9" bestFit="1" customWidth="1"/>
    <col min="16" max="16" width="12.5" style="1" bestFit="1" customWidth="1"/>
    <col min="17" max="17" width="23.5" customWidth="1"/>
    <col min="18" max="18" width="52.83203125" customWidth="1"/>
    <col min="19" max="19" width="38.33203125" style="9" customWidth="1"/>
  </cols>
  <sheetData>
    <row r="1" spans="1:29" ht="15.75" customHeight="1">
      <c r="A1" s="57" t="s">
        <v>827</v>
      </c>
      <c r="B1" s="57" t="s">
        <v>1207</v>
      </c>
      <c r="C1" s="57" t="s">
        <v>396</v>
      </c>
      <c r="D1" s="57" t="s">
        <v>1208</v>
      </c>
      <c r="E1" s="57" t="s">
        <v>397</v>
      </c>
      <c r="F1" s="57" t="s">
        <v>403</v>
      </c>
      <c r="G1" s="57" t="s">
        <v>399</v>
      </c>
      <c r="H1" s="57" t="s">
        <v>404</v>
      </c>
      <c r="I1" s="58" t="s">
        <v>400</v>
      </c>
      <c r="J1" s="59" t="s">
        <v>844</v>
      </c>
      <c r="K1" s="57" t="s">
        <v>3</v>
      </c>
      <c r="L1" s="57" t="s">
        <v>1209</v>
      </c>
      <c r="M1" s="57" t="s">
        <v>1210</v>
      </c>
      <c r="N1" s="88" t="s">
        <v>1211</v>
      </c>
      <c r="O1" s="88" t="s">
        <v>1212</v>
      </c>
      <c r="P1" s="89" t="s">
        <v>845</v>
      </c>
      <c r="Q1" s="90" t="s">
        <v>1213</v>
      </c>
      <c r="R1" s="90" t="s">
        <v>1214</v>
      </c>
      <c r="S1" s="14"/>
      <c r="T1" s="14"/>
      <c r="U1" s="14"/>
      <c r="V1" s="14"/>
      <c r="W1" s="14"/>
      <c r="X1" s="14"/>
      <c r="Y1" s="14"/>
      <c r="Z1" s="14"/>
      <c r="AA1" s="14"/>
      <c r="AB1" s="14"/>
      <c r="AC1" s="14"/>
    </row>
    <row r="2" spans="1:29" ht="15.75" customHeight="1">
      <c r="A2" s="14" t="s">
        <v>2016</v>
      </c>
      <c r="B2" s="14" t="s">
        <v>2017</v>
      </c>
      <c r="C2" s="61" t="s">
        <v>2018</v>
      </c>
      <c r="D2" s="14" t="s">
        <v>2011</v>
      </c>
      <c r="E2" s="61" t="s">
        <v>2392</v>
      </c>
      <c r="F2" s="14" t="b">
        <v>1</v>
      </c>
      <c r="G2" s="43" t="s">
        <v>409</v>
      </c>
      <c r="H2" s="14"/>
      <c r="I2" s="14"/>
      <c r="J2" s="43" t="s">
        <v>1289</v>
      </c>
      <c r="K2" s="14" t="s">
        <v>413</v>
      </c>
      <c r="L2" s="14" t="s">
        <v>1485</v>
      </c>
      <c r="M2" s="14" t="s">
        <v>2019</v>
      </c>
      <c r="N2" s="14" t="s">
        <v>1220</v>
      </c>
      <c r="O2" s="76" t="s">
        <v>1221</v>
      </c>
      <c r="P2" s="14"/>
      <c r="Q2" s="51" t="s">
        <v>1013</v>
      </c>
      <c r="R2" s="14"/>
      <c r="T2" s="14"/>
      <c r="U2" s="14"/>
      <c r="V2" s="14"/>
      <c r="W2" s="14"/>
      <c r="X2" s="14"/>
      <c r="Y2" s="14"/>
      <c r="Z2" s="14"/>
      <c r="AA2" s="14"/>
      <c r="AB2" s="14"/>
      <c r="AC2" s="14"/>
    </row>
    <row r="3" spans="1:29" ht="15.75" customHeight="1">
      <c r="A3" s="43" t="s">
        <v>1215</v>
      </c>
      <c r="B3" s="43" t="s">
        <v>2466</v>
      </c>
      <c r="C3" s="43" t="s">
        <v>1216</v>
      </c>
      <c r="D3" s="43" t="s">
        <v>1217</v>
      </c>
      <c r="E3" s="43" t="s">
        <v>1218</v>
      </c>
      <c r="F3" s="14" t="b">
        <v>1</v>
      </c>
      <c r="G3" s="43" t="s">
        <v>409</v>
      </c>
      <c r="H3" s="43" t="s">
        <v>412</v>
      </c>
      <c r="I3" s="65">
        <v>44889</v>
      </c>
      <c r="J3" s="43" t="s">
        <v>1289</v>
      </c>
      <c r="K3" s="43" t="s">
        <v>1219</v>
      </c>
      <c r="L3" s="43" t="s">
        <v>2406</v>
      </c>
      <c r="M3" s="71" t="s">
        <v>1426</v>
      </c>
      <c r="N3" s="51" t="s">
        <v>1220</v>
      </c>
      <c r="O3" s="51" t="s">
        <v>1221</v>
      </c>
      <c r="P3" s="91">
        <v>1</v>
      </c>
      <c r="Q3" s="51" t="s">
        <v>849</v>
      </c>
      <c r="R3" s="51" t="s">
        <v>2201</v>
      </c>
      <c r="T3" s="14"/>
      <c r="U3" s="14"/>
      <c r="V3" s="14"/>
      <c r="W3" s="14"/>
      <c r="X3" s="14"/>
      <c r="Y3" s="14"/>
      <c r="Z3" s="14"/>
      <c r="AA3" s="14"/>
      <c r="AB3" s="14"/>
      <c r="AC3" s="14"/>
    </row>
    <row r="4" spans="1:29" ht="15.75" customHeight="1">
      <c r="A4" s="43" t="s">
        <v>1222</v>
      </c>
      <c r="B4" s="43" t="s">
        <v>1223</v>
      </c>
      <c r="C4" s="43" t="s">
        <v>1224</v>
      </c>
      <c r="D4" s="43" t="s">
        <v>1225</v>
      </c>
      <c r="E4" s="43" t="s">
        <v>1226</v>
      </c>
      <c r="F4" s="14" t="b">
        <v>1</v>
      </c>
      <c r="G4" s="43" t="s">
        <v>409</v>
      </c>
      <c r="H4" s="43" t="s">
        <v>2204</v>
      </c>
      <c r="I4" s="65">
        <v>43466</v>
      </c>
      <c r="J4" s="43" t="s">
        <v>1289</v>
      </c>
      <c r="K4" s="43" t="s">
        <v>1219</v>
      </c>
      <c r="L4" s="67" t="s">
        <v>2400</v>
      </c>
      <c r="M4" s="14" t="s">
        <v>2203</v>
      </c>
      <c r="N4" s="51" t="s">
        <v>1220</v>
      </c>
      <c r="O4" s="51" t="s">
        <v>1221</v>
      </c>
      <c r="P4" s="91">
        <v>3</v>
      </c>
      <c r="Q4" s="51" t="s">
        <v>1013</v>
      </c>
      <c r="R4" s="51"/>
      <c r="T4" s="14"/>
      <c r="U4" s="14"/>
      <c r="V4" s="14"/>
      <c r="W4" s="14"/>
      <c r="X4" s="14"/>
      <c r="Y4" s="14"/>
      <c r="Z4" s="14"/>
      <c r="AA4" s="14"/>
      <c r="AB4" s="14"/>
      <c r="AC4" s="14"/>
    </row>
    <row r="5" spans="1:29" ht="15.75" customHeight="1">
      <c r="A5" s="43" t="s">
        <v>1227</v>
      </c>
      <c r="B5" s="43" t="s">
        <v>2454</v>
      </c>
      <c r="C5" s="43" t="s">
        <v>1228</v>
      </c>
      <c r="D5" s="43" t="s">
        <v>1229</v>
      </c>
      <c r="E5" s="43" t="s">
        <v>1230</v>
      </c>
      <c r="F5" s="14" t="b">
        <v>1</v>
      </c>
      <c r="G5" s="43" t="s">
        <v>409</v>
      </c>
      <c r="H5" s="43" t="s">
        <v>426</v>
      </c>
      <c r="I5" s="65">
        <v>44559</v>
      </c>
      <c r="J5" s="43" t="s">
        <v>1289</v>
      </c>
      <c r="K5" s="43" t="s">
        <v>413</v>
      </c>
      <c r="L5" s="43" t="s">
        <v>2398</v>
      </c>
      <c r="M5" s="43" t="s">
        <v>1231</v>
      </c>
      <c r="N5" s="51" t="s">
        <v>1220</v>
      </c>
      <c r="O5" s="51" t="s">
        <v>1221</v>
      </c>
      <c r="P5" s="91">
        <v>1</v>
      </c>
      <c r="Q5" s="51" t="s">
        <v>1013</v>
      </c>
      <c r="R5" s="51" t="s">
        <v>2206</v>
      </c>
      <c r="T5" s="14"/>
      <c r="U5" s="14"/>
      <c r="V5" s="14"/>
      <c r="W5" s="14"/>
      <c r="X5" s="14"/>
      <c r="Y5" s="14"/>
      <c r="Z5" s="14"/>
      <c r="AA5" s="14"/>
      <c r="AB5" s="14"/>
      <c r="AC5" s="14"/>
    </row>
    <row r="6" spans="1:29" ht="15.75" customHeight="1">
      <c r="A6" s="43" t="s">
        <v>1232</v>
      </c>
      <c r="B6" s="43" t="s">
        <v>2455</v>
      </c>
      <c r="C6" s="43" t="s">
        <v>1233</v>
      </c>
      <c r="D6" s="43" t="s">
        <v>1234</v>
      </c>
      <c r="E6" s="43" t="s">
        <v>1235</v>
      </c>
      <c r="F6" s="14" t="b">
        <v>1</v>
      </c>
      <c r="G6" s="43" t="s">
        <v>409</v>
      </c>
      <c r="H6" s="14" t="s">
        <v>454</v>
      </c>
      <c r="I6" s="65">
        <v>44677</v>
      </c>
      <c r="J6" s="43" t="s">
        <v>1289</v>
      </c>
      <c r="K6" s="43" t="s">
        <v>413</v>
      </c>
      <c r="L6" s="43" t="s">
        <v>2407</v>
      </c>
      <c r="M6" s="43" t="s">
        <v>1236</v>
      </c>
      <c r="N6" s="51" t="s">
        <v>1220</v>
      </c>
      <c r="O6" s="51" t="s">
        <v>1221</v>
      </c>
      <c r="P6" s="91">
        <v>1</v>
      </c>
      <c r="Q6" s="51" t="s">
        <v>1013</v>
      </c>
      <c r="R6" s="51" t="s">
        <v>2208</v>
      </c>
      <c r="T6" s="14"/>
      <c r="U6" s="14"/>
      <c r="V6" s="14"/>
      <c r="W6" s="14"/>
      <c r="X6" s="14"/>
      <c r="Y6" s="14"/>
      <c r="Z6" s="14"/>
      <c r="AA6" s="14"/>
      <c r="AB6" s="14"/>
      <c r="AC6" s="14"/>
    </row>
    <row r="7" spans="1:29" ht="15.75" customHeight="1">
      <c r="A7" s="43" t="s">
        <v>1237</v>
      </c>
      <c r="B7" s="43" t="s">
        <v>886</v>
      </c>
      <c r="C7" s="43" t="s">
        <v>1238</v>
      </c>
      <c r="D7" s="43" t="s">
        <v>1239</v>
      </c>
      <c r="E7" s="43" t="s">
        <v>1240</v>
      </c>
      <c r="F7" s="14" t="b">
        <v>1</v>
      </c>
      <c r="G7" s="43" t="s">
        <v>409</v>
      </c>
      <c r="H7" s="43" t="s">
        <v>460</v>
      </c>
      <c r="I7" s="65">
        <v>44553</v>
      </c>
      <c r="J7" s="43" t="s">
        <v>1289</v>
      </c>
      <c r="K7" s="43" t="s">
        <v>413</v>
      </c>
      <c r="L7" s="43" t="s">
        <v>2399</v>
      </c>
      <c r="M7" s="64" t="s">
        <v>2259</v>
      </c>
      <c r="N7" s="51" t="s">
        <v>1220</v>
      </c>
      <c r="O7" s="51" t="s">
        <v>1221</v>
      </c>
      <c r="P7" s="91">
        <v>1</v>
      </c>
      <c r="Q7" s="51" t="s">
        <v>1130</v>
      </c>
      <c r="R7" s="51" t="s">
        <v>2211</v>
      </c>
      <c r="T7" s="14"/>
      <c r="U7" s="14"/>
      <c r="V7" s="14"/>
      <c r="W7" s="14"/>
      <c r="X7" s="14"/>
      <c r="Y7" s="14"/>
      <c r="Z7" s="14"/>
      <c r="AA7" s="14"/>
      <c r="AB7" s="14"/>
      <c r="AC7" s="14"/>
    </row>
    <row r="8" spans="1:29" ht="15.75" customHeight="1">
      <c r="A8" s="43" t="s">
        <v>1241</v>
      </c>
      <c r="B8" s="43" t="s">
        <v>2456</v>
      </c>
      <c r="C8" s="43" t="s">
        <v>1242</v>
      </c>
      <c r="D8" s="43" t="s">
        <v>1243</v>
      </c>
      <c r="E8" s="43" t="s">
        <v>1244</v>
      </c>
      <c r="F8" s="14" t="b">
        <v>1</v>
      </c>
      <c r="G8" s="43" t="s">
        <v>409</v>
      </c>
      <c r="H8" s="43" t="s">
        <v>465</v>
      </c>
      <c r="I8" s="65">
        <v>44412</v>
      </c>
      <c r="J8" s="43" t="s">
        <v>1289</v>
      </c>
      <c r="K8" s="43" t="s">
        <v>413</v>
      </c>
      <c r="L8" s="43" t="s">
        <v>1484</v>
      </c>
      <c r="M8" s="43" t="s">
        <v>2213</v>
      </c>
      <c r="N8" s="51" t="s">
        <v>1220</v>
      </c>
      <c r="O8" s="92" t="s">
        <v>1221</v>
      </c>
      <c r="P8" s="91">
        <v>1</v>
      </c>
      <c r="Q8" s="51" t="s">
        <v>849</v>
      </c>
      <c r="R8" s="51" t="s">
        <v>2216</v>
      </c>
      <c r="T8" s="14"/>
      <c r="U8" s="14"/>
      <c r="V8" s="14"/>
      <c r="W8" s="14"/>
      <c r="X8" s="14"/>
      <c r="Y8" s="14"/>
      <c r="Z8" s="14"/>
      <c r="AA8" s="14"/>
      <c r="AB8" s="14"/>
      <c r="AC8" s="14"/>
    </row>
    <row r="9" spans="1:29" ht="15.75" customHeight="1">
      <c r="A9" s="43" t="s">
        <v>1245</v>
      </c>
      <c r="B9" s="54" t="s">
        <v>1482</v>
      </c>
      <c r="C9" s="43" t="s">
        <v>1224</v>
      </c>
      <c r="D9" s="43" t="s">
        <v>2394</v>
      </c>
      <c r="E9" s="51" t="s">
        <v>1226</v>
      </c>
      <c r="F9" s="14" t="b">
        <v>1</v>
      </c>
      <c r="G9" s="43" t="s">
        <v>409</v>
      </c>
      <c r="H9" s="43" t="s">
        <v>2204</v>
      </c>
      <c r="I9" s="65">
        <v>43466</v>
      </c>
      <c r="J9" s="43" t="s">
        <v>1289</v>
      </c>
      <c r="K9" s="43" t="s">
        <v>413</v>
      </c>
      <c r="L9" s="67" t="s">
        <v>2400</v>
      </c>
      <c r="M9" s="51" t="s">
        <v>2257</v>
      </c>
      <c r="N9" s="51" t="s">
        <v>1220</v>
      </c>
      <c r="O9" s="92" t="s">
        <v>1221</v>
      </c>
      <c r="P9" s="91"/>
      <c r="Q9" s="51" t="s">
        <v>1013</v>
      </c>
      <c r="R9" s="51" t="s">
        <v>2219</v>
      </c>
      <c r="T9" s="14"/>
      <c r="U9" s="14"/>
      <c r="V9" s="14"/>
      <c r="W9" s="14"/>
      <c r="X9" s="14"/>
      <c r="Y9" s="14"/>
      <c r="Z9" s="14"/>
      <c r="AA9" s="14"/>
      <c r="AB9" s="14"/>
      <c r="AC9" s="14"/>
    </row>
    <row r="10" spans="1:29" ht="15.75" customHeight="1">
      <c r="A10" s="43" t="s">
        <v>1245</v>
      </c>
      <c r="B10" s="43" t="s">
        <v>933</v>
      </c>
      <c r="C10" s="43" t="s">
        <v>1224</v>
      </c>
      <c r="D10" s="43" t="s">
        <v>1246</v>
      </c>
      <c r="E10" s="43" t="s">
        <v>1226</v>
      </c>
      <c r="F10" s="14" t="b">
        <v>1</v>
      </c>
      <c r="G10" s="43" t="s">
        <v>409</v>
      </c>
      <c r="H10" s="43" t="s">
        <v>2204</v>
      </c>
      <c r="I10" s="65">
        <v>43466</v>
      </c>
      <c r="J10" s="43" t="s">
        <v>1289</v>
      </c>
      <c r="K10" s="43" t="s">
        <v>413</v>
      </c>
      <c r="L10" s="67" t="s">
        <v>2401</v>
      </c>
      <c r="M10" s="43" t="s">
        <v>2203</v>
      </c>
      <c r="N10" s="51" t="s">
        <v>1220</v>
      </c>
      <c r="O10" s="51" t="s">
        <v>1221</v>
      </c>
      <c r="P10" s="91">
        <v>3</v>
      </c>
      <c r="Q10" s="51" t="s">
        <v>1013</v>
      </c>
      <c r="R10" s="51" t="s">
        <v>2219</v>
      </c>
      <c r="T10" s="14"/>
      <c r="U10" s="14"/>
      <c r="V10" s="14"/>
      <c r="W10" s="14"/>
      <c r="X10" s="14"/>
      <c r="Y10" s="14"/>
      <c r="Z10" s="14"/>
      <c r="AA10" s="14"/>
      <c r="AB10" s="14"/>
      <c r="AC10" s="14"/>
    </row>
    <row r="11" spans="1:29" ht="15.75" customHeight="1">
      <c r="A11" s="43" t="s">
        <v>1247</v>
      </c>
      <c r="B11" s="43" t="s">
        <v>2457</v>
      </c>
      <c r="C11" s="43" t="s">
        <v>1248</v>
      </c>
      <c r="D11" s="43" t="s">
        <v>1249</v>
      </c>
      <c r="E11" s="43" t="s">
        <v>1250</v>
      </c>
      <c r="F11" s="14" t="b">
        <v>1</v>
      </c>
      <c r="G11" s="43" t="s">
        <v>409</v>
      </c>
      <c r="H11" s="14" t="s">
        <v>516</v>
      </c>
      <c r="I11" s="65">
        <v>44194</v>
      </c>
      <c r="J11" s="43" t="s">
        <v>1289</v>
      </c>
      <c r="K11" s="43" t="s">
        <v>413</v>
      </c>
      <c r="L11" s="14" t="s">
        <v>2408</v>
      </c>
      <c r="M11" s="43" t="s">
        <v>2221</v>
      </c>
      <c r="N11" s="51" t="s">
        <v>1220</v>
      </c>
      <c r="O11" s="51" t="s">
        <v>1221</v>
      </c>
      <c r="P11" s="91">
        <v>1</v>
      </c>
      <c r="Q11" s="51" t="s">
        <v>849</v>
      </c>
      <c r="R11" s="51" t="s">
        <v>2224</v>
      </c>
      <c r="T11" s="14"/>
      <c r="U11" s="14"/>
      <c r="V11" s="14"/>
      <c r="W11" s="14"/>
      <c r="X11" s="14"/>
      <c r="Y11" s="14"/>
      <c r="Z11" s="14"/>
      <c r="AA11" s="14"/>
      <c r="AB11" s="14"/>
      <c r="AC11" s="14"/>
    </row>
    <row r="12" spans="1:29" ht="15.75" customHeight="1">
      <c r="A12" s="43" t="s">
        <v>1251</v>
      </c>
      <c r="B12" s="43" t="s">
        <v>2465</v>
      </c>
      <c r="C12" s="43" t="s">
        <v>1252</v>
      </c>
      <c r="D12" s="43" t="s">
        <v>1253</v>
      </c>
      <c r="E12" s="43" t="s">
        <v>1254</v>
      </c>
      <c r="F12" s="14" t="b">
        <v>1</v>
      </c>
      <c r="G12" s="43" t="s">
        <v>409</v>
      </c>
      <c r="H12" s="43" t="s">
        <v>582</v>
      </c>
      <c r="I12" s="65">
        <v>44200</v>
      </c>
      <c r="J12" s="43" t="s">
        <v>1289</v>
      </c>
      <c r="K12" s="43" t="s">
        <v>413</v>
      </c>
      <c r="L12" s="43" t="s">
        <v>2397</v>
      </c>
      <c r="M12" s="43" t="s">
        <v>2226</v>
      </c>
      <c r="N12" s="51" t="s">
        <v>1220</v>
      </c>
      <c r="O12" s="51" t="s">
        <v>1221</v>
      </c>
      <c r="P12" s="91">
        <v>1</v>
      </c>
      <c r="Q12" s="51" t="s">
        <v>1130</v>
      </c>
      <c r="R12" s="51" t="s">
        <v>579</v>
      </c>
      <c r="T12" s="14"/>
      <c r="U12" s="14"/>
      <c r="V12" s="14"/>
      <c r="W12" s="14"/>
      <c r="X12" s="14"/>
      <c r="Y12" s="14"/>
      <c r="Z12" s="14"/>
      <c r="AA12" s="14"/>
      <c r="AB12" s="14"/>
      <c r="AC12" s="14"/>
    </row>
    <row r="13" spans="1:29" ht="15.75" customHeight="1">
      <c r="A13" s="43" t="s">
        <v>1255</v>
      </c>
      <c r="B13" s="43" t="s">
        <v>2467</v>
      </c>
      <c r="C13" s="43" t="s">
        <v>1256</v>
      </c>
      <c r="D13" s="43" t="s">
        <v>1257</v>
      </c>
      <c r="E13" s="43" t="s">
        <v>1258</v>
      </c>
      <c r="F13" s="14" t="b">
        <v>1</v>
      </c>
      <c r="G13" s="43" t="s">
        <v>409</v>
      </c>
      <c r="H13" s="43" t="s">
        <v>584</v>
      </c>
      <c r="I13" s="65">
        <v>44088</v>
      </c>
      <c r="J13" s="43" t="s">
        <v>1289</v>
      </c>
      <c r="K13" s="43" t="s">
        <v>413</v>
      </c>
      <c r="L13" s="43" t="s">
        <v>1485</v>
      </c>
      <c r="M13" s="43" t="s">
        <v>1259</v>
      </c>
      <c r="N13" s="51" t="s">
        <v>1220</v>
      </c>
      <c r="O13" s="51" t="s">
        <v>1221</v>
      </c>
      <c r="P13" s="91">
        <v>1</v>
      </c>
      <c r="Q13" s="51" t="s">
        <v>2260</v>
      </c>
      <c r="R13" s="51" t="s">
        <v>2423</v>
      </c>
      <c r="T13" s="14"/>
      <c r="U13" s="14"/>
      <c r="V13" s="14"/>
      <c r="W13" s="14"/>
      <c r="X13" s="14"/>
      <c r="Y13" s="14"/>
      <c r="Z13" s="14"/>
      <c r="AA13" s="14"/>
      <c r="AB13" s="14"/>
      <c r="AC13" s="14"/>
    </row>
    <row r="14" spans="1:29" ht="15.75" customHeight="1">
      <c r="A14" s="43" t="s">
        <v>1260</v>
      </c>
      <c r="B14" s="43" t="s">
        <v>973</v>
      </c>
      <c r="C14" s="43" t="s">
        <v>1261</v>
      </c>
      <c r="D14" s="43" t="s">
        <v>1262</v>
      </c>
      <c r="E14" s="43" t="s">
        <v>1262</v>
      </c>
      <c r="F14" s="14" t="b">
        <v>1</v>
      </c>
      <c r="G14" s="43" t="s">
        <v>409</v>
      </c>
      <c r="H14" s="43" t="s">
        <v>597</v>
      </c>
      <c r="I14" s="65">
        <v>44124</v>
      </c>
      <c r="J14" s="43" t="s">
        <v>1289</v>
      </c>
      <c r="K14" s="43" t="s">
        <v>413</v>
      </c>
      <c r="L14" s="43" t="s">
        <v>2261</v>
      </c>
      <c r="M14" s="43" t="s">
        <v>2229</v>
      </c>
      <c r="N14" s="51" t="s">
        <v>1220</v>
      </c>
      <c r="O14" s="51" t="s">
        <v>1221</v>
      </c>
      <c r="P14" s="91">
        <v>1</v>
      </c>
      <c r="Q14" s="51" t="s">
        <v>1013</v>
      </c>
      <c r="R14" s="51" t="s">
        <v>2231</v>
      </c>
      <c r="T14" s="14"/>
      <c r="U14" s="14"/>
      <c r="V14" s="14"/>
      <c r="W14" s="14"/>
      <c r="X14" s="14"/>
      <c r="Y14" s="14"/>
      <c r="Z14" s="14"/>
      <c r="AA14" s="14"/>
      <c r="AB14" s="14"/>
      <c r="AC14" s="14"/>
    </row>
    <row r="15" spans="1:29" ht="15.75" customHeight="1">
      <c r="A15" s="43" t="s">
        <v>1263</v>
      </c>
      <c r="B15" s="43" t="s">
        <v>1393</v>
      </c>
      <c r="C15" s="43" t="s">
        <v>1264</v>
      </c>
      <c r="D15" s="43" t="s">
        <v>1265</v>
      </c>
      <c r="E15" s="43" t="s">
        <v>1266</v>
      </c>
      <c r="F15" s="14" t="b">
        <v>1</v>
      </c>
      <c r="G15" s="43" t="s">
        <v>409</v>
      </c>
      <c r="H15" s="43" t="s">
        <v>612</v>
      </c>
      <c r="I15" s="65"/>
      <c r="J15" s="43" t="s">
        <v>1289</v>
      </c>
      <c r="K15" s="43" t="s">
        <v>413</v>
      </c>
      <c r="L15" s="43" t="s">
        <v>1486</v>
      </c>
      <c r="M15" s="43" t="s">
        <v>2233</v>
      </c>
      <c r="N15" s="51" t="s">
        <v>1220</v>
      </c>
      <c r="O15" s="51" t="s">
        <v>1221</v>
      </c>
      <c r="P15" s="91">
        <v>2</v>
      </c>
      <c r="Q15" s="51" t="s">
        <v>1013</v>
      </c>
      <c r="R15" s="51" t="s">
        <v>1397</v>
      </c>
      <c r="T15" s="14"/>
      <c r="U15" s="14"/>
      <c r="V15" s="14"/>
      <c r="W15" s="14"/>
      <c r="X15" s="14"/>
      <c r="Y15" s="14"/>
      <c r="Z15" s="14"/>
      <c r="AA15" s="14"/>
      <c r="AB15" s="14"/>
      <c r="AC15" s="14"/>
    </row>
    <row r="16" spans="1:29" ht="15.75" customHeight="1">
      <c r="A16" s="43" t="s">
        <v>1267</v>
      </c>
      <c r="B16" s="43" t="s">
        <v>2458</v>
      </c>
      <c r="C16" s="43" t="s">
        <v>1268</v>
      </c>
      <c r="D16" s="43" t="s">
        <v>1269</v>
      </c>
      <c r="E16" s="43" t="s">
        <v>1269</v>
      </c>
      <c r="F16" s="14" t="b">
        <v>1</v>
      </c>
      <c r="G16" s="43" t="s">
        <v>409</v>
      </c>
      <c r="H16" s="43" t="s">
        <v>614</v>
      </c>
      <c r="I16" s="65">
        <v>43657</v>
      </c>
      <c r="J16" s="43" t="s">
        <v>1289</v>
      </c>
      <c r="K16" s="43" t="s">
        <v>413</v>
      </c>
      <c r="L16" s="43" t="s">
        <v>2395</v>
      </c>
      <c r="M16" s="71" t="s">
        <v>1426</v>
      </c>
      <c r="N16" s="51" t="s">
        <v>1220</v>
      </c>
      <c r="O16" s="51" t="s">
        <v>1221</v>
      </c>
      <c r="P16" s="91">
        <v>1</v>
      </c>
      <c r="Q16" s="51" t="s">
        <v>1488</v>
      </c>
      <c r="R16" s="51" t="s">
        <v>2235</v>
      </c>
      <c r="T16" s="14"/>
      <c r="U16" s="14"/>
      <c r="V16" s="14"/>
      <c r="W16" s="14"/>
      <c r="X16" s="14"/>
      <c r="Y16" s="14"/>
      <c r="Z16" s="14"/>
      <c r="AA16" s="14"/>
      <c r="AB16" s="14"/>
      <c r="AC16" s="14"/>
    </row>
    <row r="17" spans="1:29" ht="15.75" customHeight="1">
      <c r="A17" s="43" t="s">
        <v>1270</v>
      </c>
      <c r="B17" s="43" t="s">
        <v>990</v>
      </c>
      <c r="C17" s="43" t="s">
        <v>1271</v>
      </c>
      <c r="D17" s="43" t="s">
        <v>1272</v>
      </c>
      <c r="E17" s="43" t="s">
        <v>1273</v>
      </c>
      <c r="F17" s="14" t="b">
        <v>1</v>
      </c>
      <c r="G17" s="43" t="s">
        <v>409</v>
      </c>
      <c r="H17" s="43" t="s">
        <v>647</v>
      </c>
      <c r="I17" s="65">
        <v>43795</v>
      </c>
      <c r="J17" s="43" t="s">
        <v>1289</v>
      </c>
      <c r="K17" s="43" t="s">
        <v>413</v>
      </c>
      <c r="L17" s="43" t="s">
        <v>2409</v>
      </c>
      <c r="M17" s="43" t="s">
        <v>2237</v>
      </c>
      <c r="N17" s="51" t="s">
        <v>1220</v>
      </c>
      <c r="O17" s="51" t="s">
        <v>1221</v>
      </c>
      <c r="P17" s="91">
        <v>1</v>
      </c>
      <c r="Q17" s="51" t="s">
        <v>1013</v>
      </c>
      <c r="R17" s="51" t="s">
        <v>2239</v>
      </c>
      <c r="T17" s="14"/>
      <c r="U17" s="14"/>
      <c r="V17" s="14"/>
      <c r="W17" s="14"/>
      <c r="X17" s="14"/>
      <c r="Y17" s="14"/>
      <c r="Z17" s="14"/>
      <c r="AA17" s="14"/>
      <c r="AB17" s="14"/>
      <c r="AC17" s="14"/>
    </row>
    <row r="18" spans="1:29" ht="15.75" customHeight="1">
      <c r="A18" s="43" t="s">
        <v>1274</v>
      </c>
      <c r="B18" s="43" t="s">
        <v>997</v>
      </c>
      <c r="C18" s="43" t="s">
        <v>1275</v>
      </c>
      <c r="D18" s="43" t="s">
        <v>1276</v>
      </c>
      <c r="E18" s="43" t="s">
        <v>1277</v>
      </c>
      <c r="F18" s="14" t="b">
        <v>1</v>
      </c>
      <c r="G18" s="43" t="s">
        <v>409</v>
      </c>
      <c r="H18" s="43" t="s">
        <v>2393</v>
      </c>
      <c r="I18" s="65">
        <v>43403</v>
      </c>
      <c r="J18" s="43" t="s">
        <v>1289</v>
      </c>
      <c r="K18" s="43" t="s">
        <v>413</v>
      </c>
      <c r="L18" s="43" t="s">
        <v>1487</v>
      </c>
      <c r="M18" s="43" t="s">
        <v>1278</v>
      </c>
      <c r="N18" s="51" t="s">
        <v>1220</v>
      </c>
      <c r="O18" s="51" t="s">
        <v>1221</v>
      </c>
      <c r="P18" s="91">
        <v>1</v>
      </c>
      <c r="Q18" s="51" t="s">
        <v>1013</v>
      </c>
      <c r="R18" s="51" t="s">
        <v>998</v>
      </c>
      <c r="T18" s="14"/>
      <c r="U18" s="14"/>
      <c r="V18" s="14"/>
      <c r="W18" s="14"/>
      <c r="X18" s="14"/>
      <c r="Y18" s="14"/>
      <c r="Z18" s="14"/>
      <c r="AA18" s="14"/>
      <c r="AB18" s="14"/>
      <c r="AC18" s="14"/>
    </row>
    <row r="19" spans="1:29" ht="15.75" customHeight="1">
      <c r="A19" s="43" t="s">
        <v>1279</v>
      </c>
      <c r="B19" s="43" t="s">
        <v>1001</v>
      </c>
      <c r="C19" s="43" t="s">
        <v>1280</v>
      </c>
      <c r="D19" s="43" t="s">
        <v>1281</v>
      </c>
      <c r="E19" s="43" t="s">
        <v>1281</v>
      </c>
      <c r="F19" s="14" t="b">
        <v>1</v>
      </c>
      <c r="G19" s="43" t="s">
        <v>409</v>
      </c>
      <c r="H19" s="43" t="s">
        <v>655</v>
      </c>
      <c r="I19" s="65">
        <v>43150</v>
      </c>
      <c r="J19" s="43" t="s">
        <v>1289</v>
      </c>
      <c r="K19" s="43" t="s">
        <v>413</v>
      </c>
      <c r="L19" s="43" t="s">
        <v>1107</v>
      </c>
      <c r="M19" s="71" t="s">
        <v>1426</v>
      </c>
      <c r="N19" s="51" t="s">
        <v>1220</v>
      </c>
      <c r="O19" s="51" t="s">
        <v>1221</v>
      </c>
      <c r="P19" s="91">
        <v>1</v>
      </c>
      <c r="Q19" s="51" t="s">
        <v>1013</v>
      </c>
      <c r="R19" s="51" t="s">
        <v>2241</v>
      </c>
      <c r="T19" s="14"/>
      <c r="U19" s="14"/>
      <c r="V19" s="14"/>
      <c r="W19" s="14"/>
      <c r="X19" s="14"/>
      <c r="Y19" s="14"/>
      <c r="Z19" s="14"/>
      <c r="AA19" s="14"/>
      <c r="AB19" s="14"/>
      <c r="AC19" s="14"/>
    </row>
    <row r="20" spans="1:29" ht="15.75" customHeight="1">
      <c r="A20" s="43" t="s">
        <v>1282</v>
      </c>
      <c r="B20" s="43" t="s">
        <v>1411</v>
      </c>
      <c r="C20" s="43" t="s">
        <v>1283</v>
      </c>
      <c r="D20" s="43" t="s">
        <v>1284</v>
      </c>
      <c r="E20" s="43" t="s">
        <v>1285</v>
      </c>
      <c r="F20" s="14" t="b">
        <v>1</v>
      </c>
      <c r="G20" s="43" t="s">
        <v>409</v>
      </c>
      <c r="H20" s="43" t="s">
        <v>665</v>
      </c>
      <c r="I20" s="65">
        <v>43031</v>
      </c>
      <c r="J20" s="43" t="s">
        <v>1289</v>
      </c>
      <c r="K20" s="43" t="s">
        <v>413</v>
      </c>
      <c r="L20" s="73" t="s">
        <v>2402</v>
      </c>
      <c r="M20" s="71" t="s">
        <v>1426</v>
      </c>
      <c r="N20" s="51" t="s">
        <v>1220</v>
      </c>
      <c r="O20" s="51" t="s">
        <v>1221</v>
      </c>
      <c r="P20" s="91">
        <v>1</v>
      </c>
      <c r="Q20" s="51" t="s">
        <v>1130</v>
      </c>
      <c r="R20" s="51" t="s">
        <v>1416</v>
      </c>
      <c r="T20" s="14"/>
      <c r="U20" s="14"/>
      <c r="V20" s="14"/>
      <c r="W20" s="14"/>
      <c r="X20" s="14"/>
      <c r="Y20" s="14"/>
      <c r="Z20" s="14"/>
      <c r="AA20" s="14"/>
      <c r="AB20" s="14"/>
      <c r="AC20" s="14"/>
    </row>
    <row r="21" spans="1:29" ht="15.75" customHeight="1">
      <c r="A21" s="43" t="s">
        <v>670</v>
      </c>
      <c r="B21" s="43" t="s">
        <v>1010</v>
      </c>
      <c r="C21" s="43" t="s">
        <v>1286</v>
      </c>
      <c r="D21" s="43" t="s">
        <v>1287</v>
      </c>
      <c r="E21" s="43" t="s">
        <v>1288</v>
      </c>
      <c r="F21" s="14" t="b">
        <v>1</v>
      </c>
      <c r="G21" s="43" t="s">
        <v>409</v>
      </c>
      <c r="H21" s="43" t="s">
        <v>2280</v>
      </c>
      <c r="I21" s="43">
        <v>2017</v>
      </c>
      <c r="J21" s="43" t="s">
        <v>1289</v>
      </c>
      <c r="K21" s="43" t="s">
        <v>413</v>
      </c>
      <c r="L21" s="73" t="s">
        <v>2403</v>
      </c>
      <c r="M21" s="43" t="s">
        <v>2262</v>
      </c>
      <c r="N21" s="51" t="s">
        <v>1220</v>
      </c>
      <c r="O21" s="51" t="s">
        <v>1221</v>
      </c>
      <c r="P21" s="91">
        <v>1</v>
      </c>
      <c r="Q21" s="51" t="s">
        <v>1013</v>
      </c>
      <c r="R21" s="51" t="s">
        <v>668</v>
      </c>
      <c r="T21" s="14"/>
      <c r="U21" s="14"/>
      <c r="V21" s="14"/>
      <c r="W21" s="14"/>
      <c r="X21" s="14"/>
      <c r="Y21" s="14"/>
      <c r="Z21" s="14"/>
      <c r="AA21" s="14"/>
      <c r="AB21" s="14"/>
      <c r="AC21" s="14"/>
    </row>
    <row r="22" spans="1:29" ht="15.75" customHeight="1">
      <c r="A22" s="43" t="s">
        <v>678</v>
      </c>
      <c r="B22" s="43" t="s">
        <v>1020</v>
      </c>
      <c r="C22" s="43" t="s">
        <v>1290</v>
      </c>
      <c r="D22" s="43" t="s">
        <v>1291</v>
      </c>
      <c r="E22" s="43" t="s">
        <v>1292</v>
      </c>
      <c r="F22" s="14" t="b">
        <v>1</v>
      </c>
      <c r="G22" s="43" t="s">
        <v>409</v>
      </c>
      <c r="H22" s="43" t="s">
        <v>2281</v>
      </c>
      <c r="I22" s="43">
        <v>2017</v>
      </c>
      <c r="J22" s="43" t="s">
        <v>1289</v>
      </c>
      <c r="K22" s="43" t="s">
        <v>413</v>
      </c>
      <c r="L22" s="43" t="s">
        <v>1024</v>
      </c>
      <c r="M22" s="71" t="s">
        <v>2450</v>
      </c>
      <c r="N22" s="51" t="s">
        <v>1220</v>
      </c>
      <c r="O22" s="51" t="s">
        <v>1221</v>
      </c>
      <c r="P22" s="91">
        <v>1</v>
      </c>
      <c r="Q22" s="51" t="s">
        <v>1013</v>
      </c>
      <c r="R22" s="93" t="s">
        <v>2263</v>
      </c>
      <c r="T22" s="14"/>
      <c r="U22" s="14"/>
      <c r="V22" s="14"/>
      <c r="W22" s="14"/>
      <c r="X22" s="14"/>
      <c r="Y22" s="14"/>
      <c r="Z22" s="14"/>
      <c r="AA22" s="14"/>
      <c r="AB22" s="14"/>
      <c r="AC22" s="14"/>
    </row>
    <row r="23" spans="1:29" ht="15.75" customHeight="1">
      <c r="A23" s="43" t="s">
        <v>697</v>
      </c>
      <c r="B23" s="43" t="s">
        <v>1037</v>
      </c>
      <c r="C23" s="43" t="s">
        <v>1293</v>
      </c>
      <c r="D23" s="43" t="s">
        <v>1294</v>
      </c>
      <c r="E23" s="43" t="s">
        <v>1295</v>
      </c>
      <c r="F23" s="14" t="b">
        <v>1</v>
      </c>
      <c r="G23" s="43" t="s">
        <v>409</v>
      </c>
      <c r="H23" s="43" t="s">
        <v>2282</v>
      </c>
      <c r="I23" s="43">
        <v>2017</v>
      </c>
      <c r="J23" s="43" t="s">
        <v>1289</v>
      </c>
      <c r="K23" s="43" t="s">
        <v>413</v>
      </c>
      <c r="L23" s="43" t="s">
        <v>2264</v>
      </c>
      <c r="M23" s="43" t="s">
        <v>2258</v>
      </c>
      <c r="N23" s="51" t="s">
        <v>1220</v>
      </c>
      <c r="O23" s="51" t="s">
        <v>1221</v>
      </c>
      <c r="P23" s="91">
        <v>1</v>
      </c>
      <c r="Q23" s="51" t="s">
        <v>1039</v>
      </c>
      <c r="R23" s="93" t="s">
        <v>2246</v>
      </c>
      <c r="T23" s="14"/>
      <c r="U23" s="14"/>
      <c r="V23" s="14"/>
      <c r="W23" s="14"/>
      <c r="X23" s="14"/>
      <c r="Y23" s="14"/>
      <c r="Z23" s="14"/>
      <c r="AA23" s="14"/>
      <c r="AB23" s="14"/>
      <c r="AC23" s="14"/>
    </row>
    <row r="24" spans="1:29" ht="15.75" customHeight="1">
      <c r="A24" s="43" t="s">
        <v>1296</v>
      </c>
      <c r="B24" s="43" t="s">
        <v>1044</v>
      </c>
      <c r="C24" s="43" t="s">
        <v>1045</v>
      </c>
      <c r="D24" s="43" t="s">
        <v>1297</v>
      </c>
      <c r="E24" s="43" t="s">
        <v>1298</v>
      </c>
      <c r="F24" s="14" t="b">
        <v>1</v>
      </c>
      <c r="G24" s="43" t="s">
        <v>409</v>
      </c>
      <c r="H24" s="43" t="s">
        <v>2283</v>
      </c>
      <c r="I24" s="43">
        <v>2016</v>
      </c>
      <c r="J24" s="43" t="s">
        <v>1289</v>
      </c>
      <c r="K24" s="43" t="s">
        <v>413</v>
      </c>
      <c r="L24" s="43" t="s">
        <v>2404</v>
      </c>
      <c r="M24" s="71" t="s">
        <v>1426</v>
      </c>
      <c r="N24" s="51" t="s">
        <v>1220</v>
      </c>
      <c r="O24" s="51" t="s">
        <v>1221</v>
      </c>
      <c r="P24" s="91">
        <v>1</v>
      </c>
      <c r="Q24" s="51" t="s">
        <v>1039</v>
      </c>
      <c r="R24" s="93" t="s">
        <v>701</v>
      </c>
      <c r="T24" s="14"/>
      <c r="U24" s="14"/>
      <c r="V24" s="14"/>
      <c r="W24" s="14"/>
      <c r="X24" s="14"/>
      <c r="Y24" s="14"/>
      <c r="Z24" s="14"/>
      <c r="AA24" s="14"/>
      <c r="AB24" s="14"/>
      <c r="AC24" s="14"/>
    </row>
    <row r="25" spans="1:29" ht="15.75" customHeight="1">
      <c r="A25" s="43" t="s">
        <v>2330</v>
      </c>
      <c r="B25" s="43" t="s">
        <v>2459</v>
      </c>
      <c r="C25" s="43" t="s">
        <v>2331</v>
      </c>
      <c r="D25" s="43" t="s">
        <v>1299</v>
      </c>
      <c r="E25" s="43" t="s">
        <v>1300</v>
      </c>
      <c r="F25" s="14" t="b">
        <v>1</v>
      </c>
      <c r="G25" s="43" t="s">
        <v>409</v>
      </c>
      <c r="H25" s="43" t="s">
        <v>2284</v>
      </c>
      <c r="I25" s="43">
        <v>2016</v>
      </c>
      <c r="J25" s="43" t="s">
        <v>1289</v>
      </c>
      <c r="K25" s="43" t="s">
        <v>413</v>
      </c>
      <c r="L25" s="43" t="s">
        <v>2265</v>
      </c>
      <c r="M25" s="43" t="s">
        <v>2266</v>
      </c>
      <c r="N25" s="51" t="s">
        <v>1220</v>
      </c>
      <c r="O25" s="51" t="s">
        <v>1221</v>
      </c>
      <c r="P25" s="91">
        <v>1</v>
      </c>
      <c r="Q25" s="51" t="s">
        <v>1013</v>
      </c>
      <c r="R25" s="93" t="s">
        <v>423</v>
      </c>
      <c r="T25" s="14"/>
      <c r="U25" s="14"/>
      <c r="V25" s="14"/>
      <c r="W25" s="14"/>
      <c r="X25" s="14"/>
      <c r="Y25" s="14"/>
      <c r="Z25" s="14"/>
      <c r="AA25" s="14"/>
      <c r="AB25" s="14"/>
      <c r="AC25" s="14"/>
    </row>
    <row r="26" spans="1:29" ht="15.75" customHeight="1">
      <c r="A26" s="43" t="s">
        <v>718</v>
      </c>
      <c r="B26" s="43" t="s">
        <v>2460</v>
      </c>
      <c r="C26" s="43" t="s">
        <v>1301</v>
      </c>
      <c r="D26" s="43" t="s">
        <v>1302</v>
      </c>
      <c r="E26" s="43" t="s">
        <v>1303</v>
      </c>
      <c r="F26" s="14" t="b">
        <v>1</v>
      </c>
      <c r="G26" s="43" t="s">
        <v>409</v>
      </c>
      <c r="H26" s="43" t="s">
        <v>2285</v>
      </c>
      <c r="I26" s="43">
        <v>2016</v>
      </c>
      <c r="J26" s="43" t="s">
        <v>1289</v>
      </c>
      <c r="K26" s="43" t="s">
        <v>413</v>
      </c>
      <c r="L26" s="43" t="s">
        <v>2410</v>
      </c>
      <c r="M26" s="43" t="s">
        <v>2267</v>
      </c>
      <c r="N26" s="51" t="s">
        <v>1220</v>
      </c>
      <c r="O26" s="51" t="s">
        <v>1221</v>
      </c>
      <c r="P26" s="91">
        <v>1</v>
      </c>
      <c r="Q26" s="51" t="s">
        <v>1013</v>
      </c>
      <c r="R26" s="93" t="s">
        <v>2385</v>
      </c>
      <c r="T26" s="14"/>
      <c r="U26" s="14"/>
      <c r="V26" s="14"/>
      <c r="W26" s="14"/>
      <c r="X26" s="14"/>
      <c r="Y26" s="14"/>
      <c r="Z26" s="14"/>
      <c r="AA26" s="14"/>
      <c r="AB26" s="14"/>
      <c r="AC26" s="14"/>
    </row>
    <row r="27" spans="1:29" ht="15.75" customHeight="1">
      <c r="A27" s="43" t="s">
        <v>1304</v>
      </c>
      <c r="B27" s="43" t="s">
        <v>1074</v>
      </c>
      <c r="C27" s="43" t="s">
        <v>1075</v>
      </c>
      <c r="D27" s="43" t="s">
        <v>1305</v>
      </c>
      <c r="E27" s="43" t="s">
        <v>1306</v>
      </c>
      <c r="F27" s="14" t="b">
        <v>1</v>
      </c>
      <c r="G27" s="43" t="s">
        <v>409</v>
      </c>
      <c r="H27" s="43" t="s">
        <v>2286</v>
      </c>
      <c r="I27" s="43">
        <v>2017</v>
      </c>
      <c r="J27" s="43" t="s">
        <v>1289</v>
      </c>
      <c r="K27" s="43" t="s">
        <v>413</v>
      </c>
      <c r="L27" s="43" t="s">
        <v>2405</v>
      </c>
      <c r="M27" s="43" t="s">
        <v>2386</v>
      </c>
      <c r="N27" s="51" t="s">
        <v>1220</v>
      </c>
      <c r="O27" s="51" t="s">
        <v>1221</v>
      </c>
      <c r="P27" s="91">
        <v>1</v>
      </c>
      <c r="Q27" s="51" t="s">
        <v>1013</v>
      </c>
      <c r="R27" s="93" t="s">
        <v>1307</v>
      </c>
      <c r="T27" s="14"/>
      <c r="U27" s="14"/>
      <c r="V27" s="14"/>
      <c r="W27" s="14"/>
      <c r="X27" s="14"/>
      <c r="Y27" s="14"/>
      <c r="Z27" s="14"/>
      <c r="AA27" s="14"/>
      <c r="AB27" s="14"/>
      <c r="AC27" s="14"/>
    </row>
    <row r="28" spans="1:29" ht="15.75" customHeight="1">
      <c r="A28" s="43" t="s">
        <v>1308</v>
      </c>
      <c r="B28" s="43" t="s">
        <v>1077</v>
      </c>
      <c r="C28" s="43" t="s">
        <v>1078</v>
      </c>
      <c r="D28" s="43" t="s">
        <v>1309</v>
      </c>
      <c r="E28" s="43" t="s">
        <v>1310</v>
      </c>
      <c r="F28" s="14" t="b">
        <v>1</v>
      </c>
      <c r="G28" s="43" t="s">
        <v>409</v>
      </c>
      <c r="H28" s="43" t="s">
        <v>2287</v>
      </c>
      <c r="I28" s="43">
        <v>2016</v>
      </c>
      <c r="J28" s="43" t="s">
        <v>1289</v>
      </c>
      <c r="K28" s="43" t="s">
        <v>413</v>
      </c>
      <c r="L28" s="43" t="s">
        <v>2269</v>
      </c>
      <c r="M28" s="43" t="s">
        <v>2387</v>
      </c>
      <c r="N28" s="51" t="s">
        <v>1220</v>
      </c>
      <c r="O28" s="51" t="s">
        <v>1221</v>
      </c>
      <c r="P28" s="91">
        <v>1</v>
      </c>
      <c r="Q28" s="51" t="s">
        <v>1013</v>
      </c>
      <c r="R28" s="93" t="s">
        <v>1311</v>
      </c>
      <c r="T28" s="14"/>
      <c r="U28" s="14"/>
      <c r="V28" s="14"/>
      <c r="W28" s="14"/>
      <c r="X28" s="14"/>
      <c r="Y28" s="14"/>
      <c r="Z28" s="14"/>
      <c r="AA28" s="14"/>
      <c r="AB28" s="14"/>
      <c r="AC28" s="14"/>
    </row>
    <row r="29" spans="1:29" ht="15.75" customHeight="1">
      <c r="A29" s="43" t="s">
        <v>1312</v>
      </c>
      <c r="B29" s="43" t="s">
        <v>1080</v>
      </c>
      <c r="C29" s="43" t="s">
        <v>1313</v>
      </c>
      <c r="D29" s="43" t="s">
        <v>1314</v>
      </c>
      <c r="E29" s="43" t="s">
        <v>1315</v>
      </c>
      <c r="F29" s="14" t="b">
        <v>1</v>
      </c>
      <c r="G29" s="43" t="s">
        <v>409</v>
      </c>
      <c r="H29" s="43" t="s">
        <v>2288</v>
      </c>
      <c r="I29" s="43">
        <v>2016</v>
      </c>
      <c r="J29" s="43" t="s">
        <v>1289</v>
      </c>
      <c r="K29" s="43" t="s">
        <v>413</v>
      </c>
      <c r="L29" s="43" t="s">
        <v>1084</v>
      </c>
      <c r="M29" s="43" t="s">
        <v>1316</v>
      </c>
      <c r="N29" s="51" t="s">
        <v>1220</v>
      </c>
      <c r="O29" s="51" t="s">
        <v>1221</v>
      </c>
      <c r="P29" s="91">
        <v>1</v>
      </c>
      <c r="Q29" s="51" t="s">
        <v>1013</v>
      </c>
      <c r="R29" s="93" t="s">
        <v>1002</v>
      </c>
      <c r="T29" s="14"/>
      <c r="U29" s="14"/>
      <c r="V29" s="14"/>
      <c r="W29" s="14"/>
      <c r="X29" s="14"/>
      <c r="Y29" s="14"/>
      <c r="Z29" s="14"/>
      <c r="AA29" s="14"/>
      <c r="AB29" s="14"/>
      <c r="AC29" s="14"/>
    </row>
    <row r="30" spans="1:29" ht="15.75" customHeight="1">
      <c r="A30" s="43" t="s">
        <v>738</v>
      </c>
      <c r="B30" s="43" t="s">
        <v>2461</v>
      </c>
      <c r="C30" s="43" t="s">
        <v>1088</v>
      </c>
      <c r="D30" s="43" t="s">
        <v>1317</v>
      </c>
      <c r="E30" s="43" t="s">
        <v>1318</v>
      </c>
      <c r="F30" s="14" t="b">
        <v>1</v>
      </c>
      <c r="G30" s="43" t="s">
        <v>409</v>
      </c>
      <c r="H30" s="43" t="s">
        <v>2289</v>
      </c>
      <c r="I30" s="43">
        <v>2015</v>
      </c>
      <c r="J30" s="43" t="s">
        <v>1289</v>
      </c>
      <c r="K30" s="43" t="s">
        <v>413</v>
      </c>
      <c r="L30" s="43" t="s">
        <v>2270</v>
      </c>
      <c r="M30" s="43" t="s">
        <v>2388</v>
      </c>
      <c r="N30" s="51" t="s">
        <v>1220</v>
      </c>
      <c r="O30" s="51" t="s">
        <v>1221</v>
      </c>
      <c r="P30" s="91">
        <v>1</v>
      </c>
      <c r="Q30" s="51" t="s">
        <v>1039</v>
      </c>
      <c r="R30" s="93"/>
      <c r="T30" s="14"/>
      <c r="U30" s="14"/>
      <c r="V30" s="14"/>
      <c r="W30" s="14"/>
      <c r="X30" s="14"/>
      <c r="Y30" s="14"/>
      <c r="Z30" s="14"/>
      <c r="AA30" s="14"/>
      <c r="AB30" s="14"/>
      <c r="AC30" s="14"/>
    </row>
    <row r="31" spans="1:29" ht="15.75" customHeight="1">
      <c r="A31" s="43" t="s">
        <v>743</v>
      </c>
      <c r="B31" s="43" t="s">
        <v>1092</v>
      </c>
      <c r="C31" s="43" t="s">
        <v>1319</v>
      </c>
      <c r="D31" s="43" t="s">
        <v>1320</v>
      </c>
      <c r="E31" s="43" t="s">
        <v>1321</v>
      </c>
      <c r="F31" s="14" t="b">
        <v>1</v>
      </c>
      <c r="G31" s="43" t="s">
        <v>409</v>
      </c>
      <c r="H31" s="43" t="s">
        <v>2290</v>
      </c>
      <c r="I31" s="43">
        <v>2015</v>
      </c>
      <c r="J31" s="43" t="s">
        <v>1289</v>
      </c>
      <c r="K31" s="43" t="s">
        <v>413</v>
      </c>
      <c r="L31" s="43" t="s">
        <v>2271</v>
      </c>
      <c r="M31" s="43" t="s">
        <v>2272</v>
      </c>
      <c r="N31" s="51" t="s">
        <v>1220</v>
      </c>
      <c r="O31" s="51" t="s">
        <v>1221</v>
      </c>
      <c r="P31" s="91">
        <v>1</v>
      </c>
      <c r="Q31" s="51" t="s">
        <v>1094</v>
      </c>
      <c r="R31" s="93" t="s">
        <v>2249</v>
      </c>
      <c r="T31" s="14"/>
      <c r="U31" s="14"/>
      <c r="V31" s="14"/>
      <c r="W31" s="14"/>
      <c r="X31" s="14"/>
      <c r="Y31" s="14"/>
      <c r="Z31" s="14"/>
      <c r="AA31" s="14"/>
      <c r="AB31" s="14"/>
      <c r="AC31" s="14"/>
    </row>
    <row r="32" spans="1:29" ht="15.75" customHeight="1">
      <c r="A32" s="43" t="s">
        <v>1322</v>
      </c>
      <c r="B32" s="43" t="s">
        <v>2462</v>
      </c>
      <c r="C32" s="43" t="s">
        <v>1323</v>
      </c>
      <c r="D32" s="43" t="s">
        <v>1324</v>
      </c>
      <c r="E32" s="43" t="s">
        <v>1325</v>
      </c>
      <c r="F32" s="14" t="b">
        <v>1</v>
      </c>
      <c r="G32" s="43" t="s">
        <v>409</v>
      </c>
      <c r="H32" s="43" t="s">
        <v>2291</v>
      </c>
      <c r="I32" s="43">
        <v>2015</v>
      </c>
      <c r="J32" s="43" t="s">
        <v>1289</v>
      </c>
      <c r="K32" s="43" t="s">
        <v>413</v>
      </c>
      <c r="L32" s="43" t="s">
        <v>1107</v>
      </c>
      <c r="M32" s="43" t="s">
        <v>2391</v>
      </c>
      <c r="N32" s="51" t="s">
        <v>1220</v>
      </c>
      <c r="O32" s="51" t="s">
        <v>1221</v>
      </c>
      <c r="P32" s="91">
        <v>1</v>
      </c>
      <c r="Q32" s="51" t="s">
        <v>849</v>
      </c>
      <c r="R32" s="93" t="s">
        <v>1326</v>
      </c>
      <c r="T32" s="14"/>
      <c r="U32" s="14"/>
      <c r="V32" s="14"/>
      <c r="W32" s="14"/>
      <c r="X32" s="14"/>
      <c r="Y32" s="14"/>
      <c r="Z32" s="14"/>
      <c r="AA32" s="14"/>
      <c r="AB32" s="14"/>
      <c r="AC32" s="14"/>
    </row>
    <row r="33" spans="1:29" ht="15.75" customHeight="1">
      <c r="A33" s="43" t="s">
        <v>751</v>
      </c>
      <c r="B33" s="43" t="s">
        <v>2463</v>
      </c>
      <c r="C33" s="43" t="s">
        <v>2337</v>
      </c>
      <c r="D33" s="43" t="s">
        <v>1327</v>
      </c>
      <c r="E33" s="43" t="s">
        <v>1328</v>
      </c>
      <c r="F33" s="14" t="b">
        <v>1</v>
      </c>
      <c r="G33" s="43" t="s">
        <v>409</v>
      </c>
      <c r="H33" s="43" t="s">
        <v>2292</v>
      </c>
      <c r="I33" s="43">
        <v>2015</v>
      </c>
      <c r="J33" s="43" t="s">
        <v>1289</v>
      </c>
      <c r="K33" s="43" t="s">
        <v>413</v>
      </c>
      <c r="L33" s="43" t="s">
        <v>2273</v>
      </c>
      <c r="M33" s="43" t="s">
        <v>2389</v>
      </c>
      <c r="N33" s="51" t="s">
        <v>1220</v>
      </c>
      <c r="O33" s="51" t="s">
        <v>1221</v>
      </c>
      <c r="P33" s="91">
        <v>1</v>
      </c>
      <c r="Q33" s="51" t="s">
        <v>1013</v>
      </c>
      <c r="R33" s="93" t="s">
        <v>2390</v>
      </c>
      <c r="T33" s="14"/>
      <c r="U33" s="14"/>
      <c r="V33" s="14"/>
      <c r="W33" s="14"/>
      <c r="X33" s="14"/>
      <c r="Y33" s="14"/>
      <c r="Z33" s="14"/>
      <c r="AA33" s="14"/>
      <c r="AB33" s="14"/>
      <c r="AC33" s="14"/>
    </row>
    <row r="34" spans="1:29" ht="15.75" customHeight="1">
      <c r="A34" s="43" t="s">
        <v>1329</v>
      </c>
      <c r="B34" s="43" t="s">
        <v>2464</v>
      </c>
      <c r="C34" s="43" t="s">
        <v>1123</v>
      </c>
      <c r="D34" s="43" t="s">
        <v>1330</v>
      </c>
      <c r="E34" s="43" t="s">
        <v>1331</v>
      </c>
      <c r="F34" s="14" t="b">
        <v>1</v>
      </c>
      <c r="G34" s="43" t="s">
        <v>409</v>
      </c>
      <c r="H34" s="43" t="s">
        <v>2293</v>
      </c>
      <c r="I34" s="43">
        <v>2013</v>
      </c>
      <c r="J34" s="43" t="s">
        <v>1289</v>
      </c>
      <c r="K34" s="43" t="s">
        <v>413</v>
      </c>
      <c r="L34" s="43" t="s">
        <v>2274</v>
      </c>
      <c r="M34" s="71" t="s">
        <v>2451</v>
      </c>
      <c r="N34" s="51" t="s">
        <v>1220</v>
      </c>
      <c r="O34" s="51" t="s">
        <v>1221</v>
      </c>
      <c r="P34" s="91">
        <v>1</v>
      </c>
      <c r="Q34" s="51" t="s">
        <v>1124</v>
      </c>
      <c r="R34" s="93" t="s">
        <v>1332</v>
      </c>
      <c r="T34" s="14"/>
      <c r="U34" s="14"/>
      <c r="V34" s="14"/>
      <c r="W34" s="14"/>
      <c r="X34" s="14"/>
      <c r="Y34" s="14"/>
      <c r="Z34" s="14"/>
      <c r="AA34" s="14"/>
      <c r="AB34" s="14"/>
      <c r="AC34" s="14"/>
    </row>
    <row r="35" spans="1:29" ht="15.75" customHeight="1">
      <c r="A35" s="43" t="s">
        <v>2339</v>
      </c>
      <c r="B35" s="43" t="s">
        <v>1128</v>
      </c>
      <c r="C35" s="43" t="s">
        <v>2340</v>
      </c>
      <c r="D35" s="43" t="s">
        <v>1333</v>
      </c>
      <c r="E35" s="43" t="s">
        <v>1334</v>
      </c>
      <c r="F35" s="14" t="b">
        <v>1</v>
      </c>
      <c r="G35" s="43" t="s">
        <v>409</v>
      </c>
      <c r="H35" s="43" t="s">
        <v>2294</v>
      </c>
      <c r="I35" s="43">
        <v>2015</v>
      </c>
      <c r="J35" s="43" t="s">
        <v>1289</v>
      </c>
      <c r="K35" s="43" t="s">
        <v>413</v>
      </c>
      <c r="L35" s="43" t="s">
        <v>1084</v>
      </c>
      <c r="M35" s="43" t="s">
        <v>1335</v>
      </c>
      <c r="N35" s="51" t="s">
        <v>1220</v>
      </c>
      <c r="O35" s="51" t="s">
        <v>1221</v>
      </c>
      <c r="P35" s="91">
        <v>1</v>
      </c>
      <c r="Q35" s="51" t="s">
        <v>1130</v>
      </c>
      <c r="R35" s="93" t="s">
        <v>2251</v>
      </c>
      <c r="T35" s="14"/>
      <c r="U35" s="14"/>
      <c r="V35" s="14"/>
      <c r="W35" s="14"/>
      <c r="X35" s="14"/>
      <c r="Y35" s="14"/>
      <c r="Z35" s="14"/>
      <c r="AA35" s="14"/>
      <c r="AB35" s="14"/>
      <c r="AC35" s="14"/>
    </row>
    <row r="36" spans="1:29" ht="15.75" customHeight="1">
      <c r="A36" s="43" t="s">
        <v>773</v>
      </c>
      <c r="B36" s="43" t="s">
        <v>1134</v>
      </c>
      <c r="C36" s="43" t="s">
        <v>1336</v>
      </c>
      <c r="D36" s="43" t="s">
        <v>1337</v>
      </c>
      <c r="E36" s="43" t="s">
        <v>1338</v>
      </c>
      <c r="F36" s="14" t="b">
        <v>1</v>
      </c>
      <c r="G36" s="43" t="s">
        <v>409</v>
      </c>
      <c r="H36" s="43" t="s">
        <v>2295</v>
      </c>
      <c r="I36" s="43">
        <v>2015</v>
      </c>
      <c r="J36" s="43" t="s">
        <v>1289</v>
      </c>
      <c r="K36" s="43" t="s">
        <v>413</v>
      </c>
      <c r="L36" s="43" t="s">
        <v>2296</v>
      </c>
      <c r="M36" s="71" t="s">
        <v>1339</v>
      </c>
      <c r="N36" s="51" t="s">
        <v>1220</v>
      </c>
      <c r="O36" s="51" t="s">
        <v>1221</v>
      </c>
      <c r="P36" s="91">
        <v>1</v>
      </c>
      <c r="Q36" s="51" t="s">
        <v>1013</v>
      </c>
      <c r="R36" s="93" t="s">
        <v>2253</v>
      </c>
      <c r="T36" s="14"/>
      <c r="U36" s="14"/>
      <c r="V36" s="14"/>
      <c r="W36" s="14"/>
      <c r="X36" s="14"/>
      <c r="Y36" s="14"/>
      <c r="Z36" s="14"/>
      <c r="AA36" s="14"/>
      <c r="AB36" s="14"/>
      <c r="AC36" s="14"/>
    </row>
    <row r="37" spans="1:29" ht="15.75" customHeight="1">
      <c r="A37" s="43" t="s">
        <v>796</v>
      </c>
      <c r="B37" s="43" t="s">
        <v>1156</v>
      </c>
      <c r="C37" s="43" t="s">
        <v>1340</v>
      </c>
      <c r="D37" s="43" t="s">
        <v>1341</v>
      </c>
      <c r="E37" s="43" t="s">
        <v>1342</v>
      </c>
      <c r="F37" s="14" t="b">
        <v>1</v>
      </c>
      <c r="G37" s="43" t="s">
        <v>409</v>
      </c>
      <c r="H37" s="43" t="s">
        <v>2297</v>
      </c>
      <c r="I37" s="43">
        <v>2014</v>
      </c>
      <c r="J37" s="43" t="s">
        <v>1289</v>
      </c>
      <c r="K37" s="43" t="s">
        <v>413</v>
      </c>
      <c r="L37" s="43" t="s">
        <v>2298</v>
      </c>
      <c r="M37" s="43" t="s">
        <v>2275</v>
      </c>
      <c r="N37" s="51" t="s">
        <v>1220</v>
      </c>
      <c r="O37" s="51" t="s">
        <v>1221</v>
      </c>
      <c r="P37" s="91">
        <v>1</v>
      </c>
      <c r="Q37" s="51" t="s">
        <v>1013</v>
      </c>
      <c r="R37" s="93" t="s">
        <v>2254</v>
      </c>
      <c r="T37" s="14"/>
      <c r="U37" s="14"/>
      <c r="V37" s="14"/>
      <c r="W37" s="14"/>
      <c r="X37" s="14"/>
      <c r="Y37" s="14"/>
      <c r="Z37" s="14"/>
      <c r="AA37" s="14"/>
      <c r="AB37" s="14"/>
      <c r="AC37" s="14"/>
    </row>
    <row r="38" spans="1:29" ht="15.75" customHeight="1">
      <c r="A38" s="43" t="s">
        <v>1343</v>
      </c>
      <c r="B38" s="43" t="s">
        <v>1188</v>
      </c>
      <c r="C38" s="43" t="s">
        <v>1189</v>
      </c>
      <c r="D38" s="43" t="s">
        <v>1344</v>
      </c>
      <c r="E38" s="43" t="s">
        <v>1345</v>
      </c>
      <c r="F38" s="14" t="b">
        <v>1</v>
      </c>
      <c r="G38" s="43" t="s">
        <v>409</v>
      </c>
      <c r="H38" s="43" t="s">
        <v>2299</v>
      </c>
      <c r="I38" s="43">
        <v>2013</v>
      </c>
      <c r="J38" s="43" t="s">
        <v>1289</v>
      </c>
      <c r="K38" s="43" t="s">
        <v>413</v>
      </c>
      <c r="L38" s="43" t="s">
        <v>1192</v>
      </c>
      <c r="M38" s="71" t="s">
        <v>1339</v>
      </c>
      <c r="N38" s="51" t="s">
        <v>1220</v>
      </c>
      <c r="O38" s="51" t="s">
        <v>1221</v>
      </c>
      <c r="P38" s="91">
        <v>1</v>
      </c>
      <c r="Q38" s="51" t="s">
        <v>1130</v>
      </c>
      <c r="R38" s="93" t="s">
        <v>1346</v>
      </c>
      <c r="T38" s="14"/>
      <c r="U38" s="14"/>
      <c r="V38" s="14"/>
      <c r="W38" s="14"/>
      <c r="X38" s="14"/>
      <c r="Y38" s="14"/>
      <c r="Z38" s="14"/>
      <c r="AA38" s="14"/>
      <c r="AB38" s="14"/>
      <c r="AC38" s="14"/>
    </row>
    <row r="39" spans="1:29" ht="15.75" customHeight="1">
      <c r="A39" s="43" t="s">
        <v>2346</v>
      </c>
      <c r="B39" s="43" t="s">
        <v>1193</v>
      </c>
      <c r="C39" s="43" t="s">
        <v>2348</v>
      </c>
      <c r="D39" s="43" t="s">
        <v>1347</v>
      </c>
      <c r="E39" s="43" t="s">
        <v>1348</v>
      </c>
      <c r="F39" s="14" t="b">
        <v>1</v>
      </c>
      <c r="G39" s="43" t="s">
        <v>409</v>
      </c>
      <c r="H39" s="43" t="s">
        <v>2300</v>
      </c>
      <c r="I39" s="43">
        <v>2013</v>
      </c>
      <c r="J39" s="43" t="s">
        <v>1289</v>
      </c>
      <c r="K39" s="43" t="s">
        <v>413</v>
      </c>
      <c r="L39" s="43" t="s">
        <v>2396</v>
      </c>
      <c r="M39" s="71" t="s">
        <v>1339</v>
      </c>
      <c r="N39" s="51" t="s">
        <v>1220</v>
      </c>
      <c r="O39" s="51" t="s">
        <v>1221</v>
      </c>
      <c r="P39" s="91">
        <v>1</v>
      </c>
      <c r="Q39" s="51" t="s">
        <v>1013</v>
      </c>
      <c r="R39" s="93" t="s">
        <v>1349</v>
      </c>
      <c r="T39" s="14"/>
      <c r="U39" s="14"/>
      <c r="V39" s="14"/>
      <c r="W39" s="14"/>
      <c r="X39" s="14"/>
      <c r="Y39" s="14"/>
      <c r="Z39" s="14"/>
      <c r="AA39" s="14"/>
      <c r="AB39" s="14"/>
      <c r="AC39" s="14"/>
    </row>
    <row r="40" spans="1:29" ht="15.75" customHeight="1">
      <c r="A40" s="43" t="s">
        <v>1350</v>
      </c>
      <c r="B40" s="43" t="s">
        <v>1198</v>
      </c>
      <c r="C40" s="43" t="s">
        <v>1199</v>
      </c>
      <c r="D40" s="43" t="s">
        <v>1351</v>
      </c>
      <c r="E40" s="43" t="s">
        <v>1352</v>
      </c>
      <c r="F40" s="14" t="b">
        <v>1</v>
      </c>
      <c r="G40" s="43" t="s">
        <v>409</v>
      </c>
      <c r="H40" s="43" t="s">
        <v>2301</v>
      </c>
      <c r="I40" s="43">
        <v>2013</v>
      </c>
      <c r="J40" s="43" t="s">
        <v>1289</v>
      </c>
      <c r="K40" s="43" t="s">
        <v>413</v>
      </c>
      <c r="L40" s="43" t="s">
        <v>1202</v>
      </c>
      <c r="M40" s="71" t="s">
        <v>2452</v>
      </c>
      <c r="N40" s="51" t="s">
        <v>1220</v>
      </c>
      <c r="O40" s="51" t="s">
        <v>1221</v>
      </c>
      <c r="P40" s="91">
        <v>1</v>
      </c>
      <c r="Q40" s="51" t="s">
        <v>849</v>
      </c>
      <c r="R40" s="93" t="s">
        <v>821</v>
      </c>
      <c r="T40" s="14"/>
      <c r="U40" s="14"/>
      <c r="V40" s="14"/>
      <c r="W40" s="14"/>
      <c r="X40" s="14"/>
      <c r="Y40" s="14"/>
      <c r="Z40" s="14"/>
      <c r="AA40" s="14"/>
      <c r="AB40" s="14"/>
      <c r="AC40" s="14"/>
    </row>
    <row r="41" spans="1:29" ht="15.75" customHeight="1">
      <c r="A41" s="43" t="s">
        <v>1353</v>
      </c>
      <c r="B41" s="43" t="s">
        <v>1203</v>
      </c>
      <c r="C41" s="43" t="s">
        <v>1204</v>
      </c>
      <c r="D41" s="43" t="s">
        <v>1354</v>
      </c>
      <c r="E41" s="43" t="s">
        <v>1355</v>
      </c>
      <c r="F41" s="14" t="b">
        <v>1</v>
      </c>
      <c r="G41" s="43" t="s">
        <v>409</v>
      </c>
      <c r="H41" s="43" t="s">
        <v>2302</v>
      </c>
      <c r="I41" s="43">
        <v>2011</v>
      </c>
      <c r="J41" s="43" t="s">
        <v>1289</v>
      </c>
      <c r="K41" s="43" t="s">
        <v>413</v>
      </c>
      <c r="L41" s="43" t="s">
        <v>2276</v>
      </c>
      <c r="M41" s="43" t="s">
        <v>2277</v>
      </c>
      <c r="N41" s="51" t="s">
        <v>1220</v>
      </c>
      <c r="O41" s="51" t="s">
        <v>1221</v>
      </c>
      <c r="P41" s="91">
        <v>1</v>
      </c>
      <c r="Q41" s="51" t="s">
        <v>1013</v>
      </c>
      <c r="R41" s="93" t="s">
        <v>1356</v>
      </c>
      <c r="T41" s="14"/>
      <c r="U41" s="14"/>
      <c r="V41" s="14"/>
      <c r="W41" s="14"/>
      <c r="X41" s="14"/>
      <c r="Y41" s="14"/>
      <c r="Z41" s="14"/>
      <c r="AA41" s="14"/>
      <c r="AB41" s="14"/>
      <c r="AC41" s="14"/>
    </row>
    <row r="42" spans="1:29" ht="17.25" customHeight="1">
      <c r="A42" s="14"/>
      <c r="B42" s="14"/>
      <c r="C42" s="14"/>
      <c r="D42" s="14"/>
      <c r="E42" s="14"/>
      <c r="F42" s="14"/>
      <c r="G42" s="14"/>
      <c r="H42" s="14"/>
      <c r="I42" s="15"/>
      <c r="J42" s="14"/>
      <c r="K42" s="14"/>
      <c r="L42" s="14"/>
      <c r="M42" s="14"/>
      <c r="N42" s="14"/>
      <c r="O42" s="14"/>
      <c r="P42" s="15"/>
      <c r="Q42" s="14"/>
      <c r="R42" s="14"/>
      <c r="S42" s="14"/>
      <c r="T42" s="14"/>
      <c r="U42" s="14"/>
      <c r="V42" s="14"/>
      <c r="W42" s="14"/>
      <c r="X42" s="14"/>
      <c r="Y42" s="14"/>
      <c r="Z42" s="14"/>
      <c r="AA42" s="14"/>
      <c r="AB42" s="14"/>
      <c r="AC42" s="14"/>
    </row>
    <row r="43" spans="1:29" ht="17.25" customHeight="1">
      <c r="A43" s="14"/>
      <c r="B43" s="14"/>
      <c r="C43" s="14"/>
      <c r="D43" s="14"/>
      <c r="E43" s="14"/>
      <c r="F43" s="14"/>
      <c r="G43" s="14"/>
      <c r="H43" s="14"/>
      <c r="I43" s="15"/>
      <c r="J43" s="14"/>
      <c r="K43" s="14"/>
      <c r="L43" s="14"/>
      <c r="M43" s="14"/>
      <c r="N43" s="14"/>
      <c r="O43" s="14"/>
      <c r="P43" s="15"/>
      <c r="Q43" s="14"/>
      <c r="R43" s="14"/>
      <c r="S43" s="14"/>
      <c r="T43" s="14"/>
      <c r="U43" s="14"/>
      <c r="V43" s="14"/>
      <c r="W43" s="14"/>
      <c r="X43" s="14"/>
      <c r="Y43" s="14"/>
      <c r="Z43" s="14"/>
      <c r="AA43" s="14"/>
      <c r="AB43" s="14"/>
      <c r="AC43" s="14"/>
    </row>
    <row r="44" spans="1:29" ht="17.25" customHeight="1">
      <c r="A44" s="14"/>
      <c r="B44" s="14"/>
      <c r="C44" s="14"/>
      <c r="D44" s="14"/>
      <c r="E44" s="14"/>
      <c r="F44" s="14"/>
      <c r="G44" s="14"/>
      <c r="H44" s="14"/>
      <c r="I44" s="15"/>
      <c r="J44" s="14"/>
      <c r="K44" s="14"/>
      <c r="L44" s="14"/>
      <c r="M44" s="14"/>
      <c r="N44" s="14"/>
      <c r="O44" s="14"/>
      <c r="P44" s="15"/>
      <c r="Q44" s="14"/>
      <c r="R44" s="14"/>
      <c r="S44" s="14"/>
      <c r="T44" s="14"/>
      <c r="U44" s="14"/>
      <c r="V44" s="14"/>
      <c r="W44" s="14"/>
      <c r="X44" s="14"/>
      <c r="Y44" s="14"/>
      <c r="Z44" s="14"/>
      <c r="AA44" s="14"/>
      <c r="AB44" s="14"/>
      <c r="AC44" s="14"/>
    </row>
    <row r="45" spans="1:29" ht="17.25" customHeight="1">
      <c r="A45" s="14"/>
      <c r="B45" s="14"/>
      <c r="C45" s="14"/>
      <c r="D45" s="14"/>
      <c r="E45" s="14"/>
      <c r="F45" s="14"/>
      <c r="G45" s="14"/>
      <c r="H45" s="14"/>
      <c r="I45" s="15"/>
      <c r="J45" s="14"/>
      <c r="K45" s="14"/>
      <c r="L45" s="14"/>
      <c r="M45" s="14"/>
      <c r="N45" s="14"/>
      <c r="O45" s="14"/>
      <c r="P45" s="15"/>
      <c r="Q45" s="14"/>
      <c r="R45" s="14"/>
      <c r="S45" s="14"/>
      <c r="T45" s="14"/>
      <c r="U45" s="14"/>
      <c r="V45" s="14"/>
      <c r="W45" s="14"/>
      <c r="X45" s="14"/>
      <c r="Y45" s="14"/>
      <c r="Z45" s="14"/>
      <c r="AA45" s="14"/>
      <c r="AB45" s="14"/>
      <c r="AC45" s="14"/>
    </row>
    <row r="46" spans="1:29" s="9" customFormat="1" ht="15.75" customHeight="1">
      <c r="A46" s="14"/>
      <c r="B46" s="43"/>
      <c r="C46" s="14"/>
      <c r="D46" s="14"/>
      <c r="E46" s="14"/>
      <c r="F46" s="14"/>
      <c r="G46" s="14"/>
      <c r="H46" s="14"/>
      <c r="I46" s="15"/>
      <c r="J46" s="14"/>
      <c r="K46" s="14"/>
      <c r="L46" s="14"/>
      <c r="M46" s="14"/>
      <c r="N46" s="14"/>
      <c r="O46" s="14"/>
      <c r="P46" s="15"/>
      <c r="Q46" s="14"/>
      <c r="R46" s="14"/>
      <c r="S46" s="14"/>
      <c r="T46" s="14"/>
      <c r="U46" s="14"/>
      <c r="V46" s="14"/>
      <c r="W46" s="14"/>
      <c r="X46" s="14"/>
      <c r="Y46" s="14"/>
      <c r="Z46" s="14"/>
      <c r="AA46" s="14"/>
      <c r="AB46" s="14"/>
      <c r="AC46" s="14"/>
    </row>
    <row r="47" spans="1:29" s="9" customFormat="1" ht="15.75" customHeight="1">
      <c r="A47" s="14"/>
      <c r="B47" s="43"/>
      <c r="C47" s="14"/>
      <c r="D47" s="14"/>
      <c r="E47" s="14"/>
      <c r="F47" s="14"/>
      <c r="G47" s="14"/>
      <c r="H47" s="14"/>
      <c r="I47" s="15"/>
      <c r="J47" s="14"/>
      <c r="K47" s="14"/>
      <c r="L47" s="14"/>
      <c r="M47" s="14"/>
      <c r="N47" s="14"/>
      <c r="O47" s="14"/>
      <c r="P47" s="15"/>
      <c r="Q47" s="14"/>
      <c r="R47" s="14"/>
      <c r="S47" s="14"/>
      <c r="T47" s="14"/>
      <c r="U47" s="14"/>
      <c r="V47" s="14"/>
      <c r="W47" s="14"/>
      <c r="X47" s="14"/>
      <c r="Y47" s="14"/>
      <c r="Z47" s="14"/>
      <c r="AA47" s="14"/>
      <c r="AB47" s="14"/>
      <c r="AC47" s="14"/>
    </row>
    <row r="48" spans="1:29" s="9" customFormat="1" ht="15.75" customHeight="1">
      <c r="A48" s="14"/>
      <c r="B48" s="43"/>
      <c r="C48" s="14"/>
      <c r="D48" s="14"/>
      <c r="E48" s="14"/>
      <c r="F48" s="14"/>
      <c r="G48" s="14"/>
      <c r="H48" s="14"/>
      <c r="I48" s="15"/>
      <c r="J48" s="14"/>
      <c r="K48" s="14"/>
      <c r="L48" s="14"/>
      <c r="M48" s="14"/>
      <c r="N48" s="14"/>
      <c r="O48" s="14"/>
      <c r="P48" s="15"/>
      <c r="Q48" s="14"/>
      <c r="R48" s="14"/>
      <c r="S48" s="14"/>
      <c r="T48" s="14"/>
      <c r="U48" s="14"/>
      <c r="V48" s="14"/>
      <c r="W48" s="14"/>
      <c r="X48" s="14"/>
      <c r="Y48" s="14"/>
      <c r="Z48" s="14"/>
      <c r="AA48" s="14"/>
      <c r="AB48" s="14"/>
      <c r="AC48" s="14"/>
    </row>
    <row r="49" spans="1:29" s="9" customFormat="1" ht="15.75" customHeight="1">
      <c r="A49" s="14"/>
      <c r="B49" s="43"/>
      <c r="C49" s="14"/>
      <c r="D49" s="14"/>
      <c r="E49" s="14"/>
      <c r="F49" s="14"/>
      <c r="G49" s="14"/>
      <c r="H49" s="14"/>
      <c r="I49" s="15"/>
      <c r="J49" s="14"/>
      <c r="K49" s="14"/>
      <c r="L49" s="14"/>
      <c r="M49" s="14"/>
      <c r="N49" s="14"/>
      <c r="O49" s="14"/>
      <c r="P49" s="15"/>
      <c r="Q49" s="14"/>
      <c r="R49" s="14"/>
      <c r="S49" s="14"/>
      <c r="T49" s="14"/>
      <c r="U49" s="14"/>
      <c r="V49" s="14"/>
      <c r="W49" s="14"/>
      <c r="X49" s="14"/>
      <c r="Y49" s="14"/>
      <c r="Z49" s="14"/>
      <c r="AA49" s="14"/>
      <c r="AB49" s="14"/>
      <c r="AC49" s="14"/>
    </row>
    <row r="50" spans="1:29" s="9" customFormat="1" ht="15.75" customHeight="1">
      <c r="A50" s="14"/>
      <c r="B50" s="43"/>
      <c r="C50" s="14"/>
      <c r="D50" s="14"/>
      <c r="E50" s="14"/>
      <c r="F50" s="14"/>
      <c r="G50" s="14"/>
      <c r="H50" s="14"/>
      <c r="I50" s="15"/>
      <c r="J50" s="14"/>
      <c r="K50" s="14"/>
      <c r="L50" s="14"/>
      <c r="M50" s="14"/>
      <c r="N50" s="14"/>
      <c r="O50" s="14"/>
      <c r="P50" s="15"/>
      <c r="Q50" s="14"/>
      <c r="R50" s="14"/>
      <c r="S50" s="14"/>
      <c r="T50" s="14"/>
      <c r="U50" s="14"/>
      <c r="V50" s="14"/>
      <c r="W50" s="14"/>
      <c r="X50" s="14"/>
      <c r="Y50" s="14"/>
      <c r="Z50" s="14"/>
      <c r="AA50" s="14"/>
      <c r="AB50" s="14"/>
      <c r="AC50" s="14"/>
    </row>
    <row r="51" spans="1:29">
      <c r="A51" s="14"/>
      <c r="B51" s="14"/>
      <c r="C51" s="14"/>
      <c r="D51" s="14"/>
      <c r="E51" s="14"/>
      <c r="F51" s="14"/>
      <c r="G51" s="14"/>
      <c r="H51" s="14"/>
      <c r="I51" s="15"/>
      <c r="J51" s="14"/>
      <c r="K51" s="14"/>
      <c r="L51" s="14"/>
      <c r="M51" s="14"/>
      <c r="N51" s="14"/>
      <c r="O51" s="14"/>
      <c r="P51" s="15"/>
      <c r="Q51" s="14"/>
      <c r="R51" s="14"/>
      <c r="S51" s="14"/>
      <c r="T51" s="14"/>
      <c r="U51" s="14"/>
      <c r="V51" s="14"/>
      <c r="W51" s="14"/>
      <c r="X51" s="14"/>
      <c r="Y51" s="14"/>
      <c r="Z51" s="14"/>
      <c r="AA51" s="14"/>
      <c r="AB51" s="14"/>
      <c r="AC51" s="14"/>
    </row>
    <row r="52" spans="1:29">
      <c r="A52" s="14"/>
      <c r="B52" s="14"/>
      <c r="C52" s="14"/>
      <c r="D52" s="14"/>
      <c r="E52" s="14"/>
      <c r="F52" s="14"/>
      <c r="G52" s="14"/>
      <c r="H52" s="14"/>
      <c r="I52" s="15"/>
      <c r="J52" s="14"/>
      <c r="K52" s="14"/>
      <c r="L52" s="14"/>
      <c r="M52" s="14"/>
      <c r="N52" s="14"/>
      <c r="O52" s="14"/>
      <c r="P52" s="15"/>
      <c r="Q52" s="14"/>
      <c r="R52" s="14"/>
      <c r="S52" s="14"/>
      <c r="T52" s="14"/>
      <c r="U52" s="14"/>
      <c r="V52" s="14"/>
      <c r="W52" s="14"/>
      <c r="X52" s="14"/>
      <c r="Y52" s="14"/>
      <c r="Z52" s="14"/>
      <c r="AA52" s="14"/>
      <c r="AB52" s="14"/>
      <c r="AC52" s="14"/>
    </row>
    <row r="53" spans="1:29">
      <c r="A53" s="14"/>
      <c r="B53" s="14"/>
      <c r="C53" s="14"/>
      <c r="D53" s="14"/>
      <c r="E53" s="14"/>
      <c r="F53" s="14"/>
      <c r="G53" s="14"/>
      <c r="H53" s="14"/>
      <c r="I53" s="15"/>
      <c r="J53" s="14"/>
      <c r="K53" s="14"/>
      <c r="L53" s="14"/>
      <c r="M53" s="14"/>
      <c r="N53" s="14"/>
      <c r="O53" s="14"/>
      <c r="P53" s="15"/>
      <c r="Q53" s="14"/>
      <c r="R53" s="14"/>
      <c r="S53" s="14"/>
      <c r="T53" s="14"/>
      <c r="U53" s="14"/>
      <c r="V53" s="14"/>
      <c r="W53" s="14"/>
      <c r="X53" s="14"/>
      <c r="Y53" s="14"/>
      <c r="Z53" s="14"/>
      <c r="AA53" s="14"/>
      <c r="AB53" s="14"/>
      <c r="AC53" s="14"/>
    </row>
    <row r="54" spans="1:29">
      <c r="A54" s="14"/>
      <c r="B54" s="14"/>
      <c r="C54" s="14"/>
      <c r="D54" s="14"/>
      <c r="E54" s="14"/>
      <c r="F54" s="14"/>
      <c r="G54" s="14"/>
      <c r="H54" s="14"/>
      <c r="I54" s="15"/>
      <c r="J54" s="14"/>
      <c r="K54" s="14"/>
      <c r="L54" s="14"/>
      <c r="M54" s="14"/>
      <c r="N54" s="14"/>
      <c r="O54" s="14"/>
      <c r="P54" s="15"/>
      <c r="Q54" s="14"/>
      <c r="R54" s="14"/>
      <c r="S54" s="14"/>
      <c r="T54" s="14"/>
      <c r="U54" s="14"/>
      <c r="V54" s="14"/>
      <c r="W54" s="14"/>
      <c r="X54" s="14"/>
      <c r="Y54" s="14"/>
      <c r="Z54" s="14"/>
      <c r="AA54" s="14"/>
      <c r="AB54" s="14"/>
      <c r="AC54" s="14"/>
    </row>
    <row r="55" spans="1:29">
      <c r="A55" s="14"/>
      <c r="B55" s="14"/>
      <c r="C55" s="14"/>
      <c r="D55" s="14"/>
      <c r="E55" s="14"/>
      <c r="F55" s="14"/>
      <c r="G55" s="14"/>
      <c r="H55" s="14"/>
      <c r="I55" s="15"/>
      <c r="J55" s="14"/>
      <c r="K55" s="14"/>
      <c r="L55" s="14"/>
      <c r="M55" s="14"/>
      <c r="N55" s="14"/>
      <c r="O55" s="14"/>
      <c r="P55" s="15"/>
      <c r="Q55" s="14"/>
      <c r="R55" s="14"/>
      <c r="S55" s="14"/>
      <c r="T55" s="14"/>
      <c r="U55" s="14"/>
      <c r="V55" s="14"/>
      <c r="W55" s="14"/>
      <c r="X55" s="14"/>
      <c r="Y55" s="14"/>
      <c r="Z55" s="14"/>
      <c r="AA55" s="14"/>
      <c r="AB55" s="14"/>
      <c r="AC55" s="14"/>
    </row>
    <row r="56" spans="1:29">
      <c r="A56" s="14"/>
      <c r="B56" s="14"/>
      <c r="C56" s="14"/>
      <c r="D56" s="14"/>
      <c r="E56" s="14"/>
      <c r="F56" s="14"/>
      <c r="G56" s="14"/>
      <c r="H56" s="14"/>
      <c r="I56" s="15"/>
      <c r="J56" s="14"/>
      <c r="K56" s="14"/>
      <c r="L56" s="14"/>
      <c r="M56" s="14"/>
      <c r="N56" s="14"/>
      <c r="O56" s="14"/>
      <c r="P56" s="15"/>
      <c r="Q56" s="14"/>
      <c r="R56" s="14"/>
      <c r="S56" s="14"/>
      <c r="T56" s="14"/>
      <c r="U56" s="14"/>
      <c r="V56" s="14"/>
      <c r="W56" s="14"/>
      <c r="X56" s="14"/>
      <c r="Y56" s="14"/>
      <c r="Z56" s="14"/>
      <c r="AA56" s="14"/>
      <c r="AB56" s="14"/>
      <c r="AC56" s="14"/>
    </row>
    <row r="57" spans="1:29">
      <c r="A57" s="14"/>
      <c r="B57" s="14"/>
      <c r="C57" s="14"/>
      <c r="D57" s="14"/>
      <c r="E57" s="14"/>
      <c r="F57" s="14"/>
      <c r="G57" s="14"/>
      <c r="H57" s="14"/>
      <c r="I57" s="15"/>
      <c r="J57" s="14"/>
      <c r="K57" s="14"/>
      <c r="L57" s="14"/>
      <c r="M57" s="14"/>
      <c r="N57" s="14"/>
      <c r="O57" s="14"/>
      <c r="P57" s="15"/>
      <c r="Q57" s="14"/>
      <c r="R57" s="14"/>
      <c r="S57" s="14"/>
      <c r="T57" s="14"/>
      <c r="U57" s="14"/>
      <c r="V57" s="14"/>
      <c r="W57" s="14"/>
      <c r="X57" s="14"/>
      <c r="Y57" s="14"/>
      <c r="Z57" s="14"/>
      <c r="AA57" s="14"/>
      <c r="AB57" s="14"/>
      <c r="AC57" s="14"/>
    </row>
    <row r="58" spans="1:29">
      <c r="A58" s="14"/>
      <c r="B58" s="14"/>
      <c r="C58" s="14"/>
      <c r="D58" s="14"/>
      <c r="E58" s="14"/>
      <c r="F58" s="14"/>
      <c r="G58" s="14"/>
      <c r="H58" s="14"/>
      <c r="I58" s="15"/>
      <c r="J58" s="14"/>
      <c r="K58" s="14"/>
      <c r="L58" s="14"/>
      <c r="M58" s="14"/>
      <c r="N58" s="14"/>
      <c r="O58" s="14"/>
      <c r="P58" s="15"/>
      <c r="Q58" s="14"/>
      <c r="R58" s="14"/>
      <c r="S58" s="14"/>
      <c r="T58" s="14"/>
      <c r="U58" s="14"/>
      <c r="V58" s="14"/>
      <c r="W58" s="14"/>
      <c r="X58" s="14"/>
      <c r="Y58" s="14"/>
      <c r="Z58" s="14"/>
      <c r="AA58" s="14"/>
      <c r="AB58" s="14"/>
      <c r="AC58" s="14"/>
    </row>
    <row r="59" spans="1:29">
      <c r="A59" s="14"/>
      <c r="B59" s="14"/>
      <c r="C59" s="14"/>
      <c r="D59" s="14"/>
      <c r="E59" s="14"/>
      <c r="F59" s="14"/>
      <c r="G59" s="14"/>
      <c r="H59" s="14"/>
      <c r="I59" s="15"/>
      <c r="J59" s="14"/>
      <c r="K59" s="14"/>
      <c r="L59" s="14"/>
      <c r="M59" s="14"/>
      <c r="N59" s="14"/>
      <c r="O59" s="14"/>
      <c r="P59" s="15"/>
      <c r="Q59" s="14"/>
      <c r="R59" s="14"/>
      <c r="S59" s="14"/>
      <c r="T59" s="14"/>
      <c r="U59" s="14"/>
      <c r="V59" s="14"/>
      <c r="W59" s="14"/>
      <c r="X59" s="14"/>
      <c r="Y59" s="14"/>
      <c r="Z59" s="14"/>
      <c r="AA59" s="14"/>
      <c r="AB59" s="14"/>
      <c r="AC59" s="14"/>
    </row>
    <row r="60" spans="1:29">
      <c r="A60" s="14"/>
      <c r="B60" s="14"/>
      <c r="C60" s="14"/>
      <c r="D60" s="14"/>
      <c r="E60" s="14"/>
      <c r="F60" s="14"/>
      <c r="G60" s="14"/>
      <c r="H60" s="14"/>
      <c r="I60" s="15"/>
      <c r="J60" s="14"/>
      <c r="K60" s="14"/>
      <c r="L60" s="14"/>
      <c r="M60" s="14"/>
      <c r="N60" s="14"/>
      <c r="O60" s="14"/>
      <c r="P60" s="15"/>
      <c r="Q60" s="14"/>
      <c r="R60" s="14"/>
      <c r="S60" s="14"/>
      <c r="T60" s="14"/>
      <c r="U60" s="14"/>
      <c r="V60" s="14"/>
      <c r="W60" s="14"/>
      <c r="X60" s="14"/>
      <c r="Y60" s="14"/>
      <c r="Z60" s="14"/>
      <c r="AA60" s="14"/>
      <c r="AB60" s="14"/>
      <c r="AC60" s="14"/>
    </row>
    <row r="61" spans="1:29">
      <c r="A61" s="14"/>
      <c r="B61" s="14"/>
      <c r="C61" s="14"/>
      <c r="D61" s="14"/>
      <c r="E61" s="14"/>
      <c r="F61" s="14"/>
      <c r="G61" s="14"/>
      <c r="H61" s="14"/>
      <c r="I61" s="15"/>
      <c r="J61" s="14"/>
      <c r="K61" s="14"/>
      <c r="L61" s="14"/>
      <c r="M61" s="14"/>
      <c r="N61" s="14"/>
      <c r="O61" s="14"/>
      <c r="P61" s="15"/>
      <c r="Q61" s="14"/>
      <c r="R61" s="14"/>
      <c r="S61" s="14"/>
      <c r="T61" s="14"/>
      <c r="U61" s="14"/>
      <c r="V61" s="14"/>
      <c r="W61" s="14"/>
      <c r="X61" s="14"/>
      <c r="Y61" s="14"/>
      <c r="Z61" s="14"/>
      <c r="AA61" s="14"/>
      <c r="AB61" s="14"/>
      <c r="AC61" s="14"/>
    </row>
    <row r="62" spans="1:29">
      <c r="A62" s="14"/>
      <c r="B62" s="14"/>
      <c r="C62" s="14"/>
      <c r="D62" s="14"/>
      <c r="E62" s="14"/>
      <c r="F62" s="14"/>
      <c r="G62" s="14"/>
      <c r="H62" s="14"/>
      <c r="I62" s="15"/>
      <c r="J62" s="14"/>
      <c r="K62" s="14"/>
      <c r="L62" s="14"/>
      <c r="M62" s="14"/>
      <c r="N62" s="14"/>
      <c r="O62" s="14"/>
      <c r="P62" s="15"/>
      <c r="Q62" s="14"/>
      <c r="R62" s="14"/>
      <c r="S62" s="14"/>
      <c r="T62" s="14"/>
      <c r="U62" s="14"/>
      <c r="V62" s="14"/>
      <c r="W62" s="14"/>
      <c r="X62" s="14"/>
      <c r="Y62" s="14"/>
      <c r="Z62" s="14"/>
      <c r="AA62" s="14"/>
      <c r="AB62" s="14"/>
      <c r="AC62" s="14"/>
    </row>
    <row r="63" spans="1:29">
      <c r="A63" s="14"/>
      <c r="B63" s="14"/>
      <c r="C63" s="14"/>
      <c r="D63" s="14"/>
      <c r="E63" s="14"/>
      <c r="F63" s="14"/>
      <c r="G63" s="14"/>
      <c r="H63" s="14"/>
      <c r="I63" s="15"/>
      <c r="J63" s="14"/>
      <c r="K63" s="14"/>
      <c r="L63" s="14"/>
      <c r="M63" s="14"/>
      <c r="N63" s="14"/>
      <c r="O63" s="14"/>
      <c r="P63" s="15"/>
      <c r="Q63" s="14"/>
      <c r="R63" s="14"/>
      <c r="S63" s="14"/>
      <c r="T63" s="14"/>
      <c r="U63" s="14"/>
      <c r="V63" s="14"/>
      <c r="W63" s="14"/>
      <c r="X63" s="14"/>
      <c r="Y63" s="14"/>
      <c r="Z63" s="14"/>
      <c r="AA63" s="14"/>
      <c r="AB63" s="14"/>
      <c r="AC63" s="14"/>
    </row>
    <row r="64" spans="1:29">
      <c r="A64" s="14"/>
      <c r="B64" s="14"/>
      <c r="C64" s="14"/>
      <c r="D64" s="14"/>
      <c r="E64" s="14"/>
      <c r="F64" s="14"/>
      <c r="G64" s="14"/>
      <c r="H64" s="14"/>
      <c r="I64" s="15"/>
      <c r="J64" s="14"/>
      <c r="K64" s="14"/>
      <c r="L64" s="14"/>
      <c r="M64" s="14"/>
      <c r="N64" s="14"/>
      <c r="O64" s="14"/>
      <c r="P64" s="15"/>
      <c r="Q64" s="14"/>
      <c r="R64" s="14"/>
      <c r="S64" s="14"/>
      <c r="T64" s="14"/>
      <c r="U64" s="14"/>
      <c r="V64" s="14"/>
      <c r="W64" s="14"/>
      <c r="X64" s="14"/>
      <c r="Y64" s="14"/>
      <c r="Z64" s="14"/>
      <c r="AA64" s="14"/>
      <c r="AB64" s="14"/>
      <c r="AC64" s="14"/>
    </row>
    <row r="65" spans="1:29">
      <c r="A65" s="14"/>
      <c r="B65" s="14"/>
      <c r="C65" s="14"/>
      <c r="D65" s="14"/>
      <c r="E65" s="14"/>
      <c r="F65" s="14"/>
      <c r="G65" s="14"/>
      <c r="H65" s="14"/>
      <c r="I65" s="15"/>
      <c r="J65" s="14"/>
      <c r="K65" s="14"/>
      <c r="L65" s="14"/>
      <c r="M65" s="14"/>
      <c r="N65" s="14"/>
      <c r="O65" s="14"/>
      <c r="P65" s="15"/>
      <c r="Q65" s="14"/>
      <c r="R65" s="14"/>
      <c r="S65" s="14"/>
      <c r="T65" s="14"/>
      <c r="U65" s="14"/>
      <c r="V65" s="14"/>
      <c r="W65" s="14"/>
      <c r="X65" s="14"/>
      <c r="Y65" s="14"/>
      <c r="Z65" s="14"/>
      <c r="AA65" s="14"/>
      <c r="AB65" s="14"/>
      <c r="AC65" s="14"/>
    </row>
    <row r="66" spans="1:29">
      <c r="A66" s="14"/>
      <c r="B66" s="14"/>
      <c r="C66" s="14"/>
      <c r="D66" s="14"/>
      <c r="E66" s="14"/>
      <c r="F66" s="14"/>
      <c r="G66" s="14"/>
      <c r="H66" s="14"/>
      <c r="I66" s="15"/>
      <c r="J66" s="14"/>
      <c r="K66" s="14"/>
      <c r="L66" s="14"/>
      <c r="M66" s="14"/>
      <c r="N66" s="14"/>
      <c r="O66" s="14"/>
      <c r="P66" s="15"/>
      <c r="Q66" s="14"/>
      <c r="R66" s="14"/>
      <c r="S66" s="14"/>
      <c r="T66" s="14"/>
      <c r="U66" s="14"/>
      <c r="V66" s="14"/>
      <c r="W66" s="14"/>
      <c r="X66" s="14"/>
      <c r="Y66" s="14"/>
      <c r="Z66" s="14"/>
      <c r="AA66" s="14"/>
      <c r="AB66" s="14"/>
      <c r="AC66" s="14"/>
    </row>
    <row r="67" spans="1:29">
      <c r="A67" s="14"/>
      <c r="B67" s="14"/>
      <c r="C67" s="14"/>
      <c r="D67" s="14"/>
      <c r="E67" s="14"/>
      <c r="F67" s="14"/>
      <c r="G67" s="14"/>
      <c r="H67" s="14"/>
      <c r="I67" s="15"/>
      <c r="J67" s="14"/>
      <c r="K67" s="14"/>
      <c r="L67" s="14"/>
      <c r="M67" s="14"/>
      <c r="N67" s="14"/>
      <c r="O67" s="14"/>
      <c r="P67" s="15"/>
      <c r="Q67" s="14"/>
      <c r="R67" s="14"/>
      <c r="S67" s="14"/>
      <c r="T67" s="14"/>
      <c r="U67" s="14"/>
      <c r="V67" s="14"/>
      <c r="W67" s="14"/>
      <c r="X67" s="14"/>
      <c r="Y67" s="14"/>
      <c r="Z67" s="14"/>
      <c r="AA67" s="14"/>
      <c r="AB67" s="14"/>
      <c r="AC67" s="14"/>
    </row>
    <row r="68" spans="1:29">
      <c r="A68" s="14"/>
      <c r="B68" s="14"/>
      <c r="C68" s="14"/>
      <c r="D68" s="14"/>
      <c r="E68" s="14"/>
      <c r="F68" s="14"/>
      <c r="G68" s="14"/>
      <c r="H68" s="14"/>
      <c r="I68" s="15"/>
      <c r="J68" s="14"/>
      <c r="K68" s="14"/>
      <c r="L68" s="14"/>
      <c r="M68" s="14"/>
      <c r="N68" s="14"/>
      <c r="O68" s="14"/>
      <c r="P68" s="15"/>
      <c r="Q68" s="14"/>
      <c r="R68" s="14"/>
      <c r="S68" s="14"/>
      <c r="T68" s="14"/>
      <c r="U68" s="14"/>
      <c r="V68" s="14"/>
      <c r="W68" s="14"/>
      <c r="X68" s="14"/>
      <c r="Y68" s="14"/>
      <c r="Z68" s="14"/>
      <c r="AA68" s="14"/>
      <c r="AB68" s="14"/>
      <c r="AC68" s="14"/>
    </row>
    <row r="69" spans="1:29">
      <c r="A69" s="14"/>
      <c r="B69" s="14"/>
      <c r="C69" s="14"/>
      <c r="D69" s="14"/>
      <c r="E69" s="14"/>
      <c r="F69" s="14"/>
      <c r="G69" s="14"/>
      <c r="H69" s="14"/>
      <c r="I69" s="15"/>
      <c r="J69" s="14"/>
      <c r="K69" s="14"/>
      <c r="L69" s="14"/>
      <c r="M69" s="14"/>
      <c r="N69" s="14"/>
      <c r="O69" s="14"/>
      <c r="P69" s="15"/>
      <c r="Q69" s="14"/>
      <c r="R69" s="14"/>
      <c r="S69" s="14"/>
      <c r="T69" s="14"/>
      <c r="U69" s="14"/>
      <c r="V69" s="14"/>
      <c r="W69" s="14"/>
      <c r="X69" s="14"/>
      <c r="Y69" s="14"/>
      <c r="Z69" s="14"/>
      <c r="AA69" s="14"/>
      <c r="AB69" s="14"/>
      <c r="AC69" s="14"/>
    </row>
    <row r="70" spans="1:29">
      <c r="A70" s="14"/>
      <c r="B70" s="14"/>
      <c r="C70" s="14"/>
      <c r="D70" s="14"/>
      <c r="E70" s="14"/>
      <c r="F70" s="14"/>
      <c r="G70" s="14"/>
      <c r="H70" s="14"/>
      <c r="I70" s="15"/>
      <c r="J70" s="14"/>
      <c r="K70" s="14"/>
      <c r="L70" s="14"/>
      <c r="M70" s="14"/>
      <c r="N70" s="14"/>
      <c r="O70" s="14"/>
      <c r="P70" s="15"/>
      <c r="Q70" s="14"/>
      <c r="R70" s="14"/>
      <c r="S70" s="14"/>
      <c r="T70" s="14"/>
      <c r="U70" s="14"/>
      <c r="V70" s="14"/>
      <c r="W70" s="14"/>
      <c r="X70" s="14"/>
      <c r="Y70" s="14"/>
      <c r="Z70" s="14"/>
      <c r="AA70" s="14"/>
      <c r="AB70" s="14"/>
      <c r="AC70" s="14"/>
    </row>
    <row r="71" spans="1:29">
      <c r="A71" s="14"/>
      <c r="B71" s="14"/>
      <c r="C71" s="14"/>
      <c r="D71" s="14"/>
      <c r="E71" s="14"/>
      <c r="F71" s="14"/>
      <c r="G71" s="14"/>
      <c r="H71" s="14"/>
      <c r="I71" s="15"/>
      <c r="J71" s="14"/>
      <c r="K71" s="14"/>
      <c r="L71" s="14"/>
      <c r="M71" s="14"/>
      <c r="N71" s="14"/>
      <c r="O71" s="14"/>
      <c r="P71" s="15"/>
      <c r="Q71" s="14"/>
      <c r="R71" s="14"/>
      <c r="S71" s="14"/>
      <c r="T71" s="14"/>
      <c r="U71" s="14"/>
      <c r="V71" s="14"/>
      <c r="W71" s="14"/>
      <c r="X71" s="14"/>
      <c r="Y71" s="14"/>
      <c r="Z71" s="14"/>
      <c r="AA71" s="14"/>
      <c r="AB71" s="14"/>
      <c r="AC71" s="14"/>
    </row>
    <row r="72" spans="1:29">
      <c r="A72" s="14"/>
      <c r="B72" s="14"/>
      <c r="C72" s="14"/>
      <c r="D72" s="14"/>
      <c r="E72" s="14"/>
      <c r="F72" s="14"/>
      <c r="G72" s="14"/>
      <c r="H72" s="14"/>
      <c r="I72" s="15"/>
      <c r="J72" s="14"/>
      <c r="K72" s="14"/>
      <c r="L72" s="14"/>
      <c r="M72" s="14"/>
      <c r="N72" s="14"/>
      <c r="O72" s="14"/>
      <c r="P72" s="15"/>
      <c r="Q72" s="14"/>
      <c r="R72" s="14"/>
      <c r="S72" s="14"/>
      <c r="T72" s="14"/>
      <c r="U72" s="14"/>
      <c r="V72" s="14"/>
      <c r="W72" s="14"/>
      <c r="X72" s="14"/>
      <c r="Y72" s="14"/>
      <c r="Z72" s="14"/>
      <c r="AA72" s="14"/>
      <c r="AB72" s="14"/>
      <c r="AC72" s="14"/>
    </row>
    <row r="73" spans="1:29">
      <c r="A73" s="14"/>
      <c r="B73" s="14"/>
      <c r="C73" s="14"/>
      <c r="D73" s="14"/>
      <c r="E73" s="14"/>
      <c r="F73" s="14"/>
      <c r="G73" s="14"/>
      <c r="H73" s="14"/>
      <c r="I73" s="15"/>
      <c r="J73" s="14"/>
      <c r="K73" s="14"/>
      <c r="L73" s="14"/>
      <c r="M73" s="14"/>
      <c r="N73" s="14"/>
      <c r="O73" s="14"/>
      <c r="P73" s="15"/>
      <c r="Q73" s="14"/>
      <c r="R73" s="14"/>
      <c r="S73" s="14"/>
      <c r="T73" s="14"/>
      <c r="U73" s="14"/>
      <c r="V73" s="14"/>
      <c r="W73" s="14"/>
      <c r="X73" s="14"/>
      <c r="Y73" s="14"/>
      <c r="Z73" s="14"/>
      <c r="AA73" s="14"/>
      <c r="AB73" s="14"/>
      <c r="AC73" s="14"/>
    </row>
    <row r="74" spans="1:29">
      <c r="A74" s="14"/>
      <c r="B74" s="14"/>
      <c r="C74" s="14"/>
      <c r="D74" s="14"/>
      <c r="E74" s="14"/>
      <c r="F74" s="14"/>
      <c r="G74" s="14"/>
      <c r="H74" s="14"/>
      <c r="I74" s="15"/>
      <c r="J74" s="14"/>
      <c r="K74" s="14"/>
      <c r="L74" s="14"/>
      <c r="M74" s="14"/>
      <c r="N74" s="14"/>
      <c r="O74" s="14"/>
      <c r="P74" s="15"/>
      <c r="Q74" s="14"/>
      <c r="R74" s="14"/>
      <c r="S74" s="14"/>
      <c r="T74" s="14"/>
      <c r="U74" s="14"/>
      <c r="V74" s="14"/>
      <c r="W74" s="14"/>
      <c r="X74" s="14"/>
      <c r="Y74" s="14"/>
      <c r="Z74" s="14"/>
      <c r="AA74" s="14"/>
      <c r="AB74" s="14"/>
      <c r="AC74" s="14"/>
    </row>
    <row r="75" spans="1:29">
      <c r="A75" s="14"/>
      <c r="B75" s="14"/>
      <c r="C75" s="14"/>
      <c r="D75" s="14"/>
      <c r="E75" s="14"/>
      <c r="F75" s="14"/>
      <c r="G75" s="14"/>
      <c r="H75" s="14"/>
      <c r="I75" s="15"/>
      <c r="J75" s="14"/>
      <c r="K75" s="14"/>
      <c r="L75" s="14"/>
      <c r="M75" s="14"/>
      <c r="N75" s="14"/>
      <c r="O75" s="14"/>
      <c r="P75" s="15"/>
      <c r="Q75" s="14"/>
      <c r="R75" s="14"/>
      <c r="S75" s="14"/>
      <c r="T75" s="14"/>
      <c r="U75" s="14"/>
      <c r="V75" s="14"/>
      <c r="W75" s="14"/>
      <c r="X75" s="14"/>
      <c r="Y75" s="14"/>
      <c r="Z75" s="14"/>
      <c r="AA75" s="14"/>
      <c r="AB75" s="14"/>
      <c r="AC75" s="14"/>
    </row>
    <row r="76" spans="1:29">
      <c r="A76" s="14"/>
      <c r="B76" s="14"/>
      <c r="C76" s="14"/>
      <c r="D76" s="14"/>
      <c r="E76" s="14"/>
      <c r="F76" s="14"/>
      <c r="G76" s="14"/>
      <c r="H76" s="14"/>
      <c r="I76" s="15"/>
      <c r="J76" s="14"/>
      <c r="K76" s="14"/>
      <c r="L76" s="14"/>
      <c r="M76" s="14"/>
      <c r="N76" s="14"/>
      <c r="O76" s="14"/>
      <c r="P76" s="15"/>
      <c r="Q76" s="14"/>
      <c r="R76" s="14"/>
      <c r="S76" s="14"/>
      <c r="T76" s="14"/>
      <c r="U76" s="14"/>
      <c r="V76" s="14"/>
      <c r="W76" s="14"/>
      <c r="X76" s="14"/>
      <c r="Y76" s="14"/>
      <c r="Z76" s="14"/>
      <c r="AA76" s="14"/>
      <c r="AB76" s="14"/>
      <c r="AC76" s="14"/>
    </row>
    <row r="77" spans="1:29">
      <c r="A77" s="14"/>
      <c r="B77" s="14"/>
      <c r="C77" s="14"/>
      <c r="D77" s="14"/>
      <c r="E77" s="14"/>
      <c r="F77" s="14"/>
      <c r="G77" s="14"/>
      <c r="H77" s="14"/>
      <c r="I77" s="15"/>
      <c r="J77" s="14"/>
      <c r="K77" s="14"/>
      <c r="L77" s="14"/>
      <c r="M77" s="14"/>
      <c r="N77" s="14"/>
      <c r="O77" s="14"/>
      <c r="P77" s="15"/>
      <c r="Q77" s="14"/>
      <c r="R77" s="14"/>
      <c r="S77" s="14"/>
      <c r="T77" s="14"/>
      <c r="U77" s="14"/>
      <c r="V77" s="14"/>
      <c r="W77" s="14"/>
      <c r="X77" s="14"/>
      <c r="Y77" s="14"/>
      <c r="Z77" s="14"/>
      <c r="AA77" s="14"/>
      <c r="AB77" s="14"/>
      <c r="AC77" s="14"/>
    </row>
    <row r="78" spans="1:29">
      <c r="A78" s="14"/>
      <c r="B78" s="14"/>
      <c r="C78" s="14"/>
      <c r="D78" s="14"/>
      <c r="E78" s="14"/>
      <c r="F78" s="14"/>
      <c r="G78" s="14"/>
      <c r="H78" s="14"/>
      <c r="I78" s="15"/>
      <c r="J78" s="14"/>
      <c r="K78" s="14"/>
      <c r="L78" s="14"/>
      <c r="M78" s="14"/>
      <c r="N78" s="14"/>
      <c r="O78" s="14"/>
      <c r="P78" s="15"/>
      <c r="Q78" s="14"/>
      <c r="R78" s="14"/>
      <c r="S78" s="14"/>
      <c r="T78" s="14"/>
      <c r="U78" s="14"/>
      <c r="V78" s="14"/>
      <c r="W78" s="14"/>
      <c r="X78" s="14"/>
      <c r="Y78" s="14"/>
      <c r="Z78" s="14"/>
      <c r="AA78" s="14"/>
      <c r="AB78" s="14"/>
      <c r="AC78" s="14"/>
    </row>
    <row r="79" spans="1:29">
      <c r="A79" s="14"/>
      <c r="B79" s="14"/>
      <c r="C79" s="14"/>
      <c r="D79" s="14"/>
      <c r="E79" s="14"/>
      <c r="F79" s="14"/>
      <c r="G79" s="14"/>
      <c r="H79" s="14"/>
      <c r="I79" s="15"/>
      <c r="J79" s="14"/>
      <c r="K79" s="14"/>
      <c r="L79" s="14"/>
      <c r="M79" s="14"/>
      <c r="N79" s="14"/>
      <c r="O79" s="14"/>
      <c r="P79" s="15"/>
      <c r="Q79" s="14"/>
      <c r="R79" s="14"/>
      <c r="S79" s="14"/>
      <c r="T79" s="14"/>
      <c r="U79" s="14"/>
      <c r="V79" s="14"/>
      <c r="W79" s="14"/>
      <c r="X79" s="14"/>
      <c r="Y79" s="14"/>
      <c r="Z79" s="14"/>
      <c r="AA79" s="14"/>
      <c r="AB79" s="14"/>
      <c r="AC79" s="14"/>
    </row>
    <row r="80" spans="1:29">
      <c r="A80" s="14"/>
      <c r="B80" s="14"/>
      <c r="C80" s="14"/>
      <c r="D80" s="14"/>
      <c r="E80" s="14"/>
      <c r="F80" s="14"/>
      <c r="G80" s="14"/>
      <c r="H80" s="14"/>
      <c r="I80" s="15"/>
      <c r="J80" s="14"/>
      <c r="K80" s="14"/>
      <c r="L80" s="14"/>
      <c r="M80" s="14"/>
      <c r="N80" s="14"/>
      <c r="O80" s="14"/>
      <c r="P80" s="15"/>
      <c r="Q80" s="14"/>
      <c r="R80" s="14"/>
      <c r="S80" s="14"/>
      <c r="T80" s="14"/>
      <c r="U80" s="14"/>
      <c r="V80" s="14"/>
      <c r="W80" s="14"/>
      <c r="X80" s="14"/>
      <c r="Y80" s="14"/>
      <c r="Z80" s="14"/>
      <c r="AA80" s="14"/>
      <c r="AB80" s="14"/>
      <c r="AC80" s="14"/>
    </row>
    <row r="81" spans="1:29">
      <c r="A81" s="14"/>
      <c r="B81" s="14"/>
      <c r="C81" s="14"/>
      <c r="D81" s="14"/>
      <c r="E81" s="14"/>
      <c r="F81" s="14"/>
      <c r="G81" s="14"/>
      <c r="H81" s="14"/>
      <c r="I81" s="15"/>
      <c r="J81" s="14"/>
      <c r="K81" s="14"/>
      <c r="L81" s="14"/>
      <c r="M81" s="14"/>
      <c r="N81" s="14"/>
      <c r="O81" s="14"/>
      <c r="P81" s="15"/>
      <c r="Q81" s="14"/>
      <c r="R81" s="14"/>
      <c r="S81" s="14"/>
      <c r="T81" s="14"/>
      <c r="U81" s="14"/>
      <c r="V81" s="14"/>
      <c r="W81" s="14"/>
      <c r="X81" s="14"/>
      <c r="Y81" s="14"/>
      <c r="Z81" s="14"/>
      <c r="AA81" s="14"/>
      <c r="AB81" s="14"/>
      <c r="AC81" s="14"/>
    </row>
    <row r="82" spans="1:29">
      <c r="A82" s="14"/>
      <c r="B82" s="14"/>
      <c r="C82" s="14"/>
      <c r="D82" s="14"/>
      <c r="E82" s="14"/>
      <c r="F82" s="14"/>
      <c r="G82" s="14"/>
      <c r="H82" s="14"/>
      <c r="I82" s="15"/>
      <c r="J82" s="14"/>
      <c r="K82" s="14"/>
      <c r="L82" s="14"/>
      <c r="M82" s="14"/>
      <c r="N82" s="14"/>
      <c r="O82" s="14"/>
      <c r="P82" s="15"/>
      <c r="Q82" s="14"/>
      <c r="R82" s="14"/>
      <c r="S82" s="14"/>
      <c r="T82" s="14"/>
      <c r="U82" s="14"/>
      <c r="V82" s="14"/>
      <c r="W82" s="14"/>
      <c r="X82" s="14"/>
      <c r="Y82" s="14"/>
      <c r="Z82" s="14"/>
      <c r="AA82" s="14"/>
      <c r="AB82" s="14"/>
      <c r="AC82" s="14"/>
    </row>
    <row r="83" spans="1:29">
      <c r="A83" s="14"/>
      <c r="B83" s="14"/>
      <c r="C83" s="14"/>
      <c r="D83" s="14"/>
      <c r="E83" s="14"/>
      <c r="F83" s="14"/>
      <c r="G83" s="14"/>
      <c r="H83" s="14"/>
      <c r="I83" s="15"/>
      <c r="J83" s="14"/>
      <c r="K83" s="14"/>
      <c r="L83" s="14"/>
      <c r="M83" s="14"/>
      <c r="N83" s="14"/>
      <c r="O83" s="14"/>
      <c r="P83" s="15"/>
      <c r="Q83" s="14"/>
      <c r="R83" s="14"/>
      <c r="S83" s="14"/>
      <c r="T83" s="14"/>
      <c r="U83" s="14"/>
      <c r="V83" s="14"/>
      <c r="W83" s="14"/>
      <c r="X83" s="14"/>
      <c r="Y83" s="14"/>
      <c r="Z83" s="14"/>
      <c r="AA83" s="14"/>
      <c r="AB83" s="14"/>
      <c r="AC83" s="14"/>
    </row>
    <row r="84" spans="1:29">
      <c r="A84" s="14"/>
      <c r="B84" s="14"/>
      <c r="C84" s="14"/>
      <c r="D84" s="14"/>
      <c r="E84" s="14"/>
      <c r="F84" s="14"/>
      <c r="G84" s="14"/>
      <c r="H84" s="14"/>
      <c r="I84" s="15"/>
      <c r="J84" s="14"/>
      <c r="K84" s="14"/>
      <c r="L84" s="14"/>
      <c r="M84" s="14"/>
      <c r="N84" s="14"/>
      <c r="O84" s="14"/>
      <c r="P84" s="15"/>
      <c r="Q84" s="14"/>
      <c r="R84" s="14"/>
      <c r="S84" s="14"/>
      <c r="T84" s="14"/>
      <c r="U84" s="14"/>
      <c r="V84" s="14"/>
      <c r="W84" s="14"/>
      <c r="X84" s="14"/>
      <c r="Y84" s="14"/>
      <c r="Z84" s="14"/>
      <c r="AA84" s="14"/>
      <c r="AB84" s="14"/>
      <c r="AC84" s="14"/>
    </row>
    <row r="85" spans="1:29">
      <c r="A85" s="14"/>
      <c r="B85" s="14"/>
      <c r="C85" s="14"/>
      <c r="D85" s="14"/>
      <c r="E85" s="14"/>
      <c r="F85" s="14"/>
      <c r="G85" s="14"/>
      <c r="H85" s="14"/>
      <c r="I85" s="15"/>
      <c r="J85" s="14"/>
      <c r="K85" s="14"/>
      <c r="L85" s="14"/>
      <c r="M85" s="14"/>
      <c r="N85" s="14"/>
      <c r="O85" s="14"/>
      <c r="P85" s="15"/>
      <c r="Q85" s="14"/>
      <c r="R85" s="14"/>
      <c r="S85" s="14"/>
      <c r="T85" s="14"/>
      <c r="U85" s="14"/>
      <c r="V85" s="14"/>
      <c r="W85" s="14"/>
      <c r="X85" s="14"/>
      <c r="Y85" s="14"/>
      <c r="Z85" s="14"/>
      <c r="AA85" s="14"/>
      <c r="AB85" s="14"/>
      <c r="AC85" s="14"/>
    </row>
    <row r="86" spans="1:29">
      <c r="A86" s="14"/>
      <c r="B86" s="14"/>
      <c r="C86" s="14"/>
      <c r="D86" s="14"/>
      <c r="E86" s="14"/>
      <c r="F86" s="14"/>
      <c r="G86" s="14"/>
      <c r="H86" s="14"/>
      <c r="I86" s="15"/>
      <c r="J86" s="14"/>
      <c r="K86" s="14"/>
      <c r="L86" s="14"/>
      <c r="M86" s="14"/>
      <c r="N86" s="14"/>
      <c r="O86" s="14"/>
      <c r="P86" s="15"/>
      <c r="Q86" s="14"/>
      <c r="R86" s="14"/>
      <c r="S86" s="14"/>
      <c r="T86" s="14"/>
      <c r="U86" s="14"/>
      <c r="V86" s="14"/>
      <c r="W86" s="14"/>
      <c r="X86" s="14"/>
      <c r="Y86" s="14"/>
      <c r="Z86" s="14"/>
      <c r="AA86" s="14"/>
      <c r="AB86" s="14"/>
      <c r="AC86" s="14"/>
    </row>
    <row r="87" spans="1:29">
      <c r="A87" s="14"/>
      <c r="B87" s="14"/>
      <c r="C87" s="14"/>
      <c r="D87" s="14"/>
      <c r="E87" s="14"/>
      <c r="F87" s="14"/>
      <c r="G87" s="14"/>
      <c r="H87" s="14"/>
      <c r="I87" s="15"/>
      <c r="J87" s="14"/>
      <c r="K87" s="14"/>
      <c r="L87" s="14"/>
      <c r="M87" s="14"/>
      <c r="N87" s="14"/>
      <c r="O87" s="14"/>
      <c r="P87" s="15"/>
      <c r="Q87" s="14"/>
      <c r="R87" s="14"/>
      <c r="S87" s="14"/>
      <c r="T87" s="14"/>
      <c r="U87" s="14"/>
      <c r="V87" s="14"/>
      <c r="W87" s="14"/>
      <c r="X87" s="14"/>
      <c r="Y87" s="14"/>
      <c r="Z87" s="14"/>
      <c r="AA87" s="14"/>
      <c r="AB87" s="14"/>
      <c r="AC87" s="14"/>
    </row>
    <row r="88" spans="1:29">
      <c r="A88" s="14"/>
      <c r="B88" s="14"/>
      <c r="C88" s="14"/>
      <c r="D88" s="14"/>
      <c r="E88" s="14"/>
      <c r="F88" s="14"/>
      <c r="G88" s="14"/>
      <c r="H88" s="14"/>
      <c r="I88" s="15"/>
      <c r="J88" s="14"/>
      <c r="K88" s="14"/>
      <c r="L88" s="14"/>
      <c r="M88" s="14"/>
      <c r="N88" s="14"/>
      <c r="O88" s="14"/>
      <c r="P88" s="15"/>
      <c r="Q88" s="14"/>
      <c r="R88" s="14"/>
      <c r="S88" s="14"/>
      <c r="T88" s="14"/>
      <c r="U88" s="14"/>
      <c r="V88" s="14"/>
      <c r="W88" s="14"/>
      <c r="X88" s="14"/>
      <c r="Y88" s="14"/>
      <c r="Z88" s="14"/>
      <c r="AA88" s="14"/>
      <c r="AB88" s="14"/>
      <c r="AC88" s="14"/>
    </row>
    <row r="89" spans="1:29">
      <c r="A89" s="14"/>
      <c r="B89" s="14"/>
      <c r="C89" s="14"/>
      <c r="D89" s="14"/>
      <c r="E89" s="14"/>
      <c r="F89" s="14"/>
      <c r="G89" s="14"/>
      <c r="H89" s="14"/>
      <c r="I89" s="15"/>
      <c r="J89" s="14"/>
      <c r="K89" s="14"/>
      <c r="L89" s="14"/>
      <c r="M89" s="14"/>
      <c r="N89" s="14"/>
      <c r="O89" s="14"/>
      <c r="P89" s="15"/>
      <c r="Q89" s="14"/>
      <c r="R89" s="14"/>
      <c r="S89" s="14"/>
      <c r="T89" s="14"/>
      <c r="U89" s="14"/>
      <c r="V89" s="14"/>
      <c r="W89" s="14"/>
      <c r="X89" s="14"/>
      <c r="Y89" s="14"/>
      <c r="Z89" s="14"/>
      <c r="AA89" s="14"/>
      <c r="AB89" s="14"/>
      <c r="AC89" s="14"/>
    </row>
    <row r="90" spans="1:29">
      <c r="A90" s="14"/>
      <c r="B90" s="14"/>
      <c r="C90" s="14"/>
      <c r="D90" s="14"/>
      <c r="E90" s="14"/>
      <c r="F90" s="14"/>
      <c r="G90" s="14"/>
      <c r="H90" s="14"/>
      <c r="I90" s="15"/>
      <c r="J90" s="14"/>
      <c r="K90" s="14"/>
      <c r="L90" s="14"/>
      <c r="M90" s="14"/>
      <c r="N90" s="14"/>
      <c r="O90" s="14"/>
      <c r="P90" s="15"/>
      <c r="Q90" s="14"/>
      <c r="R90" s="14"/>
      <c r="S90" s="14"/>
      <c r="T90" s="14"/>
      <c r="U90" s="14"/>
      <c r="V90" s="14"/>
      <c r="W90" s="14"/>
      <c r="X90" s="14"/>
      <c r="Y90" s="14"/>
      <c r="Z90" s="14"/>
      <c r="AA90" s="14"/>
      <c r="AB90" s="14"/>
      <c r="AC90" s="14"/>
    </row>
    <row r="91" spans="1:29">
      <c r="A91" s="14"/>
      <c r="B91" s="14"/>
      <c r="C91" s="14"/>
      <c r="D91" s="14"/>
      <c r="E91" s="14"/>
      <c r="F91" s="14"/>
      <c r="G91" s="14"/>
      <c r="H91" s="14"/>
      <c r="I91" s="15"/>
      <c r="J91" s="14"/>
      <c r="K91" s="14"/>
      <c r="L91" s="14"/>
      <c r="M91" s="14"/>
      <c r="N91" s="14"/>
      <c r="O91" s="14"/>
      <c r="P91" s="15"/>
      <c r="Q91" s="14"/>
      <c r="R91" s="14"/>
      <c r="S91" s="14"/>
      <c r="T91" s="14"/>
      <c r="U91" s="14"/>
      <c r="V91" s="14"/>
      <c r="W91" s="14"/>
      <c r="X91" s="14"/>
      <c r="Y91" s="14"/>
      <c r="Z91" s="14"/>
      <c r="AA91" s="14"/>
      <c r="AB91" s="14"/>
      <c r="AC91" s="14"/>
    </row>
    <row r="92" spans="1:29">
      <c r="A92" s="14"/>
      <c r="B92" s="14"/>
      <c r="C92" s="14"/>
      <c r="D92" s="14"/>
      <c r="E92" s="14"/>
      <c r="F92" s="14"/>
      <c r="G92" s="14"/>
      <c r="H92" s="14"/>
      <c r="I92" s="15"/>
      <c r="J92" s="14"/>
      <c r="K92" s="14"/>
      <c r="L92" s="14"/>
      <c r="M92" s="14"/>
      <c r="N92" s="14"/>
      <c r="O92" s="14"/>
      <c r="P92" s="15"/>
      <c r="Q92" s="14"/>
      <c r="R92" s="14"/>
      <c r="S92" s="14"/>
      <c r="T92" s="14"/>
      <c r="U92" s="14"/>
      <c r="V92" s="14"/>
      <c r="W92" s="14"/>
      <c r="X92" s="14"/>
      <c r="Y92" s="14"/>
      <c r="Z92" s="14"/>
      <c r="AA92" s="14"/>
      <c r="AB92" s="14"/>
      <c r="AC92" s="14"/>
    </row>
    <row r="93" spans="1:29">
      <c r="A93" s="14"/>
      <c r="B93" s="14"/>
      <c r="C93" s="14"/>
      <c r="D93" s="14"/>
      <c r="E93" s="14"/>
      <c r="F93" s="14"/>
      <c r="G93" s="14"/>
      <c r="H93" s="14"/>
      <c r="I93" s="15"/>
      <c r="J93" s="14"/>
      <c r="K93" s="14"/>
      <c r="L93" s="14"/>
      <c r="M93" s="14"/>
      <c r="N93" s="14"/>
      <c r="O93" s="14"/>
      <c r="P93" s="15"/>
      <c r="Q93" s="14"/>
      <c r="R93" s="14"/>
      <c r="S93" s="14"/>
      <c r="T93" s="14"/>
      <c r="U93" s="14"/>
      <c r="V93" s="14"/>
      <c r="W93" s="14"/>
      <c r="X93" s="14"/>
      <c r="Y93" s="14"/>
      <c r="Z93" s="14"/>
      <c r="AA93" s="14"/>
      <c r="AB93" s="14"/>
      <c r="AC93" s="14"/>
    </row>
    <row r="94" spans="1:29">
      <c r="A94" s="14"/>
      <c r="B94" s="14"/>
      <c r="C94" s="14"/>
      <c r="D94" s="14"/>
      <c r="E94" s="14"/>
      <c r="F94" s="14"/>
      <c r="G94" s="14"/>
      <c r="H94" s="14"/>
      <c r="I94" s="15"/>
      <c r="J94" s="14"/>
      <c r="K94" s="14"/>
      <c r="L94" s="14"/>
      <c r="M94" s="14"/>
      <c r="N94" s="14"/>
      <c r="O94" s="14"/>
      <c r="P94" s="15"/>
      <c r="Q94" s="14"/>
      <c r="R94" s="14"/>
      <c r="S94" s="14"/>
      <c r="T94" s="14"/>
      <c r="U94" s="14"/>
      <c r="V94" s="14"/>
      <c r="W94" s="14"/>
      <c r="X94" s="14"/>
      <c r="Y94" s="14"/>
      <c r="Z94" s="14"/>
      <c r="AA94" s="14"/>
      <c r="AB94" s="14"/>
      <c r="AC94" s="14"/>
    </row>
    <row r="95" spans="1:29">
      <c r="A95" s="14"/>
      <c r="B95" s="14"/>
      <c r="C95" s="14"/>
      <c r="D95" s="14"/>
      <c r="E95" s="14"/>
      <c r="F95" s="14"/>
      <c r="G95" s="14"/>
      <c r="H95" s="14"/>
      <c r="I95" s="15"/>
      <c r="J95" s="14"/>
      <c r="K95" s="14"/>
      <c r="L95" s="14"/>
      <c r="M95" s="14"/>
      <c r="N95" s="14"/>
      <c r="O95" s="14"/>
      <c r="P95" s="15"/>
      <c r="Q95" s="14"/>
      <c r="R95" s="14"/>
      <c r="S95" s="14"/>
      <c r="T95" s="14"/>
      <c r="U95" s="14"/>
      <c r="V95" s="14"/>
      <c r="W95" s="14"/>
      <c r="X95" s="14"/>
      <c r="Y95" s="14"/>
      <c r="Z95" s="14"/>
      <c r="AA95" s="14"/>
      <c r="AB95" s="14"/>
      <c r="AC95" s="14"/>
    </row>
    <row r="96" spans="1:29">
      <c r="A96" s="14"/>
      <c r="B96" s="14"/>
      <c r="C96" s="14"/>
      <c r="D96" s="14"/>
      <c r="E96" s="14"/>
      <c r="F96" s="14"/>
      <c r="G96" s="14"/>
      <c r="H96" s="14"/>
      <c r="I96" s="15"/>
      <c r="J96" s="14"/>
      <c r="K96" s="14"/>
      <c r="L96" s="14"/>
      <c r="M96" s="14"/>
      <c r="N96" s="14"/>
      <c r="O96" s="14"/>
      <c r="P96" s="15"/>
      <c r="Q96" s="14"/>
      <c r="R96" s="14"/>
      <c r="S96" s="14"/>
      <c r="T96" s="14"/>
      <c r="U96" s="14"/>
      <c r="V96" s="14"/>
      <c r="W96" s="14"/>
      <c r="X96" s="14"/>
      <c r="Y96" s="14"/>
      <c r="Z96" s="14"/>
      <c r="AA96" s="14"/>
      <c r="AB96" s="14"/>
      <c r="AC96" s="14"/>
    </row>
    <row r="97" spans="1:29">
      <c r="A97" s="14"/>
      <c r="B97" s="14"/>
      <c r="C97" s="14"/>
      <c r="D97" s="14"/>
      <c r="E97" s="14"/>
      <c r="F97" s="14"/>
      <c r="G97" s="14"/>
      <c r="H97" s="14"/>
      <c r="I97" s="15"/>
      <c r="J97" s="14"/>
      <c r="K97" s="14"/>
      <c r="L97" s="14"/>
      <c r="M97" s="14"/>
      <c r="N97" s="14"/>
      <c r="O97" s="14"/>
      <c r="P97" s="15"/>
      <c r="Q97" s="14"/>
      <c r="R97" s="14"/>
      <c r="S97" s="14"/>
      <c r="T97" s="14"/>
      <c r="U97" s="14"/>
      <c r="V97" s="14"/>
      <c r="W97" s="14"/>
      <c r="X97" s="14"/>
      <c r="Y97" s="14"/>
      <c r="Z97" s="14"/>
      <c r="AA97" s="14"/>
      <c r="AB97" s="14"/>
      <c r="AC97" s="14"/>
    </row>
    <row r="98" spans="1:29">
      <c r="A98" s="14"/>
      <c r="B98" s="14"/>
      <c r="C98" s="14"/>
      <c r="D98" s="14"/>
      <c r="E98" s="14"/>
      <c r="F98" s="14"/>
      <c r="G98" s="14"/>
      <c r="H98" s="14"/>
      <c r="I98" s="15"/>
      <c r="J98" s="14"/>
      <c r="K98" s="14"/>
      <c r="L98" s="14"/>
      <c r="M98" s="14"/>
      <c r="N98" s="14"/>
      <c r="O98" s="14"/>
      <c r="P98" s="15"/>
      <c r="Q98" s="14"/>
      <c r="R98" s="14"/>
      <c r="S98" s="14"/>
      <c r="T98" s="14"/>
      <c r="U98" s="14"/>
      <c r="V98" s="14"/>
      <c r="W98" s="14"/>
      <c r="X98" s="14"/>
      <c r="Y98" s="14"/>
      <c r="Z98" s="14"/>
      <c r="AA98" s="14"/>
      <c r="AB98" s="14"/>
      <c r="AC98" s="14"/>
    </row>
    <row r="99" spans="1:29">
      <c r="A99" s="14"/>
      <c r="B99" s="14"/>
      <c r="C99" s="14"/>
      <c r="D99" s="14"/>
      <c r="E99" s="14"/>
      <c r="F99" s="14"/>
      <c r="G99" s="14"/>
      <c r="H99" s="14"/>
      <c r="I99" s="15"/>
      <c r="J99" s="14"/>
      <c r="K99" s="14"/>
      <c r="L99" s="14"/>
      <c r="M99" s="14"/>
      <c r="N99" s="14"/>
      <c r="O99" s="14"/>
      <c r="P99" s="15"/>
      <c r="Q99" s="14"/>
      <c r="R99" s="14"/>
      <c r="S99" s="14"/>
      <c r="T99" s="14"/>
      <c r="U99" s="14"/>
      <c r="V99" s="14"/>
      <c r="W99" s="14"/>
      <c r="X99" s="14"/>
      <c r="Y99" s="14"/>
      <c r="Z99" s="14"/>
      <c r="AA99" s="14"/>
      <c r="AB99" s="14"/>
      <c r="AC99" s="14"/>
    </row>
    <row r="100" spans="1:29">
      <c r="A100" s="14"/>
      <c r="B100" s="14"/>
      <c r="C100" s="14"/>
      <c r="D100" s="14"/>
      <c r="E100" s="14"/>
      <c r="F100" s="14"/>
      <c r="G100" s="14"/>
      <c r="H100" s="14"/>
      <c r="I100" s="15"/>
      <c r="J100" s="14"/>
      <c r="K100" s="14"/>
      <c r="L100" s="14"/>
      <c r="M100" s="14"/>
      <c r="N100" s="14"/>
      <c r="O100" s="14"/>
      <c r="P100" s="15"/>
      <c r="Q100" s="14"/>
      <c r="R100" s="14"/>
      <c r="S100" s="14"/>
      <c r="T100" s="14"/>
      <c r="U100" s="14"/>
      <c r="V100" s="14"/>
      <c r="W100" s="14"/>
      <c r="X100" s="14"/>
      <c r="Y100" s="14"/>
      <c r="Z100" s="14"/>
      <c r="AA100" s="14"/>
      <c r="AB100" s="14"/>
      <c r="AC100" s="14"/>
    </row>
    <row r="101" spans="1:29">
      <c r="A101" s="14"/>
      <c r="B101" s="14"/>
      <c r="C101" s="14"/>
      <c r="D101" s="14"/>
      <c r="E101" s="14"/>
      <c r="F101" s="14"/>
      <c r="G101" s="14"/>
      <c r="H101" s="14"/>
      <c r="I101" s="15"/>
      <c r="J101" s="14"/>
      <c r="K101" s="14"/>
      <c r="L101" s="14"/>
      <c r="M101" s="14"/>
      <c r="N101" s="14"/>
      <c r="O101" s="14"/>
      <c r="P101" s="15"/>
      <c r="Q101" s="14"/>
      <c r="R101" s="14"/>
      <c r="S101" s="14"/>
      <c r="T101" s="14"/>
      <c r="U101" s="14"/>
      <c r="V101" s="14"/>
      <c r="W101" s="14"/>
      <c r="X101" s="14"/>
      <c r="Y101" s="14"/>
      <c r="Z101" s="14"/>
      <c r="AA101" s="14"/>
      <c r="AB101" s="14"/>
      <c r="AC101" s="14"/>
    </row>
    <row r="102" spans="1:29">
      <c r="A102" s="14"/>
      <c r="B102" s="14"/>
      <c r="C102" s="14"/>
      <c r="D102" s="14"/>
      <c r="E102" s="14"/>
      <c r="F102" s="14"/>
      <c r="G102" s="14"/>
      <c r="H102" s="14"/>
      <c r="I102" s="15"/>
      <c r="J102" s="14"/>
      <c r="K102" s="14"/>
      <c r="L102" s="14"/>
      <c r="M102" s="14"/>
      <c r="N102" s="14"/>
      <c r="O102" s="14"/>
      <c r="P102" s="15"/>
      <c r="Q102" s="14"/>
      <c r="R102" s="14"/>
      <c r="S102" s="14"/>
      <c r="T102" s="14"/>
      <c r="U102" s="14"/>
      <c r="V102" s="14"/>
      <c r="W102" s="14"/>
      <c r="X102" s="14"/>
      <c r="Y102" s="14"/>
      <c r="Z102" s="14"/>
      <c r="AA102" s="14"/>
      <c r="AB102" s="14"/>
      <c r="AC102" s="14"/>
    </row>
    <row r="103" spans="1:29">
      <c r="A103" s="14"/>
      <c r="B103" s="14"/>
      <c r="C103" s="14"/>
      <c r="D103" s="14"/>
      <c r="E103" s="14"/>
      <c r="F103" s="14"/>
      <c r="G103" s="14"/>
      <c r="H103" s="14"/>
      <c r="I103" s="15"/>
      <c r="J103" s="14"/>
      <c r="K103" s="14"/>
      <c r="L103" s="14"/>
      <c r="M103" s="14"/>
      <c r="N103" s="14"/>
      <c r="O103" s="14"/>
      <c r="P103" s="15"/>
      <c r="Q103" s="14"/>
      <c r="R103" s="14"/>
      <c r="S103" s="14"/>
      <c r="T103" s="14"/>
      <c r="U103" s="14"/>
      <c r="V103" s="14"/>
      <c r="W103" s="14"/>
      <c r="X103" s="14"/>
      <c r="Y103" s="14"/>
      <c r="Z103" s="14"/>
      <c r="AA103" s="14"/>
      <c r="AB103" s="14"/>
      <c r="AC103" s="14"/>
    </row>
    <row r="104" spans="1:29">
      <c r="A104" s="14"/>
      <c r="B104" s="14"/>
      <c r="C104" s="14"/>
      <c r="D104" s="14"/>
      <c r="E104" s="14"/>
      <c r="F104" s="14"/>
      <c r="G104" s="14"/>
      <c r="H104" s="14"/>
      <c r="I104" s="15"/>
      <c r="J104" s="14"/>
      <c r="K104" s="14"/>
      <c r="L104" s="14"/>
      <c r="M104" s="14"/>
      <c r="N104" s="14"/>
      <c r="O104" s="14"/>
      <c r="P104" s="15"/>
      <c r="Q104" s="14"/>
      <c r="R104" s="14"/>
      <c r="S104" s="14"/>
      <c r="T104" s="14"/>
      <c r="U104" s="14"/>
      <c r="V104" s="14"/>
      <c r="W104" s="14"/>
      <c r="X104" s="14"/>
      <c r="Y104" s="14"/>
      <c r="Z104" s="14"/>
      <c r="AA104" s="14"/>
      <c r="AB104" s="14"/>
      <c r="AC104" s="14"/>
    </row>
  </sheetData>
  <hyperlinks>
    <hyperlink ref="O8" r:id="rId1" xr:uid="{80B568D8-D274-8643-BC93-8CD0B959755B}"/>
    <hyperlink ref="O9" r:id="rId2" xr:uid="{26A51768-1B30-6A49-8325-63F2C27DC54F}"/>
    <hyperlink ref="O2" r:id="rId3" xr:uid="{35F27D6D-7E28-6D41-9B42-9A6885C72F63}"/>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AX714"/>
  <sheetViews>
    <sheetView zoomScale="50" zoomScaleNormal="75" workbookViewId="0">
      <selection activeCell="A75" sqref="A75"/>
    </sheetView>
  </sheetViews>
  <sheetFormatPr baseColWidth="10" defaultColWidth="8.83203125" defaultRowHeight="15"/>
  <cols>
    <col min="1" max="1" width="32.1640625" customWidth="1"/>
    <col min="2" max="2" width="26.33203125" style="10" bestFit="1" customWidth="1"/>
    <col min="3" max="3" width="25.1640625" style="10" bestFit="1" customWidth="1"/>
    <col min="4" max="4" width="40.5" style="10" customWidth="1"/>
    <col min="5" max="5" width="16.1640625" style="10" bestFit="1" customWidth="1"/>
    <col min="6" max="6" width="25.83203125" style="10" customWidth="1"/>
    <col min="7" max="7" width="25.6640625" style="10" customWidth="1"/>
    <col min="8" max="8" width="20.1640625" style="10" bestFit="1" customWidth="1"/>
    <col min="9" max="9" width="24.5" style="10" bestFit="1" customWidth="1"/>
    <col min="10" max="10" width="23" style="10" customWidth="1"/>
    <col min="11" max="12" width="12.5" style="10" bestFit="1" customWidth="1"/>
    <col min="13" max="13" width="67" style="10" customWidth="1"/>
    <col min="14" max="14" width="32" style="10" bestFit="1" customWidth="1"/>
    <col min="15" max="15" width="31.1640625" style="10" bestFit="1" customWidth="1"/>
    <col min="16" max="16" width="18.1640625" style="10" customWidth="1"/>
    <col min="17" max="17" width="18.83203125" style="10" customWidth="1"/>
    <col min="18" max="18" width="22" style="10" customWidth="1"/>
    <col min="19" max="19" width="47" style="10" customWidth="1"/>
    <col min="20" max="20" width="35.33203125" style="10" customWidth="1"/>
    <col min="21" max="21" width="32.33203125" style="10" customWidth="1"/>
    <col min="22" max="22" width="12.5" style="10" bestFit="1" customWidth="1"/>
    <col min="23" max="23" width="28" style="11" bestFit="1" customWidth="1"/>
    <col min="24" max="24" width="50.83203125" style="10" customWidth="1"/>
    <col min="25" max="25" width="59.33203125" style="10" customWidth="1"/>
    <col min="26" max="26" width="19.83203125" style="11" customWidth="1"/>
    <col min="27" max="27" width="18" style="11" bestFit="1" customWidth="1"/>
    <col min="28" max="29" width="12.5" style="10" bestFit="1" customWidth="1"/>
    <col min="30" max="30" width="22.5" style="10" customWidth="1"/>
    <col min="31" max="31" width="12.5" style="10" bestFit="1" customWidth="1"/>
    <col min="32" max="32" width="73.1640625" style="10" customWidth="1"/>
    <col min="33" max="33" width="12.5" style="10" bestFit="1" customWidth="1"/>
    <col min="34" max="34" width="46.33203125" style="10" bestFit="1" customWidth="1"/>
  </cols>
  <sheetData>
    <row r="1" spans="1:50" ht="15.75" customHeight="1">
      <c r="A1" s="16" t="s">
        <v>827</v>
      </c>
      <c r="B1" s="16" t="s">
        <v>828</v>
      </c>
      <c r="C1" s="16" t="s">
        <v>395</v>
      </c>
      <c r="D1" s="16" t="s">
        <v>396</v>
      </c>
      <c r="E1" s="16" t="s">
        <v>829</v>
      </c>
      <c r="F1" s="16" t="s">
        <v>830</v>
      </c>
      <c r="G1" s="16" t="s">
        <v>831</v>
      </c>
      <c r="H1" s="16" t="s">
        <v>832</v>
      </c>
      <c r="I1" s="16" t="s">
        <v>833</v>
      </c>
      <c r="J1" s="16" t="s">
        <v>834</v>
      </c>
      <c r="K1" s="16" t="s">
        <v>835</v>
      </c>
      <c r="L1" s="16" t="s">
        <v>836</v>
      </c>
      <c r="M1" s="29" t="s">
        <v>837</v>
      </c>
      <c r="N1" s="30" t="s">
        <v>2021</v>
      </c>
      <c r="O1" s="30" t="s">
        <v>2022</v>
      </c>
      <c r="P1" s="30" t="s">
        <v>2023</v>
      </c>
      <c r="Q1" s="29" t="s">
        <v>838</v>
      </c>
      <c r="R1" s="16" t="s">
        <v>839</v>
      </c>
      <c r="S1" s="16" t="s">
        <v>840</v>
      </c>
      <c r="T1" s="16" t="s">
        <v>397</v>
      </c>
      <c r="U1" s="16" t="s">
        <v>841</v>
      </c>
      <c r="V1" s="16" t="s">
        <v>842</v>
      </c>
      <c r="W1" s="3" t="s">
        <v>403</v>
      </c>
      <c r="X1" s="3" t="s">
        <v>399</v>
      </c>
      <c r="Y1" s="3" t="s">
        <v>404</v>
      </c>
      <c r="Z1" s="18" t="s">
        <v>843</v>
      </c>
      <c r="AA1" s="3" t="s">
        <v>844</v>
      </c>
      <c r="AB1" s="3" t="s">
        <v>3</v>
      </c>
      <c r="AC1" s="31" t="s">
        <v>2024</v>
      </c>
      <c r="AD1" s="31" t="s">
        <v>2025</v>
      </c>
      <c r="AE1" s="18" t="s">
        <v>845</v>
      </c>
      <c r="AF1" s="18" t="s">
        <v>846</v>
      </c>
      <c r="AG1" s="14"/>
      <c r="AH1" s="14"/>
      <c r="AI1" s="14"/>
      <c r="AJ1" s="14"/>
      <c r="AK1" s="14"/>
      <c r="AL1" s="14"/>
      <c r="AM1" s="14"/>
      <c r="AN1" s="14"/>
      <c r="AO1" s="14"/>
      <c r="AP1" s="14"/>
      <c r="AQ1" s="14"/>
      <c r="AR1" s="14"/>
      <c r="AS1" s="14"/>
      <c r="AT1" s="14"/>
      <c r="AU1" s="14"/>
      <c r="AV1" s="14"/>
      <c r="AW1" s="14"/>
      <c r="AX1" s="14"/>
    </row>
    <row r="2" spans="1:50" ht="15.75" customHeight="1">
      <c r="A2" s="25" t="s">
        <v>4</v>
      </c>
      <c r="B2" s="25" t="str">
        <f t="shared" ref="B2:B65" si="0">A2</f>
        <v>s06_090nm_WM_a_</v>
      </c>
      <c r="C2" s="24" t="s">
        <v>1490</v>
      </c>
      <c r="D2" s="74" t="str">
        <f t="shared" ref="D2:D65" si="1">CONCATENATE("bossdb://lee2022/",A2,"/")</f>
        <v>bossdb://lee2022/s06_090nm_WM_a_/</v>
      </c>
      <c r="E2" s="24" t="s">
        <v>2</v>
      </c>
      <c r="F2" s="5" t="s">
        <v>1013</v>
      </c>
      <c r="G2" s="5" t="s">
        <v>865</v>
      </c>
      <c r="H2" s="24" t="s">
        <v>1491</v>
      </c>
      <c r="I2" s="24" t="s">
        <v>1490</v>
      </c>
      <c r="J2" s="24" t="s">
        <v>1492</v>
      </c>
      <c r="K2" s="24" t="s">
        <v>867</v>
      </c>
      <c r="L2" s="24" t="s">
        <v>853</v>
      </c>
      <c r="M2" s="24" t="s">
        <v>962</v>
      </c>
      <c r="N2" s="24" t="s">
        <v>0</v>
      </c>
      <c r="O2" s="24" t="s">
        <v>1493</v>
      </c>
      <c r="P2" s="24" t="s">
        <v>848</v>
      </c>
      <c r="Q2" s="24" t="s">
        <v>848</v>
      </c>
      <c r="R2" s="24">
        <v>3</v>
      </c>
      <c r="S2" s="24" t="s">
        <v>1494</v>
      </c>
      <c r="T2" s="24" t="s">
        <v>962</v>
      </c>
      <c r="U2" s="24" t="s">
        <v>856</v>
      </c>
      <c r="V2" s="32" t="s">
        <v>857</v>
      </c>
      <c r="W2" s="14" t="b">
        <v>1</v>
      </c>
      <c r="X2" s="5" t="s">
        <v>409</v>
      </c>
      <c r="Y2" s="28"/>
      <c r="Z2" s="5" t="s">
        <v>858</v>
      </c>
      <c r="AA2" s="5" t="s">
        <v>858</v>
      </c>
      <c r="AB2" s="24" t="s">
        <v>413</v>
      </c>
      <c r="AC2" s="14"/>
      <c r="AD2" s="14"/>
      <c r="AE2" s="14">
        <v>1</v>
      </c>
      <c r="AF2" s="14"/>
      <c r="AG2" s="14"/>
      <c r="AH2" s="14"/>
      <c r="AI2" s="14"/>
      <c r="AJ2" s="14"/>
      <c r="AK2" s="14"/>
      <c r="AL2" s="14"/>
      <c r="AM2" s="14"/>
      <c r="AN2" s="14"/>
      <c r="AO2" s="14"/>
      <c r="AP2" s="14"/>
      <c r="AQ2" s="14"/>
      <c r="AR2" s="14"/>
      <c r="AS2" s="14"/>
      <c r="AT2" s="14"/>
      <c r="AU2" s="14"/>
      <c r="AV2" s="14"/>
      <c r="AW2" s="14"/>
      <c r="AX2" s="14"/>
    </row>
    <row r="3" spans="1:50" ht="15.75" customHeight="1">
      <c r="A3" s="25" t="s">
        <v>6</v>
      </c>
      <c r="B3" s="25" t="str">
        <f t="shared" si="0"/>
        <v>s06_090nm_WM_a_1_</v>
      </c>
      <c r="C3" s="24" t="s">
        <v>1495</v>
      </c>
      <c r="D3" s="74" t="str">
        <f t="shared" si="1"/>
        <v>bossdb://lee2022/s06_090nm_WM_a_1_/</v>
      </c>
      <c r="E3" s="24" t="s">
        <v>2</v>
      </c>
      <c r="F3" s="5" t="s">
        <v>1013</v>
      </c>
      <c r="G3" s="5" t="s">
        <v>865</v>
      </c>
      <c r="H3" s="24" t="s">
        <v>1491</v>
      </c>
      <c r="I3" s="24" t="s">
        <v>1495</v>
      </c>
      <c r="J3" s="24" t="s">
        <v>1492</v>
      </c>
      <c r="K3" s="24" t="s">
        <v>867</v>
      </c>
      <c r="L3" s="24" t="s">
        <v>853</v>
      </c>
      <c r="M3" s="24" t="s">
        <v>962</v>
      </c>
      <c r="N3" s="24" t="s">
        <v>0</v>
      </c>
      <c r="O3" s="24" t="s">
        <v>1496</v>
      </c>
      <c r="P3" s="24" t="s">
        <v>848</v>
      </c>
      <c r="Q3" s="24" t="s">
        <v>848</v>
      </c>
      <c r="R3" s="24">
        <v>3</v>
      </c>
      <c r="S3" s="24" t="s">
        <v>1494</v>
      </c>
      <c r="T3" s="24" t="s">
        <v>962</v>
      </c>
      <c r="U3" s="24" t="s">
        <v>856</v>
      </c>
      <c r="V3" s="32" t="s">
        <v>857</v>
      </c>
      <c r="W3" s="14" t="b">
        <v>1</v>
      </c>
      <c r="X3" s="5" t="s">
        <v>409</v>
      </c>
      <c r="Y3" s="28"/>
      <c r="Z3" s="5" t="s">
        <v>858</v>
      </c>
      <c r="AA3" s="5" t="s">
        <v>858</v>
      </c>
      <c r="AB3" s="24" t="s">
        <v>413</v>
      </c>
      <c r="AC3" s="14"/>
      <c r="AD3" s="14"/>
      <c r="AE3" s="14">
        <v>1</v>
      </c>
      <c r="AF3" s="14"/>
      <c r="AG3" s="14"/>
      <c r="AH3" s="14"/>
      <c r="AI3" s="14"/>
      <c r="AJ3" s="14"/>
      <c r="AK3" s="14"/>
      <c r="AL3" s="14"/>
      <c r="AM3" s="14"/>
      <c r="AN3" s="14"/>
      <c r="AO3" s="14"/>
      <c r="AP3" s="14"/>
      <c r="AQ3" s="14"/>
      <c r="AR3" s="14"/>
      <c r="AS3" s="14"/>
      <c r="AT3" s="14"/>
      <c r="AU3" s="14"/>
      <c r="AV3" s="14"/>
      <c r="AW3" s="14"/>
      <c r="AX3" s="14"/>
    </row>
    <row r="4" spans="1:50" ht="15.75" customHeight="1">
      <c r="A4" s="25" t="s">
        <v>7</v>
      </c>
      <c r="B4" s="25" t="str">
        <f t="shared" si="0"/>
        <v>s06_090nm_WM_a_2_</v>
      </c>
      <c r="C4" s="24" t="s">
        <v>1497</v>
      </c>
      <c r="D4" s="74" t="str">
        <f t="shared" si="1"/>
        <v>bossdb://lee2022/s06_090nm_WM_a_2_/</v>
      </c>
      <c r="E4" s="24" t="s">
        <v>2</v>
      </c>
      <c r="F4" s="5" t="s">
        <v>1013</v>
      </c>
      <c r="G4" s="5" t="s">
        <v>865</v>
      </c>
      <c r="H4" s="24" t="s">
        <v>1491</v>
      </c>
      <c r="I4" s="24" t="s">
        <v>1497</v>
      </c>
      <c r="J4" s="24" t="s">
        <v>1492</v>
      </c>
      <c r="K4" s="24" t="s">
        <v>867</v>
      </c>
      <c r="L4" s="24" t="s">
        <v>853</v>
      </c>
      <c r="M4" s="24" t="s">
        <v>962</v>
      </c>
      <c r="N4" s="24" t="s">
        <v>0</v>
      </c>
      <c r="O4" s="24" t="s">
        <v>1498</v>
      </c>
      <c r="P4" s="24" t="s">
        <v>848</v>
      </c>
      <c r="Q4" s="24" t="s">
        <v>848</v>
      </c>
      <c r="R4" s="24">
        <v>3</v>
      </c>
      <c r="S4" s="24" t="s">
        <v>1494</v>
      </c>
      <c r="T4" s="24" t="s">
        <v>962</v>
      </c>
      <c r="U4" s="24" t="s">
        <v>856</v>
      </c>
      <c r="V4" s="32" t="s">
        <v>857</v>
      </c>
      <c r="W4" s="14" t="b">
        <v>1</v>
      </c>
      <c r="X4" s="5" t="s">
        <v>409</v>
      </c>
      <c r="Y4" s="28"/>
      <c r="Z4" s="5" t="s">
        <v>858</v>
      </c>
      <c r="AA4" s="5" t="s">
        <v>858</v>
      </c>
      <c r="AB4" s="24" t="s">
        <v>413</v>
      </c>
      <c r="AC4" s="14"/>
      <c r="AD4" s="14"/>
      <c r="AE4" s="14">
        <v>1</v>
      </c>
      <c r="AF4" s="14"/>
      <c r="AG4" s="14"/>
      <c r="AH4" s="14"/>
      <c r="AI4" s="14"/>
      <c r="AJ4" s="14"/>
      <c r="AK4" s="14"/>
      <c r="AL4" s="14"/>
      <c r="AM4" s="14"/>
      <c r="AN4" s="14"/>
      <c r="AO4" s="14"/>
      <c r="AP4" s="14"/>
      <c r="AQ4" s="14"/>
      <c r="AR4" s="14"/>
      <c r="AS4" s="14"/>
      <c r="AT4" s="14"/>
      <c r="AU4" s="14"/>
      <c r="AV4" s="14"/>
      <c r="AW4" s="14"/>
      <c r="AX4" s="14"/>
    </row>
    <row r="5" spans="1:50" ht="15.75" customHeight="1">
      <c r="A5" s="24" t="s">
        <v>8</v>
      </c>
      <c r="B5" s="25" t="str">
        <f t="shared" si="0"/>
        <v>s06_090nm_WM_a_3_</v>
      </c>
      <c r="C5" s="24" t="s">
        <v>1499</v>
      </c>
      <c r="D5" s="74" t="str">
        <f t="shared" si="1"/>
        <v>bossdb://lee2022/s06_090nm_WM_a_3_/</v>
      </c>
      <c r="E5" s="24" t="s">
        <v>2</v>
      </c>
      <c r="F5" s="5" t="s">
        <v>1013</v>
      </c>
      <c r="G5" s="5" t="s">
        <v>865</v>
      </c>
      <c r="H5" s="24" t="s">
        <v>1491</v>
      </c>
      <c r="I5" s="24" t="s">
        <v>1499</v>
      </c>
      <c r="J5" s="24" t="s">
        <v>1492</v>
      </c>
      <c r="K5" s="24" t="s">
        <v>867</v>
      </c>
      <c r="L5" s="24" t="s">
        <v>853</v>
      </c>
      <c r="M5" s="24" t="s">
        <v>962</v>
      </c>
      <c r="N5" s="24" t="s">
        <v>0</v>
      </c>
      <c r="O5" s="24" t="s">
        <v>1490</v>
      </c>
      <c r="P5" s="24" t="s">
        <v>848</v>
      </c>
      <c r="Q5" s="24" t="s">
        <v>848</v>
      </c>
      <c r="R5" s="24">
        <v>3</v>
      </c>
      <c r="S5" s="24" t="s">
        <v>1494</v>
      </c>
      <c r="T5" s="24" t="s">
        <v>962</v>
      </c>
      <c r="U5" s="24" t="s">
        <v>856</v>
      </c>
      <c r="V5" s="32" t="s">
        <v>857</v>
      </c>
      <c r="W5" s="14" t="b">
        <v>1</v>
      </c>
      <c r="X5" s="5" t="s">
        <v>409</v>
      </c>
      <c r="Y5" s="28"/>
      <c r="Z5" s="5" t="s">
        <v>858</v>
      </c>
      <c r="AA5" s="5" t="s">
        <v>858</v>
      </c>
      <c r="AB5" s="24" t="s">
        <v>413</v>
      </c>
      <c r="AC5" s="14"/>
      <c r="AD5" s="14"/>
      <c r="AE5" s="14">
        <v>1</v>
      </c>
      <c r="AF5" s="14"/>
      <c r="AG5" s="14"/>
      <c r="AH5" s="14"/>
      <c r="AI5" s="14"/>
      <c r="AJ5" s="14"/>
      <c r="AK5" s="14"/>
      <c r="AL5" s="14"/>
      <c r="AM5" s="14"/>
      <c r="AN5" s="14"/>
      <c r="AO5" s="14"/>
      <c r="AP5" s="14"/>
      <c r="AQ5" s="14"/>
      <c r="AR5" s="14"/>
      <c r="AS5" s="14"/>
      <c r="AT5" s="14"/>
      <c r="AU5" s="14"/>
      <c r="AV5" s="14"/>
      <c r="AW5" s="14"/>
      <c r="AX5" s="14"/>
    </row>
    <row r="6" spans="1:50" ht="15.75" customHeight="1">
      <c r="A6" s="24" t="s">
        <v>9</v>
      </c>
      <c r="B6" s="25" t="str">
        <f t="shared" si="0"/>
        <v>s06_090nm_WM_a_4_</v>
      </c>
      <c r="C6" s="24" t="s">
        <v>1500</v>
      </c>
      <c r="D6" s="74" t="str">
        <f t="shared" si="1"/>
        <v>bossdb://lee2022/s06_090nm_WM_a_4_/</v>
      </c>
      <c r="E6" s="24" t="s">
        <v>2</v>
      </c>
      <c r="F6" s="5" t="s">
        <v>1013</v>
      </c>
      <c r="G6" s="5" t="s">
        <v>865</v>
      </c>
      <c r="H6" s="24" t="s">
        <v>1491</v>
      </c>
      <c r="I6" s="24" t="s">
        <v>1500</v>
      </c>
      <c r="J6" s="24" t="s">
        <v>1492</v>
      </c>
      <c r="K6" s="24" t="s">
        <v>867</v>
      </c>
      <c r="L6" s="24" t="s">
        <v>853</v>
      </c>
      <c r="M6" s="24" t="s">
        <v>962</v>
      </c>
      <c r="N6" s="24" t="s">
        <v>0</v>
      </c>
      <c r="O6" s="24" t="s">
        <v>1495</v>
      </c>
      <c r="P6" s="24" t="s">
        <v>848</v>
      </c>
      <c r="Q6" s="24" t="s">
        <v>848</v>
      </c>
      <c r="R6" s="24">
        <v>3</v>
      </c>
      <c r="S6" s="24" t="s">
        <v>1494</v>
      </c>
      <c r="T6" s="24" t="s">
        <v>962</v>
      </c>
      <c r="U6" s="24" t="s">
        <v>856</v>
      </c>
      <c r="V6" s="32" t="s">
        <v>857</v>
      </c>
      <c r="W6" s="14" t="b">
        <v>1</v>
      </c>
      <c r="X6" s="5" t="s">
        <v>409</v>
      </c>
      <c r="Y6" s="28"/>
      <c r="Z6" s="5" t="s">
        <v>858</v>
      </c>
      <c r="AA6" s="5" t="s">
        <v>858</v>
      </c>
      <c r="AB6" s="24" t="s">
        <v>413</v>
      </c>
      <c r="AC6" s="14"/>
      <c r="AD6" s="14"/>
      <c r="AE6" s="14">
        <v>1</v>
      </c>
      <c r="AF6" s="14"/>
      <c r="AG6" s="14"/>
      <c r="AH6" s="14"/>
      <c r="AI6" s="14"/>
      <c r="AJ6" s="14"/>
      <c r="AK6" s="14"/>
      <c r="AL6" s="14"/>
      <c r="AM6" s="14"/>
      <c r="AN6" s="14"/>
      <c r="AO6" s="14"/>
      <c r="AP6" s="14"/>
      <c r="AQ6" s="14"/>
      <c r="AR6" s="14"/>
      <c r="AS6" s="14"/>
      <c r="AT6" s="14"/>
      <c r="AU6" s="14"/>
      <c r="AV6" s="14"/>
      <c r="AW6" s="14"/>
      <c r="AX6" s="14"/>
    </row>
    <row r="7" spans="1:50" ht="15.75" customHeight="1">
      <c r="A7" s="24" t="s">
        <v>10</v>
      </c>
      <c r="B7" s="25" t="str">
        <f t="shared" si="0"/>
        <v>s06_090nm_WM_b_</v>
      </c>
      <c r="C7" s="24" t="s">
        <v>1501</v>
      </c>
      <c r="D7" s="74" t="str">
        <f t="shared" si="1"/>
        <v>bossdb://lee2022/s06_090nm_WM_b_/</v>
      </c>
      <c r="E7" s="24" t="s">
        <v>2</v>
      </c>
      <c r="F7" s="5" t="s">
        <v>1013</v>
      </c>
      <c r="G7" s="5" t="s">
        <v>865</v>
      </c>
      <c r="H7" s="24" t="s">
        <v>1491</v>
      </c>
      <c r="I7" s="24" t="s">
        <v>1501</v>
      </c>
      <c r="J7" s="24" t="s">
        <v>1492</v>
      </c>
      <c r="K7" s="24" t="s">
        <v>867</v>
      </c>
      <c r="L7" s="24" t="s">
        <v>853</v>
      </c>
      <c r="M7" s="24" t="s">
        <v>962</v>
      </c>
      <c r="N7" s="24" t="s">
        <v>0</v>
      </c>
      <c r="O7" s="24" t="s">
        <v>1497</v>
      </c>
      <c r="P7" s="24" t="s">
        <v>848</v>
      </c>
      <c r="Q7" s="24" t="s">
        <v>848</v>
      </c>
      <c r="R7" s="24">
        <v>3</v>
      </c>
      <c r="S7" s="24" t="s">
        <v>1494</v>
      </c>
      <c r="T7" s="24" t="s">
        <v>962</v>
      </c>
      <c r="U7" s="24" t="s">
        <v>856</v>
      </c>
      <c r="V7" s="32" t="s">
        <v>857</v>
      </c>
      <c r="W7" s="14" t="b">
        <v>1</v>
      </c>
      <c r="X7" s="5" t="s">
        <v>409</v>
      </c>
      <c r="Y7" s="28"/>
      <c r="Z7" s="5" t="s">
        <v>858</v>
      </c>
      <c r="AA7" s="5" t="s">
        <v>858</v>
      </c>
      <c r="AB7" s="24" t="s">
        <v>413</v>
      </c>
      <c r="AC7" s="14"/>
      <c r="AD7" s="14"/>
      <c r="AE7" s="14">
        <v>1</v>
      </c>
      <c r="AF7" s="14"/>
      <c r="AG7" s="14"/>
      <c r="AH7" s="14"/>
      <c r="AI7" s="14"/>
      <c r="AJ7" s="14"/>
      <c r="AK7" s="14"/>
      <c r="AL7" s="14"/>
      <c r="AM7" s="14"/>
      <c r="AN7" s="14"/>
      <c r="AO7" s="14"/>
      <c r="AP7" s="14"/>
      <c r="AQ7" s="14"/>
      <c r="AR7" s="14"/>
      <c r="AS7" s="14"/>
      <c r="AT7" s="14"/>
      <c r="AU7" s="14"/>
      <c r="AV7" s="14"/>
      <c r="AW7" s="14"/>
      <c r="AX7" s="14"/>
    </row>
    <row r="8" spans="1:50" ht="15.75" customHeight="1">
      <c r="A8" s="24" t="s">
        <v>11</v>
      </c>
      <c r="B8" s="25" t="str">
        <f t="shared" si="0"/>
        <v>s05_WM_107nm_bin2_2dist_</v>
      </c>
      <c r="C8" s="24" t="s">
        <v>1502</v>
      </c>
      <c r="D8" s="74" t="str">
        <f t="shared" si="1"/>
        <v>bossdb://lee2022/s05_WM_107nm_bin2_2dist_/</v>
      </c>
      <c r="E8" s="24" t="s">
        <v>2</v>
      </c>
      <c r="F8" s="5" t="s">
        <v>1013</v>
      </c>
      <c r="G8" s="5" t="s">
        <v>865</v>
      </c>
      <c r="H8" s="24" t="s">
        <v>1491</v>
      </c>
      <c r="I8" s="24" t="s">
        <v>1502</v>
      </c>
      <c r="J8" s="24" t="s">
        <v>1492</v>
      </c>
      <c r="K8" s="24" t="s">
        <v>867</v>
      </c>
      <c r="L8" s="24" t="s">
        <v>853</v>
      </c>
      <c r="M8" s="24" t="s">
        <v>962</v>
      </c>
      <c r="N8" s="24" t="s">
        <v>0</v>
      </c>
      <c r="O8" s="24" t="s">
        <v>1499</v>
      </c>
      <c r="P8" s="24" t="s">
        <v>848</v>
      </c>
      <c r="Q8" s="24" t="s">
        <v>848</v>
      </c>
      <c r="R8" s="24">
        <v>3</v>
      </c>
      <c r="S8" s="24" t="s">
        <v>1494</v>
      </c>
      <c r="T8" s="24" t="s">
        <v>962</v>
      </c>
      <c r="U8" s="24" t="s">
        <v>856</v>
      </c>
      <c r="V8" s="32" t="s">
        <v>857</v>
      </c>
      <c r="W8" s="14" t="b">
        <v>1</v>
      </c>
      <c r="X8" s="5" t="s">
        <v>409</v>
      </c>
      <c r="Y8" s="28"/>
      <c r="Z8" s="5" t="s">
        <v>858</v>
      </c>
      <c r="AA8" s="5" t="s">
        <v>858</v>
      </c>
      <c r="AB8" s="24" t="s">
        <v>413</v>
      </c>
      <c r="AC8" s="14"/>
      <c r="AD8" s="14"/>
      <c r="AE8" s="14">
        <v>1</v>
      </c>
      <c r="AF8" s="14"/>
      <c r="AG8" s="14"/>
      <c r="AH8" s="14"/>
      <c r="AI8" s="14"/>
      <c r="AJ8" s="14"/>
      <c r="AK8" s="14"/>
      <c r="AL8" s="14"/>
      <c r="AM8" s="14"/>
      <c r="AN8" s="14"/>
      <c r="AO8" s="14"/>
      <c r="AP8" s="14"/>
      <c r="AQ8" s="14"/>
      <c r="AR8" s="14"/>
      <c r="AS8" s="14"/>
      <c r="AT8" s="14"/>
      <c r="AU8" s="14"/>
      <c r="AV8" s="14"/>
      <c r="AW8" s="14"/>
      <c r="AX8" s="14"/>
    </row>
    <row r="9" spans="1:50" ht="15.75" customHeight="1">
      <c r="A9" s="24" t="s">
        <v>12</v>
      </c>
      <c r="B9" s="25" t="str">
        <f t="shared" si="0"/>
        <v>s05_WM_107nm_bin2_2dist_1_</v>
      </c>
      <c r="C9" s="24" t="s">
        <v>1503</v>
      </c>
      <c r="D9" s="74" t="str">
        <f t="shared" si="1"/>
        <v>bossdb://lee2022/s05_WM_107nm_bin2_2dist_1_/</v>
      </c>
      <c r="E9" s="24" t="s">
        <v>2</v>
      </c>
      <c r="F9" s="5" t="s">
        <v>1013</v>
      </c>
      <c r="G9" s="5" t="s">
        <v>865</v>
      </c>
      <c r="H9" s="24" t="s">
        <v>1491</v>
      </c>
      <c r="I9" s="24" t="s">
        <v>1503</v>
      </c>
      <c r="J9" s="24" t="s">
        <v>1492</v>
      </c>
      <c r="K9" s="24" t="s">
        <v>867</v>
      </c>
      <c r="L9" s="24" t="s">
        <v>853</v>
      </c>
      <c r="M9" s="24" t="s">
        <v>962</v>
      </c>
      <c r="N9" s="24" t="s">
        <v>0</v>
      </c>
      <c r="O9" s="24" t="s">
        <v>1500</v>
      </c>
      <c r="P9" s="24" t="s">
        <v>848</v>
      </c>
      <c r="Q9" s="24" t="s">
        <v>848</v>
      </c>
      <c r="R9" s="24">
        <v>3</v>
      </c>
      <c r="S9" s="24" t="s">
        <v>1494</v>
      </c>
      <c r="T9" s="24" t="s">
        <v>962</v>
      </c>
      <c r="U9" s="24" t="s">
        <v>856</v>
      </c>
      <c r="V9" s="32" t="s">
        <v>857</v>
      </c>
      <c r="W9" s="14" t="b">
        <v>1</v>
      </c>
      <c r="X9" s="5" t="s">
        <v>409</v>
      </c>
      <c r="Y9" s="28"/>
      <c r="Z9" s="5" t="s">
        <v>858</v>
      </c>
      <c r="AA9" s="5" t="s">
        <v>858</v>
      </c>
      <c r="AB9" s="24" t="s">
        <v>413</v>
      </c>
      <c r="AC9" s="14"/>
      <c r="AD9" s="14"/>
      <c r="AE9" s="14">
        <v>1</v>
      </c>
      <c r="AF9" s="14"/>
      <c r="AG9" s="14"/>
      <c r="AH9" s="14"/>
      <c r="AI9" s="14"/>
      <c r="AJ9" s="14"/>
      <c r="AK9" s="14"/>
      <c r="AL9" s="14"/>
      <c r="AM9" s="14"/>
      <c r="AN9" s="14"/>
      <c r="AO9" s="14"/>
      <c r="AP9" s="14"/>
      <c r="AQ9" s="14"/>
      <c r="AR9" s="14"/>
      <c r="AS9" s="14"/>
      <c r="AT9" s="14"/>
      <c r="AU9" s="14"/>
      <c r="AV9" s="14"/>
      <c r="AW9" s="14"/>
      <c r="AX9" s="14"/>
    </row>
    <row r="10" spans="1:50" ht="15.75" customHeight="1">
      <c r="A10" s="24" t="s">
        <v>14</v>
      </c>
      <c r="B10" s="25" t="str">
        <f t="shared" si="0"/>
        <v>s06_top_fits05_090nm_1_</v>
      </c>
      <c r="C10" s="24" t="s">
        <v>1504</v>
      </c>
      <c r="D10" s="74" t="str">
        <f t="shared" si="1"/>
        <v>bossdb://lee2022/s06_top_fits05_090nm_1_/</v>
      </c>
      <c r="E10" s="24" t="s">
        <v>2</v>
      </c>
      <c r="F10" s="5" t="s">
        <v>1013</v>
      </c>
      <c r="G10" s="5" t="s">
        <v>865</v>
      </c>
      <c r="H10" s="24" t="s">
        <v>1491</v>
      </c>
      <c r="I10" s="24" t="s">
        <v>1504</v>
      </c>
      <c r="J10" s="24" t="s">
        <v>1492</v>
      </c>
      <c r="K10" s="24" t="s">
        <v>867</v>
      </c>
      <c r="L10" s="24" t="s">
        <v>853</v>
      </c>
      <c r="M10" s="24" t="s">
        <v>962</v>
      </c>
      <c r="N10" s="24" t="s">
        <v>0</v>
      </c>
      <c r="O10" s="24" t="s">
        <v>1501</v>
      </c>
      <c r="P10" s="24" t="s">
        <v>848</v>
      </c>
      <c r="Q10" s="24" t="s">
        <v>848</v>
      </c>
      <c r="R10" s="24">
        <v>3</v>
      </c>
      <c r="S10" s="24" t="s">
        <v>1494</v>
      </c>
      <c r="T10" s="24" t="s">
        <v>962</v>
      </c>
      <c r="U10" s="24" t="s">
        <v>856</v>
      </c>
      <c r="V10" s="32" t="s">
        <v>857</v>
      </c>
      <c r="W10" s="14" t="b">
        <v>1</v>
      </c>
      <c r="X10" s="5" t="s">
        <v>409</v>
      </c>
      <c r="Y10" s="28"/>
      <c r="Z10" s="5" t="s">
        <v>858</v>
      </c>
      <c r="AA10" s="5" t="s">
        <v>858</v>
      </c>
      <c r="AB10" s="24" t="s">
        <v>413</v>
      </c>
      <c r="AC10" s="14"/>
      <c r="AD10" s="14"/>
      <c r="AE10" s="14">
        <v>1</v>
      </c>
      <c r="AF10" s="14"/>
      <c r="AG10" s="14"/>
      <c r="AH10" s="14"/>
      <c r="AI10" s="14"/>
      <c r="AJ10" s="14"/>
      <c r="AK10" s="14"/>
      <c r="AL10" s="14"/>
      <c r="AM10" s="14"/>
      <c r="AN10" s="14"/>
      <c r="AO10" s="14"/>
      <c r="AP10" s="14"/>
      <c r="AQ10" s="14"/>
      <c r="AR10" s="14"/>
      <c r="AS10" s="14"/>
      <c r="AT10" s="14"/>
      <c r="AU10" s="14"/>
      <c r="AV10" s="14"/>
      <c r="AW10" s="14"/>
      <c r="AX10" s="14"/>
    </row>
    <row r="11" spans="1:50" ht="15.75" customHeight="1">
      <c r="A11" s="24" t="s">
        <v>15</v>
      </c>
      <c r="B11" s="25" t="str">
        <f t="shared" si="0"/>
        <v>s18_WM_090nm_</v>
      </c>
      <c r="C11" s="24" t="s">
        <v>1505</v>
      </c>
      <c r="D11" s="74" t="str">
        <f t="shared" si="1"/>
        <v>bossdb://lee2022/s18_WM_090nm_/</v>
      </c>
      <c r="E11" s="24" t="s">
        <v>2</v>
      </c>
      <c r="F11" s="5" t="s">
        <v>1013</v>
      </c>
      <c r="G11" s="5" t="s">
        <v>865</v>
      </c>
      <c r="H11" s="24" t="s">
        <v>1491</v>
      </c>
      <c r="I11" s="24" t="s">
        <v>1505</v>
      </c>
      <c r="J11" s="24" t="s">
        <v>1492</v>
      </c>
      <c r="K11" s="24" t="s">
        <v>867</v>
      </c>
      <c r="L11" s="24" t="s">
        <v>853</v>
      </c>
      <c r="M11" s="24" t="s">
        <v>962</v>
      </c>
      <c r="N11" s="24" t="s">
        <v>0</v>
      </c>
      <c r="O11" s="24" t="s">
        <v>1502</v>
      </c>
      <c r="P11" s="24" t="s">
        <v>848</v>
      </c>
      <c r="Q11" s="24" t="s">
        <v>848</v>
      </c>
      <c r="R11" s="24">
        <v>3</v>
      </c>
      <c r="S11" s="24" t="s">
        <v>1494</v>
      </c>
      <c r="T11" s="24" t="s">
        <v>962</v>
      </c>
      <c r="U11" s="24" t="s">
        <v>856</v>
      </c>
      <c r="V11" s="32" t="s">
        <v>857</v>
      </c>
      <c r="W11" s="14" t="b">
        <v>1</v>
      </c>
      <c r="X11" s="5" t="s">
        <v>409</v>
      </c>
      <c r="Y11" s="28"/>
      <c r="Z11" s="5" t="s">
        <v>858</v>
      </c>
      <c r="AA11" s="5" t="s">
        <v>858</v>
      </c>
      <c r="AB11" s="24" t="s">
        <v>413</v>
      </c>
      <c r="AC11" s="14"/>
      <c r="AD11" s="14"/>
      <c r="AE11" s="14">
        <v>1</v>
      </c>
      <c r="AF11" s="14"/>
      <c r="AG11" s="14"/>
      <c r="AH11" s="14"/>
      <c r="AI11" s="14"/>
      <c r="AJ11" s="14"/>
      <c r="AK11" s="14"/>
      <c r="AL11" s="14"/>
      <c r="AM11" s="14"/>
      <c r="AN11" s="14"/>
      <c r="AO11" s="14"/>
      <c r="AP11" s="14"/>
      <c r="AQ11" s="14"/>
      <c r="AR11" s="14"/>
      <c r="AS11" s="14"/>
      <c r="AT11" s="14"/>
      <c r="AU11" s="14"/>
      <c r="AV11" s="14"/>
      <c r="AW11" s="14"/>
      <c r="AX11" s="14"/>
    </row>
    <row r="12" spans="1:50" ht="15.75" customHeight="1">
      <c r="A12" s="24" t="s">
        <v>16</v>
      </c>
      <c r="B12" s="25" t="str">
        <f t="shared" si="0"/>
        <v>s05_WM_107nm_bin2_2dist_2_</v>
      </c>
      <c r="C12" s="24" t="s">
        <v>1506</v>
      </c>
      <c r="D12" s="74" t="str">
        <f t="shared" si="1"/>
        <v>bossdb://lee2022/s05_WM_107nm_bin2_2dist_2_/</v>
      </c>
      <c r="E12" s="24" t="s">
        <v>2</v>
      </c>
      <c r="F12" s="5" t="s">
        <v>1013</v>
      </c>
      <c r="G12" s="5" t="s">
        <v>865</v>
      </c>
      <c r="H12" s="24" t="s">
        <v>1491</v>
      </c>
      <c r="I12" s="24" t="s">
        <v>1506</v>
      </c>
      <c r="J12" s="24" t="s">
        <v>1492</v>
      </c>
      <c r="K12" s="24" t="s">
        <v>867</v>
      </c>
      <c r="L12" s="24" t="s">
        <v>853</v>
      </c>
      <c r="M12" s="24" t="s">
        <v>962</v>
      </c>
      <c r="N12" s="24" t="s">
        <v>0</v>
      </c>
      <c r="O12" s="24" t="s">
        <v>1503</v>
      </c>
      <c r="P12" s="24" t="s">
        <v>848</v>
      </c>
      <c r="Q12" s="24" t="s">
        <v>848</v>
      </c>
      <c r="R12" s="24">
        <v>3</v>
      </c>
      <c r="S12" s="24" t="s">
        <v>1494</v>
      </c>
      <c r="T12" s="24" t="s">
        <v>962</v>
      </c>
      <c r="U12" s="24" t="s">
        <v>856</v>
      </c>
      <c r="V12" s="32" t="s">
        <v>857</v>
      </c>
      <c r="W12" s="14" t="b">
        <v>1</v>
      </c>
      <c r="X12" s="5" t="s">
        <v>409</v>
      </c>
      <c r="Y12" s="28"/>
      <c r="Z12" s="5" t="s">
        <v>858</v>
      </c>
      <c r="AA12" s="5" t="s">
        <v>858</v>
      </c>
      <c r="AB12" s="24" t="s">
        <v>413</v>
      </c>
      <c r="AC12" s="14"/>
      <c r="AD12" s="14"/>
      <c r="AE12" s="14">
        <v>1</v>
      </c>
      <c r="AF12" s="14"/>
      <c r="AG12" s="14"/>
      <c r="AH12" s="14"/>
      <c r="AI12" s="14"/>
      <c r="AJ12" s="14"/>
      <c r="AK12" s="14"/>
      <c r="AL12" s="14"/>
      <c r="AM12" s="14"/>
      <c r="AN12" s="14"/>
      <c r="AO12" s="14"/>
      <c r="AP12" s="14"/>
      <c r="AQ12" s="14"/>
      <c r="AR12" s="14"/>
      <c r="AS12" s="14"/>
      <c r="AT12" s="14"/>
      <c r="AU12" s="14"/>
      <c r="AV12" s="14"/>
      <c r="AW12" s="14"/>
      <c r="AX12" s="14"/>
    </row>
    <row r="13" spans="1:50" ht="15.75" customHeight="1">
      <c r="A13" s="24" t="s">
        <v>17</v>
      </c>
      <c r="B13" s="25" t="str">
        <f t="shared" si="0"/>
        <v>s06_top_fits05b_090nm_</v>
      </c>
      <c r="C13" s="24" t="s">
        <v>1507</v>
      </c>
      <c r="D13" s="74" t="str">
        <f t="shared" si="1"/>
        <v>bossdb://lee2022/s06_top_fits05b_090nm_/</v>
      </c>
      <c r="E13" s="24" t="s">
        <v>2</v>
      </c>
      <c r="F13" s="5" t="s">
        <v>1013</v>
      </c>
      <c r="G13" s="5" t="s">
        <v>865</v>
      </c>
      <c r="H13" s="24" t="s">
        <v>1491</v>
      </c>
      <c r="I13" s="24" t="s">
        <v>1507</v>
      </c>
      <c r="J13" s="24" t="s">
        <v>1492</v>
      </c>
      <c r="K13" s="24" t="s">
        <v>867</v>
      </c>
      <c r="L13" s="24" t="s">
        <v>853</v>
      </c>
      <c r="M13" s="24" t="s">
        <v>962</v>
      </c>
      <c r="N13" s="24" t="s">
        <v>0</v>
      </c>
      <c r="O13" s="24" t="s">
        <v>1504</v>
      </c>
      <c r="P13" s="24" t="s">
        <v>848</v>
      </c>
      <c r="Q13" s="24" t="s">
        <v>848</v>
      </c>
      <c r="R13" s="24">
        <v>3</v>
      </c>
      <c r="S13" s="24" t="s">
        <v>1494</v>
      </c>
      <c r="T13" s="24" t="s">
        <v>962</v>
      </c>
      <c r="U13" s="24" t="s">
        <v>856</v>
      </c>
      <c r="V13" s="32" t="s">
        <v>857</v>
      </c>
      <c r="W13" s="14" t="b">
        <v>1</v>
      </c>
      <c r="X13" s="5" t="s">
        <v>409</v>
      </c>
      <c r="Y13" s="28"/>
      <c r="Z13" s="5" t="s">
        <v>858</v>
      </c>
      <c r="AA13" s="5" t="s">
        <v>858</v>
      </c>
      <c r="AB13" s="24" t="s">
        <v>413</v>
      </c>
      <c r="AC13" s="14"/>
      <c r="AD13" s="14"/>
      <c r="AE13" s="14">
        <v>1</v>
      </c>
      <c r="AF13" s="14"/>
      <c r="AG13" s="14"/>
      <c r="AH13" s="14"/>
      <c r="AI13" s="14"/>
      <c r="AJ13" s="14"/>
      <c r="AK13" s="14"/>
      <c r="AL13" s="14"/>
      <c r="AM13" s="14"/>
      <c r="AN13" s="14"/>
      <c r="AO13" s="14"/>
      <c r="AP13" s="14"/>
      <c r="AQ13" s="14"/>
      <c r="AR13" s="14"/>
      <c r="AS13" s="14"/>
      <c r="AT13" s="14"/>
      <c r="AU13" s="14"/>
      <c r="AV13" s="14"/>
      <c r="AW13" s="14"/>
      <c r="AX13" s="14"/>
    </row>
    <row r="14" spans="1:50" ht="15.75" customHeight="1">
      <c r="A14" s="24" t="s">
        <v>18</v>
      </c>
      <c r="B14" s="25" t="str">
        <f t="shared" si="0"/>
        <v>s06_top_fits05b_090nm_1_</v>
      </c>
      <c r="C14" s="24" t="s">
        <v>1508</v>
      </c>
      <c r="D14" s="74" t="str">
        <f t="shared" si="1"/>
        <v>bossdb://lee2022/s06_top_fits05b_090nm_1_/</v>
      </c>
      <c r="E14" s="24" t="s">
        <v>2</v>
      </c>
      <c r="F14" s="5" t="s">
        <v>1013</v>
      </c>
      <c r="G14" s="5" t="s">
        <v>865</v>
      </c>
      <c r="H14" s="24" t="s">
        <v>1491</v>
      </c>
      <c r="I14" s="24" t="s">
        <v>1508</v>
      </c>
      <c r="J14" s="24" t="s">
        <v>1492</v>
      </c>
      <c r="K14" s="24" t="s">
        <v>867</v>
      </c>
      <c r="L14" s="24" t="s">
        <v>853</v>
      </c>
      <c r="M14" s="24" t="s">
        <v>962</v>
      </c>
      <c r="N14" s="24" t="s">
        <v>0</v>
      </c>
      <c r="O14" s="24" t="s">
        <v>1505</v>
      </c>
      <c r="P14" s="24" t="s">
        <v>848</v>
      </c>
      <c r="Q14" s="24" t="s">
        <v>848</v>
      </c>
      <c r="R14" s="24">
        <v>3</v>
      </c>
      <c r="S14" s="24" t="s">
        <v>1494</v>
      </c>
      <c r="T14" s="24" t="s">
        <v>962</v>
      </c>
      <c r="U14" s="24" t="s">
        <v>856</v>
      </c>
      <c r="V14" s="32" t="s">
        <v>857</v>
      </c>
      <c r="W14" s="14" t="b">
        <v>1</v>
      </c>
      <c r="X14" s="5" t="s">
        <v>409</v>
      </c>
      <c r="Y14" s="28"/>
      <c r="Z14" s="5" t="s">
        <v>858</v>
      </c>
      <c r="AA14" s="5" t="s">
        <v>858</v>
      </c>
      <c r="AB14" s="24" t="s">
        <v>413</v>
      </c>
      <c r="AC14" s="14"/>
      <c r="AD14" s="14"/>
      <c r="AE14" s="14">
        <v>1</v>
      </c>
      <c r="AF14" s="14"/>
      <c r="AG14" s="14"/>
      <c r="AH14" s="14"/>
      <c r="AI14" s="14"/>
      <c r="AJ14" s="14"/>
      <c r="AK14" s="14"/>
      <c r="AL14" s="14"/>
      <c r="AM14" s="14"/>
      <c r="AN14" s="14"/>
      <c r="AO14" s="14"/>
      <c r="AP14" s="14"/>
      <c r="AQ14" s="14"/>
      <c r="AR14" s="14"/>
      <c r="AS14" s="14"/>
      <c r="AT14" s="14"/>
      <c r="AU14" s="14"/>
      <c r="AV14" s="14"/>
      <c r="AW14" s="14"/>
      <c r="AX14" s="14"/>
    </row>
    <row r="15" spans="1:50" ht="15.75" customHeight="1">
      <c r="A15" s="24" t="s">
        <v>19</v>
      </c>
      <c r="B15" s="25" t="str">
        <f t="shared" si="0"/>
        <v>s18_WM_090nm_1_</v>
      </c>
      <c r="C15" s="24" t="s">
        <v>1509</v>
      </c>
      <c r="D15" s="74" t="str">
        <f t="shared" si="1"/>
        <v>bossdb://lee2022/s18_WM_090nm_1_/</v>
      </c>
      <c r="E15" s="24" t="s">
        <v>2</v>
      </c>
      <c r="F15" s="5" t="s">
        <v>1013</v>
      </c>
      <c r="G15" s="5" t="s">
        <v>865</v>
      </c>
      <c r="H15" s="24" t="s">
        <v>1491</v>
      </c>
      <c r="I15" s="24" t="s">
        <v>1509</v>
      </c>
      <c r="J15" s="24" t="s">
        <v>1492</v>
      </c>
      <c r="K15" s="24" t="s">
        <v>867</v>
      </c>
      <c r="L15" s="24" t="s">
        <v>853</v>
      </c>
      <c r="M15" s="24" t="s">
        <v>962</v>
      </c>
      <c r="N15" s="24" t="s">
        <v>0</v>
      </c>
      <c r="O15" s="24" t="s">
        <v>1506</v>
      </c>
      <c r="P15" s="24" t="s">
        <v>848</v>
      </c>
      <c r="Q15" s="24" t="s">
        <v>848</v>
      </c>
      <c r="R15" s="24">
        <v>3</v>
      </c>
      <c r="S15" s="24" t="s">
        <v>1494</v>
      </c>
      <c r="T15" s="24" t="s">
        <v>962</v>
      </c>
      <c r="U15" s="24" t="s">
        <v>856</v>
      </c>
      <c r="V15" s="32" t="s">
        <v>857</v>
      </c>
      <c r="W15" s="14" t="b">
        <v>1</v>
      </c>
      <c r="X15" s="5" t="s">
        <v>409</v>
      </c>
      <c r="Y15" s="28"/>
      <c r="Z15" s="5" t="s">
        <v>858</v>
      </c>
      <c r="AA15" s="5" t="s">
        <v>858</v>
      </c>
      <c r="AB15" s="24" t="s">
        <v>413</v>
      </c>
      <c r="AC15" s="14"/>
      <c r="AD15" s="14"/>
      <c r="AE15" s="14">
        <v>1</v>
      </c>
      <c r="AF15" s="14"/>
      <c r="AG15" s="14"/>
      <c r="AH15" s="14"/>
      <c r="AI15" s="14"/>
      <c r="AJ15" s="14"/>
      <c r="AK15" s="14"/>
      <c r="AL15" s="14"/>
      <c r="AM15" s="14"/>
      <c r="AN15" s="14"/>
      <c r="AO15" s="14"/>
      <c r="AP15" s="14"/>
      <c r="AQ15" s="14"/>
      <c r="AR15" s="14"/>
      <c r="AS15" s="14"/>
      <c r="AT15" s="14"/>
      <c r="AU15" s="14"/>
      <c r="AV15" s="14"/>
      <c r="AW15" s="14"/>
      <c r="AX15" s="14"/>
    </row>
    <row r="16" spans="1:50" ht="15.75" customHeight="1">
      <c r="A16" s="24" t="s">
        <v>20</v>
      </c>
      <c r="B16" s="25" t="str">
        <f t="shared" si="0"/>
        <v>s05_WM_160nm_2dist_</v>
      </c>
      <c r="C16" s="24" t="s">
        <v>1510</v>
      </c>
      <c r="D16" s="74" t="str">
        <f t="shared" si="1"/>
        <v>bossdb://lee2022/s05_WM_160nm_2dist_/</v>
      </c>
      <c r="E16" s="24" t="s">
        <v>2</v>
      </c>
      <c r="F16" s="5" t="s">
        <v>1013</v>
      </c>
      <c r="G16" s="5" t="s">
        <v>865</v>
      </c>
      <c r="H16" s="24" t="s">
        <v>1491</v>
      </c>
      <c r="I16" s="24" t="s">
        <v>1510</v>
      </c>
      <c r="J16" s="24" t="s">
        <v>1492</v>
      </c>
      <c r="K16" s="24" t="s">
        <v>867</v>
      </c>
      <c r="L16" s="24" t="s">
        <v>853</v>
      </c>
      <c r="M16" s="24" t="s">
        <v>962</v>
      </c>
      <c r="N16" s="24" t="s">
        <v>0</v>
      </c>
      <c r="O16" s="24" t="s">
        <v>1507</v>
      </c>
      <c r="P16" s="24" t="s">
        <v>848</v>
      </c>
      <c r="Q16" s="24" t="s">
        <v>848</v>
      </c>
      <c r="R16" s="24">
        <v>3</v>
      </c>
      <c r="S16" s="24" t="s">
        <v>1494</v>
      </c>
      <c r="T16" s="24" t="s">
        <v>962</v>
      </c>
      <c r="U16" s="24" t="s">
        <v>856</v>
      </c>
      <c r="V16" s="32" t="s">
        <v>857</v>
      </c>
      <c r="W16" s="14" t="b">
        <v>1</v>
      </c>
      <c r="X16" s="5" t="s">
        <v>409</v>
      </c>
      <c r="Y16" s="28"/>
      <c r="Z16" s="5" t="s">
        <v>858</v>
      </c>
      <c r="AA16" s="5" t="s">
        <v>858</v>
      </c>
      <c r="AB16" s="24" t="s">
        <v>413</v>
      </c>
      <c r="AC16" s="14"/>
      <c r="AD16" s="14"/>
      <c r="AE16" s="14">
        <v>1</v>
      </c>
      <c r="AF16" s="14"/>
      <c r="AG16" s="14"/>
      <c r="AH16" s="14"/>
      <c r="AI16" s="14"/>
      <c r="AJ16" s="14"/>
      <c r="AK16" s="14"/>
      <c r="AL16" s="14"/>
      <c r="AM16" s="14"/>
      <c r="AN16" s="14"/>
      <c r="AO16" s="14"/>
      <c r="AP16" s="14"/>
      <c r="AQ16" s="14"/>
      <c r="AR16" s="14"/>
      <c r="AS16" s="14"/>
      <c r="AT16" s="14"/>
      <c r="AU16" s="14"/>
      <c r="AV16" s="14"/>
      <c r="AW16" s="14"/>
      <c r="AX16" s="14"/>
    </row>
    <row r="17" spans="1:50" ht="15.75" customHeight="1">
      <c r="A17" s="24" t="s">
        <v>21</v>
      </c>
      <c r="B17" s="25" t="str">
        <f t="shared" si="0"/>
        <v>s06_top_fits05b_090nm_2_</v>
      </c>
      <c r="C17" s="24" t="s">
        <v>1511</v>
      </c>
      <c r="D17" s="74" t="str">
        <f t="shared" si="1"/>
        <v>bossdb://lee2022/s06_top_fits05b_090nm_2_/</v>
      </c>
      <c r="E17" s="24" t="s">
        <v>2</v>
      </c>
      <c r="F17" s="5" t="s">
        <v>1013</v>
      </c>
      <c r="G17" s="5" t="s">
        <v>865</v>
      </c>
      <c r="H17" s="24" t="s">
        <v>1491</v>
      </c>
      <c r="I17" s="24" t="s">
        <v>1511</v>
      </c>
      <c r="J17" s="24" t="s">
        <v>1492</v>
      </c>
      <c r="K17" s="24" t="s">
        <v>867</v>
      </c>
      <c r="L17" s="24" t="s">
        <v>853</v>
      </c>
      <c r="M17" s="24" t="s">
        <v>962</v>
      </c>
      <c r="N17" s="24" t="s">
        <v>0</v>
      </c>
      <c r="O17" s="24" t="s">
        <v>1508</v>
      </c>
      <c r="P17" s="24" t="s">
        <v>848</v>
      </c>
      <c r="Q17" s="24" t="s">
        <v>848</v>
      </c>
      <c r="R17" s="24">
        <v>3</v>
      </c>
      <c r="S17" s="24" t="s">
        <v>1494</v>
      </c>
      <c r="T17" s="24" t="s">
        <v>962</v>
      </c>
      <c r="U17" s="24" t="s">
        <v>856</v>
      </c>
      <c r="V17" s="32" t="s">
        <v>857</v>
      </c>
      <c r="W17" s="14" t="b">
        <v>1</v>
      </c>
      <c r="X17" s="5" t="s">
        <v>409</v>
      </c>
      <c r="Y17" s="28"/>
      <c r="Z17" s="5" t="s">
        <v>858</v>
      </c>
      <c r="AA17" s="5" t="s">
        <v>858</v>
      </c>
      <c r="AB17" s="24" t="s">
        <v>413</v>
      </c>
      <c r="AC17" s="14"/>
      <c r="AD17" s="14"/>
      <c r="AE17" s="14">
        <v>1</v>
      </c>
      <c r="AF17" s="14"/>
      <c r="AG17" s="14"/>
      <c r="AH17" s="14"/>
      <c r="AI17" s="14"/>
      <c r="AJ17" s="14"/>
      <c r="AK17" s="14"/>
      <c r="AL17" s="14"/>
      <c r="AM17" s="14"/>
      <c r="AN17" s="14"/>
      <c r="AO17" s="14"/>
      <c r="AP17" s="14"/>
      <c r="AQ17" s="14"/>
      <c r="AR17" s="14"/>
      <c r="AS17" s="14"/>
      <c r="AT17" s="14"/>
      <c r="AU17" s="14"/>
      <c r="AV17" s="14"/>
      <c r="AW17" s="14"/>
      <c r="AX17" s="14"/>
    </row>
    <row r="18" spans="1:50" ht="15.75" customHeight="1">
      <c r="A18" s="24" t="s">
        <v>22</v>
      </c>
      <c r="B18" s="25" t="str">
        <f t="shared" si="0"/>
        <v>s05_WM_160nm_2dist_1_</v>
      </c>
      <c r="C18" s="24" t="s">
        <v>1512</v>
      </c>
      <c r="D18" s="74" t="str">
        <f t="shared" si="1"/>
        <v>bossdb://lee2022/s05_WM_160nm_2dist_1_/</v>
      </c>
      <c r="E18" s="24" t="s">
        <v>2</v>
      </c>
      <c r="F18" s="5" t="s">
        <v>1013</v>
      </c>
      <c r="G18" s="5" t="s">
        <v>865</v>
      </c>
      <c r="H18" s="24" t="s">
        <v>1491</v>
      </c>
      <c r="I18" s="24" t="s">
        <v>1512</v>
      </c>
      <c r="J18" s="24" t="s">
        <v>1492</v>
      </c>
      <c r="K18" s="24" t="s">
        <v>867</v>
      </c>
      <c r="L18" s="24" t="s">
        <v>853</v>
      </c>
      <c r="M18" s="24" t="s">
        <v>962</v>
      </c>
      <c r="N18" s="24" t="s">
        <v>0</v>
      </c>
      <c r="O18" s="24" t="s">
        <v>1509</v>
      </c>
      <c r="P18" s="24" t="s">
        <v>848</v>
      </c>
      <c r="Q18" s="24" t="s">
        <v>848</v>
      </c>
      <c r="R18" s="24">
        <v>3</v>
      </c>
      <c r="S18" s="24" t="s">
        <v>1494</v>
      </c>
      <c r="T18" s="24" t="s">
        <v>962</v>
      </c>
      <c r="U18" s="24" t="s">
        <v>856</v>
      </c>
      <c r="V18" s="32" t="s">
        <v>857</v>
      </c>
      <c r="W18" s="14" t="b">
        <v>1</v>
      </c>
      <c r="X18" s="5" t="s">
        <v>409</v>
      </c>
      <c r="Y18" s="28"/>
      <c r="Z18" s="5" t="s">
        <v>858</v>
      </c>
      <c r="AA18" s="5" t="s">
        <v>858</v>
      </c>
      <c r="AB18" s="24" t="s">
        <v>413</v>
      </c>
      <c r="AC18" s="14"/>
      <c r="AD18" s="14"/>
      <c r="AE18" s="14">
        <v>1</v>
      </c>
      <c r="AF18" s="14"/>
      <c r="AG18" s="14"/>
      <c r="AH18" s="14"/>
      <c r="AI18" s="14"/>
      <c r="AJ18" s="14"/>
      <c r="AK18" s="14"/>
      <c r="AL18" s="14"/>
      <c r="AM18" s="14"/>
      <c r="AN18" s="14"/>
      <c r="AO18" s="14"/>
      <c r="AP18" s="14"/>
      <c r="AQ18" s="14"/>
      <c r="AR18" s="14"/>
      <c r="AS18" s="14"/>
      <c r="AT18" s="14"/>
      <c r="AU18" s="14"/>
      <c r="AV18" s="14"/>
      <c r="AW18" s="14"/>
      <c r="AX18" s="14"/>
    </row>
    <row r="19" spans="1:50" ht="15.75" customHeight="1">
      <c r="A19" s="24" t="s">
        <v>23</v>
      </c>
      <c r="B19" s="25" t="str">
        <f t="shared" si="0"/>
        <v>s18_WM_090nm_2_</v>
      </c>
      <c r="C19" s="24" t="s">
        <v>1513</v>
      </c>
      <c r="D19" s="74" t="str">
        <f t="shared" si="1"/>
        <v>bossdb://lee2022/s18_WM_090nm_2_/</v>
      </c>
      <c r="E19" s="24" t="s">
        <v>2</v>
      </c>
      <c r="F19" s="5" t="s">
        <v>1013</v>
      </c>
      <c r="G19" s="5" t="s">
        <v>865</v>
      </c>
      <c r="H19" s="24" t="s">
        <v>1491</v>
      </c>
      <c r="I19" s="24" t="s">
        <v>1513</v>
      </c>
      <c r="J19" s="24" t="s">
        <v>1492</v>
      </c>
      <c r="K19" s="24" t="s">
        <v>867</v>
      </c>
      <c r="L19" s="24" t="s">
        <v>853</v>
      </c>
      <c r="M19" s="24" t="s">
        <v>962</v>
      </c>
      <c r="N19" s="24" t="s">
        <v>0</v>
      </c>
      <c r="O19" s="24" t="s">
        <v>1510</v>
      </c>
      <c r="P19" s="24" t="s">
        <v>848</v>
      </c>
      <c r="Q19" s="24" t="s">
        <v>848</v>
      </c>
      <c r="R19" s="24">
        <v>3</v>
      </c>
      <c r="S19" s="24" t="s">
        <v>1494</v>
      </c>
      <c r="T19" s="24" t="s">
        <v>962</v>
      </c>
      <c r="U19" s="24" t="s">
        <v>856</v>
      </c>
      <c r="V19" s="32" t="s">
        <v>857</v>
      </c>
      <c r="W19" s="14" t="b">
        <v>1</v>
      </c>
      <c r="X19" s="5" t="s">
        <v>409</v>
      </c>
      <c r="Y19" s="28"/>
      <c r="Z19" s="5" t="s">
        <v>858</v>
      </c>
      <c r="AA19" s="5" t="s">
        <v>858</v>
      </c>
      <c r="AB19" s="24" t="s">
        <v>413</v>
      </c>
      <c r="AC19" s="14"/>
      <c r="AD19" s="14"/>
      <c r="AE19" s="14">
        <v>1</v>
      </c>
      <c r="AF19" s="14"/>
      <c r="AG19" s="14"/>
      <c r="AH19" s="14"/>
      <c r="AI19" s="14"/>
      <c r="AJ19" s="14"/>
      <c r="AK19" s="14"/>
      <c r="AL19" s="14"/>
      <c r="AM19" s="14"/>
      <c r="AN19" s="14"/>
      <c r="AO19" s="14"/>
      <c r="AP19" s="14"/>
      <c r="AQ19" s="14"/>
      <c r="AR19" s="14"/>
      <c r="AS19" s="14"/>
      <c r="AT19" s="14"/>
      <c r="AU19" s="14"/>
      <c r="AV19" s="14"/>
      <c r="AW19" s="14"/>
      <c r="AX19" s="14"/>
    </row>
    <row r="20" spans="1:50" ht="15.75" customHeight="1">
      <c r="A20" s="24" t="s">
        <v>24</v>
      </c>
      <c r="B20" s="25" t="str">
        <f t="shared" si="0"/>
        <v>s06_top_fits05b_090nm_3_</v>
      </c>
      <c r="C20" s="24" t="s">
        <v>1514</v>
      </c>
      <c r="D20" s="74" t="str">
        <f t="shared" si="1"/>
        <v>bossdb://lee2022/s06_top_fits05b_090nm_3_/</v>
      </c>
      <c r="E20" s="24" t="s">
        <v>2</v>
      </c>
      <c r="F20" s="5" t="s">
        <v>1013</v>
      </c>
      <c r="G20" s="5" t="s">
        <v>865</v>
      </c>
      <c r="H20" s="24" t="s">
        <v>1491</v>
      </c>
      <c r="I20" s="24" t="s">
        <v>1514</v>
      </c>
      <c r="J20" s="24" t="s">
        <v>1492</v>
      </c>
      <c r="K20" s="24" t="s">
        <v>867</v>
      </c>
      <c r="L20" s="24" t="s">
        <v>853</v>
      </c>
      <c r="M20" s="24" t="s">
        <v>962</v>
      </c>
      <c r="N20" s="24" t="s">
        <v>0</v>
      </c>
      <c r="O20" s="24" t="s">
        <v>1511</v>
      </c>
      <c r="P20" s="24" t="s">
        <v>848</v>
      </c>
      <c r="Q20" s="24" t="s">
        <v>848</v>
      </c>
      <c r="R20" s="24">
        <v>3</v>
      </c>
      <c r="S20" s="24" t="s">
        <v>1494</v>
      </c>
      <c r="T20" s="24" t="s">
        <v>962</v>
      </c>
      <c r="U20" s="24" t="s">
        <v>856</v>
      </c>
      <c r="V20" s="32" t="s">
        <v>857</v>
      </c>
      <c r="W20" s="14" t="b">
        <v>1</v>
      </c>
      <c r="X20" s="5" t="s">
        <v>409</v>
      </c>
      <c r="Y20" s="28"/>
      <c r="Z20" s="5" t="s">
        <v>858</v>
      </c>
      <c r="AA20" s="5" t="s">
        <v>858</v>
      </c>
      <c r="AB20" s="24" t="s">
        <v>413</v>
      </c>
      <c r="AC20" s="14"/>
      <c r="AD20" s="14"/>
      <c r="AE20" s="14">
        <v>1</v>
      </c>
      <c r="AF20" s="14"/>
      <c r="AG20" s="14"/>
      <c r="AH20" s="14"/>
      <c r="AI20" s="14"/>
      <c r="AJ20" s="14"/>
      <c r="AK20" s="14"/>
      <c r="AL20" s="14"/>
      <c r="AM20" s="14"/>
      <c r="AN20" s="14"/>
      <c r="AO20" s="14"/>
      <c r="AP20" s="14"/>
      <c r="AQ20" s="14"/>
      <c r="AR20" s="14"/>
      <c r="AS20" s="14"/>
      <c r="AT20" s="14"/>
      <c r="AU20" s="14"/>
      <c r="AV20" s="14"/>
      <c r="AW20" s="14"/>
      <c r="AX20" s="14"/>
    </row>
    <row r="21" spans="1:50" ht="15.75" customHeight="1">
      <c r="A21" s="24" t="s">
        <v>25</v>
      </c>
      <c r="B21" s="25" t="str">
        <f t="shared" si="0"/>
        <v>s05_WM_160nm_2dist_2_</v>
      </c>
      <c r="C21" s="24" t="s">
        <v>1515</v>
      </c>
      <c r="D21" s="74" t="str">
        <f t="shared" si="1"/>
        <v>bossdb://lee2022/s05_WM_160nm_2dist_2_/</v>
      </c>
      <c r="E21" s="24" t="s">
        <v>2</v>
      </c>
      <c r="F21" s="5" t="s">
        <v>1013</v>
      </c>
      <c r="G21" s="5" t="s">
        <v>865</v>
      </c>
      <c r="H21" s="24" t="s">
        <v>1491</v>
      </c>
      <c r="I21" s="24" t="s">
        <v>1515</v>
      </c>
      <c r="J21" s="24" t="s">
        <v>1492</v>
      </c>
      <c r="K21" s="24" t="s">
        <v>867</v>
      </c>
      <c r="L21" s="24" t="s">
        <v>853</v>
      </c>
      <c r="M21" s="24" t="s">
        <v>962</v>
      </c>
      <c r="N21" s="24" t="s">
        <v>0</v>
      </c>
      <c r="O21" s="24" t="s">
        <v>1512</v>
      </c>
      <c r="P21" s="24" t="s">
        <v>848</v>
      </c>
      <c r="Q21" s="24" t="s">
        <v>848</v>
      </c>
      <c r="R21" s="24">
        <v>3</v>
      </c>
      <c r="S21" s="24" t="s">
        <v>1494</v>
      </c>
      <c r="T21" s="24" t="s">
        <v>962</v>
      </c>
      <c r="U21" s="24" t="s">
        <v>856</v>
      </c>
      <c r="V21" s="32" t="s">
        <v>857</v>
      </c>
      <c r="W21" s="14" t="b">
        <v>1</v>
      </c>
      <c r="X21" s="5" t="s">
        <v>409</v>
      </c>
      <c r="Y21" s="28"/>
      <c r="Z21" s="5" t="s">
        <v>858</v>
      </c>
      <c r="AA21" s="5" t="s">
        <v>858</v>
      </c>
      <c r="AB21" s="24" t="s">
        <v>413</v>
      </c>
      <c r="AC21" s="14"/>
      <c r="AD21" s="14"/>
      <c r="AE21" s="14">
        <v>1</v>
      </c>
      <c r="AF21" s="14"/>
      <c r="AG21" s="14"/>
      <c r="AH21" s="14"/>
      <c r="AI21" s="14"/>
      <c r="AJ21" s="14"/>
      <c r="AK21" s="14"/>
      <c r="AL21" s="14"/>
      <c r="AM21" s="14"/>
      <c r="AN21" s="14"/>
      <c r="AO21" s="14"/>
      <c r="AP21" s="14"/>
      <c r="AQ21" s="14"/>
      <c r="AR21" s="14"/>
      <c r="AS21" s="14"/>
      <c r="AT21" s="14"/>
      <c r="AU21" s="14"/>
      <c r="AV21" s="14"/>
      <c r="AW21" s="14"/>
      <c r="AX21" s="14"/>
    </row>
    <row r="22" spans="1:50" ht="15.75" customHeight="1">
      <c r="A22" s="24" t="s">
        <v>26</v>
      </c>
      <c r="B22" s="25" t="str">
        <f t="shared" si="0"/>
        <v>s06_top_fits05b_090nm_4_</v>
      </c>
      <c r="C22" s="24" t="s">
        <v>1516</v>
      </c>
      <c r="D22" s="74" t="str">
        <f t="shared" si="1"/>
        <v>bossdb://lee2022/s06_top_fits05b_090nm_4_/</v>
      </c>
      <c r="E22" s="24" t="s">
        <v>2</v>
      </c>
      <c r="F22" s="5" t="s">
        <v>1013</v>
      </c>
      <c r="G22" s="5" t="s">
        <v>865</v>
      </c>
      <c r="H22" s="24" t="s">
        <v>1491</v>
      </c>
      <c r="I22" s="24" t="s">
        <v>1516</v>
      </c>
      <c r="J22" s="24" t="s">
        <v>1492</v>
      </c>
      <c r="K22" s="24" t="s">
        <v>867</v>
      </c>
      <c r="L22" s="24" t="s">
        <v>853</v>
      </c>
      <c r="M22" s="24" t="s">
        <v>962</v>
      </c>
      <c r="N22" s="24" t="s">
        <v>0</v>
      </c>
      <c r="O22" s="24" t="s">
        <v>1513</v>
      </c>
      <c r="P22" s="24" t="s">
        <v>848</v>
      </c>
      <c r="Q22" s="24" t="s">
        <v>848</v>
      </c>
      <c r="R22" s="24">
        <v>3</v>
      </c>
      <c r="S22" s="24" t="s">
        <v>1494</v>
      </c>
      <c r="T22" s="24" t="s">
        <v>962</v>
      </c>
      <c r="U22" s="24" t="s">
        <v>856</v>
      </c>
      <c r="V22" s="32" t="s">
        <v>857</v>
      </c>
      <c r="W22" s="14" t="b">
        <v>1</v>
      </c>
      <c r="X22" s="5" t="s">
        <v>409</v>
      </c>
      <c r="Y22" s="28"/>
      <c r="Z22" s="5" t="s">
        <v>858</v>
      </c>
      <c r="AA22" s="5" t="s">
        <v>858</v>
      </c>
      <c r="AB22" s="24" t="s">
        <v>413</v>
      </c>
      <c r="AC22" s="14"/>
      <c r="AD22" s="14"/>
      <c r="AE22" s="14">
        <v>1</v>
      </c>
      <c r="AF22" s="14"/>
      <c r="AG22" s="14"/>
      <c r="AH22" s="14"/>
      <c r="AI22" s="14"/>
      <c r="AJ22" s="14"/>
      <c r="AK22" s="14"/>
      <c r="AL22" s="14"/>
      <c r="AM22" s="14"/>
      <c r="AN22" s="14"/>
      <c r="AO22" s="14"/>
      <c r="AP22" s="14"/>
      <c r="AQ22" s="14"/>
      <c r="AR22" s="14"/>
      <c r="AS22" s="14"/>
      <c r="AT22" s="14"/>
      <c r="AU22" s="14"/>
      <c r="AV22" s="14"/>
      <c r="AW22" s="14"/>
      <c r="AX22" s="14"/>
    </row>
    <row r="23" spans="1:50" ht="15.75" customHeight="1">
      <c r="A23" s="24" t="s">
        <v>27</v>
      </c>
      <c r="B23" s="25" t="str">
        <f t="shared" si="0"/>
        <v>s18_WM_090nm_3_</v>
      </c>
      <c r="C23" s="24" t="s">
        <v>1517</v>
      </c>
      <c r="D23" s="74" t="str">
        <f t="shared" si="1"/>
        <v>bossdb://lee2022/s18_WM_090nm_3_/</v>
      </c>
      <c r="E23" s="24" t="s">
        <v>2</v>
      </c>
      <c r="F23" s="5" t="s">
        <v>1013</v>
      </c>
      <c r="G23" s="5" t="s">
        <v>865</v>
      </c>
      <c r="H23" s="24" t="s">
        <v>1491</v>
      </c>
      <c r="I23" s="24" t="s">
        <v>1517</v>
      </c>
      <c r="J23" s="24" t="s">
        <v>1492</v>
      </c>
      <c r="K23" s="24" t="s">
        <v>867</v>
      </c>
      <c r="L23" s="24" t="s">
        <v>853</v>
      </c>
      <c r="M23" s="24" t="s">
        <v>962</v>
      </c>
      <c r="N23" s="24" t="s">
        <v>0</v>
      </c>
      <c r="O23" s="24" t="s">
        <v>1514</v>
      </c>
      <c r="P23" s="24" t="s">
        <v>848</v>
      </c>
      <c r="Q23" s="24" t="s">
        <v>848</v>
      </c>
      <c r="R23" s="24">
        <v>3</v>
      </c>
      <c r="S23" s="24" t="s">
        <v>1494</v>
      </c>
      <c r="T23" s="24" t="s">
        <v>962</v>
      </c>
      <c r="U23" s="24" t="s">
        <v>856</v>
      </c>
      <c r="V23" s="32" t="s">
        <v>857</v>
      </c>
      <c r="W23" s="14" t="b">
        <v>1</v>
      </c>
      <c r="X23" s="5" t="s">
        <v>409</v>
      </c>
      <c r="Y23" s="28"/>
      <c r="Z23" s="5" t="s">
        <v>858</v>
      </c>
      <c r="AA23" s="5" t="s">
        <v>858</v>
      </c>
      <c r="AB23" s="24" t="s">
        <v>413</v>
      </c>
      <c r="AC23" s="14"/>
      <c r="AD23" s="14"/>
      <c r="AE23" s="14">
        <v>1</v>
      </c>
      <c r="AF23" s="14"/>
      <c r="AG23" s="14"/>
      <c r="AH23" s="14"/>
      <c r="AI23" s="14"/>
      <c r="AJ23" s="14"/>
      <c r="AK23" s="14"/>
      <c r="AL23" s="14"/>
      <c r="AM23" s="14"/>
      <c r="AN23" s="14"/>
      <c r="AO23" s="14"/>
      <c r="AP23" s="14"/>
      <c r="AQ23" s="14"/>
      <c r="AR23" s="14"/>
      <c r="AS23" s="14"/>
      <c r="AT23" s="14"/>
      <c r="AU23" s="14"/>
      <c r="AV23" s="14"/>
      <c r="AW23" s="14"/>
      <c r="AX23" s="14"/>
    </row>
    <row r="24" spans="1:50" ht="15.75" customHeight="1">
      <c r="A24" s="24" t="s">
        <v>28</v>
      </c>
      <c r="B24" s="25" t="str">
        <f t="shared" si="0"/>
        <v>s05_WM_fits06_090nm_</v>
      </c>
      <c r="C24" s="24" t="s">
        <v>1518</v>
      </c>
      <c r="D24" s="74" t="str">
        <f t="shared" si="1"/>
        <v>bossdb://lee2022/s05_WM_fits06_090nm_/</v>
      </c>
      <c r="E24" s="24" t="s">
        <v>2</v>
      </c>
      <c r="F24" s="5" t="s">
        <v>1013</v>
      </c>
      <c r="G24" s="5" t="s">
        <v>865</v>
      </c>
      <c r="H24" s="24" t="s">
        <v>1491</v>
      </c>
      <c r="I24" s="24" t="s">
        <v>1518</v>
      </c>
      <c r="J24" s="24" t="s">
        <v>1492</v>
      </c>
      <c r="K24" s="24" t="s">
        <v>867</v>
      </c>
      <c r="L24" s="24" t="s">
        <v>853</v>
      </c>
      <c r="M24" s="24" t="s">
        <v>962</v>
      </c>
      <c r="N24" s="24" t="s">
        <v>0</v>
      </c>
      <c r="O24" s="24" t="s">
        <v>1515</v>
      </c>
      <c r="P24" s="24" t="s">
        <v>848</v>
      </c>
      <c r="Q24" s="24" t="s">
        <v>848</v>
      </c>
      <c r="R24" s="24">
        <v>3</v>
      </c>
      <c r="S24" s="24" t="s">
        <v>1494</v>
      </c>
      <c r="T24" s="24" t="s">
        <v>962</v>
      </c>
      <c r="U24" s="24" t="s">
        <v>856</v>
      </c>
      <c r="V24" s="32" t="s">
        <v>857</v>
      </c>
      <c r="W24" s="14" t="b">
        <v>1</v>
      </c>
      <c r="X24" s="5" t="s">
        <v>409</v>
      </c>
      <c r="Y24" s="28"/>
      <c r="Z24" s="5" t="s">
        <v>858</v>
      </c>
      <c r="AA24" s="5" t="s">
        <v>858</v>
      </c>
      <c r="AB24" s="24" t="s">
        <v>413</v>
      </c>
      <c r="AC24" s="14"/>
      <c r="AD24" s="14"/>
      <c r="AE24" s="14">
        <v>1</v>
      </c>
      <c r="AF24" s="14"/>
      <c r="AG24" s="14"/>
      <c r="AH24" s="14"/>
      <c r="AI24" s="14"/>
      <c r="AJ24" s="14"/>
      <c r="AK24" s="14"/>
      <c r="AL24" s="14"/>
      <c r="AM24" s="14"/>
      <c r="AN24" s="14"/>
      <c r="AO24" s="14"/>
      <c r="AP24" s="14"/>
      <c r="AQ24" s="14"/>
      <c r="AR24" s="14"/>
      <c r="AS24" s="14"/>
      <c r="AT24" s="14"/>
      <c r="AU24" s="14"/>
      <c r="AV24" s="14"/>
      <c r="AW24" s="14"/>
      <c r="AX24" s="14"/>
    </row>
    <row r="25" spans="1:50" ht="15.75" customHeight="1">
      <c r="A25" s="24" t="s">
        <v>29</v>
      </c>
      <c r="B25" s="25" t="str">
        <f t="shared" si="0"/>
        <v>s18_WM_090nm_4_</v>
      </c>
      <c r="C25" s="24" t="s">
        <v>1519</v>
      </c>
      <c r="D25" s="74" t="str">
        <f t="shared" si="1"/>
        <v>bossdb://lee2022/s18_WM_090nm_4_/</v>
      </c>
      <c r="E25" s="24" t="s">
        <v>2</v>
      </c>
      <c r="F25" s="5" t="s">
        <v>1013</v>
      </c>
      <c r="G25" s="5" t="s">
        <v>865</v>
      </c>
      <c r="H25" s="24" t="s">
        <v>1491</v>
      </c>
      <c r="I25" s="24" t="s">
        <v>1519</v>
      </c>
      <c r="J25" s="24" t="s">
        <v>1492</v>
      </c>
      <c r="K25" s="24" t="s">
        <v>867</v>
      </c>
      <c r="L25" s="24" t="s">
        <v>853</v>
      </c>
      <c r="M25" s="24" t="s">
        <v>962</v>
      </c>
      <c r="N25" s="24" t="s">
        <v>0</v>
      </c>
      <c r="O25" s="24" t="s">
        <v>1516</v>
      </c>
      <c r="P25" s="24" t="s">
        <v>848</v>
      </c>
      <c r="Q25" s="24" t="s">
        <v>848</v>
      </c>
      <c r="R25" s="24">
        <v>3</v>
      </c>
      <c r="S25" s="24" t="s">
        <v>1494</v>
      </c>
      <c r="T25" s="24" t="s">
        <v>962</v>
      </c>
      <c r="U25" s="24" t="s">
        <v>856</v>
      </c>
      <c r="V25" s="32" t="s">
        <v>857</v>
      </c>
      <c r="W25" s="14" t="b">
        <v>1</v>
      </c>
      <c r="X25" s="5" t="s">
        <v>409</v>
      </c>
      <c r="Y25" s="28"/>
      <c r="Z25" s="5" t="s">
        <v>858</v>
      </c>
      <c r="AA25" s="5" t="s">
        <v>858</v>
      </c>
      <c r="AB25" s="24" t="s">
        <v>413</v>
      </c>
      <c r="AC25" s="14"/>
      <c r="AD25" s="14"/>
      <c r="AE25" s="14">
        <v>1</v>
      </c>
      <c r="AF25" s="14"/>
      <c r="AG25" s="14"/>
      <c r="AH25" s="14"/>
      <c r="AI25" s="14"/>
      <c r="AJ25" s="14"/>
      <c r="AK25" s="14"/>
      <c r="AL25" s="14"/>
      <c r="AM25" s="14"/>
      <c r="AN25" s="14"/>
      <c r="AO25" s="14"/>
      <c r="AP25" s="14"/>
      <c r="AQ25" s="14"/>
      <c r="AR25" s="14"/>
      <c r="AS25" s="14"/>
      <c r="AT25" s="14"/>
      <c r="AU25" s="14"/>
      <c r="AV25" s="14"/>
      <c r="AW25" s="14"/>
      <c r="AX25" s="14"/>
    </row>
    <row r="26" spans="1:50" ht="15.75" customHeight="1">
      <c r="A26" s="24" t="s">
        <v>30</v>
      </c>
      <c r="B26" s="25" t="str">
        <f t="shared" si="0"/>
        <v>s05_WM_fits06_090nm_1_</v>
      </c>
      <c r="C26" s="24" t="s">
        <v>1520</v>
      </c>
      <c r="D26" s="74" t="str">
        <f t="shared" si="1"/>
        <v>bossdb://lee2022/s05_WM_fits06_090nm_1_/</v>
      </c>
      <c r="E26" s="24" t="s">
        <v>2</v>
      </c>
      <c r="F26" s="5" t="s">
        <v>1013</v>
      </c>
      <c r="G26" s="5" t="s">
        <v>865</v>
      </c>
      <c r="H26" s="24" t="s">
        <v>1491</v>
      </c>
      <c r="I26" s="24" t="s">
        <v>1520</v>
      </c>
      <c r="J26" s="24" t="s">
        <v>1492</v>
      </c>
      <c r="K26" s="24" t="s">
        <v>867</v>
      </c>
      <c r="L26" s="24" t="s">
        <v>853</v>
      </c>
      <c r="M26" s="24" t="s">
        <v>962</v>
      </c>
      <c r="N26" s="24" t="s">
        <v>0</v>
      </c>
      <c r="O26" s="24" t="s">
        <v>1517</v>
      </c>
      <c r="P26" s="24" t="s">
        <v>848</v>
      </c>
      <c r="Q26" s="24" t="s">
        <v>848</v>
      </c>
      <c r="R26" s="24">
        <v>3</v>
      </c>
      <c r="S26" s="24" t="s">
        <v>1494</v>
      </c>
      <c r="T26" s="24" t="s">
        <v>962</v>
      </c>
      <c r="U26" s="24" t="s">
        <v>856</v>
      </c>
      <c r="V26" s="32" t="s">
        <v>857</v>
      </c>
      <c r="W26" s="14" t="b">
        <v>1</v>
      </c>
      <c r="X26" s="5" t="s">
        <v>409</v>
      </c>
      <c r="Y26" s="28"/>
      <c r="Z26" s="5" t="s">
        <v>858</v>
      </c>
      <c r="AA26" s="5" t="s">
        <v>858</v>
      </c>
      <c r="AB26" s="24" t="s">
        <v>413</v>
      </c>
      <c r="AC26" s="14"/>
      <c r="AD26" s="14"/>
      <c r="AE26" s="14">
        <v>1</v>
      </c>
      <c r="AF26" s="14"/>
      <c r="AG26" s="14"/>
      <c r="AH26" s="14"/>
      <c r="AI26" s="14"/>
      <c r="AJ26" s="14"/>
      <c r="AK26" s="14"/>
      <c r="AL26" s="14"/>
      <c r="AM26" s="14"/>
      <c r="AN26" s="14"/>
      <c r="AO26" s="14"/>
      <c r="AP26" s="14"/>
      <c r="AQ26" s="14"/>
      <c r="AR26" s="14"/>
      <c r="AS26" s="14"/>
      <c r="AT26" s="14"/>
      <c r="AU26" s="14"/>
      <c r="AV26" s="14"/>
      <c r="AW26" s="14"/>
      <c r="AX26" s="14"/>
    </row>
    <row r="27" spans="1:50" ht="15.75" customHeight="1">
      <c r="A27" s="24" t="s">
        <v>31</v>
      </c>
      <c r="B27" s="25" t="str">
        <f t="shared" si="0"/>
        <v>s06_topm200um_fits05_090nm_1_</v>
      </c>
      <c r="C27" s="24" t="s">
        <v>1521</v>
      </c>
      <c r="D27" s="74" t="str">
        <f t="shared" si="1"/>
        <v>bossdb://lee2022/s06_topm200um_fits05_090nm_1_/</v>
      </c>
      <c r="E27" s="24" t="s">
        <v>2</v>
      </c>
      <c r="F27" s="5" t="s">
        <v>1013</v>
      </c>
      <c r="G27" s="5" t="s">
        <v>865</v>
      </c>
      <c r="H27" s="24" t="s">
        <v>1491</v>
      </c>
      <c r="I27" s="24" t="s">
        <v>1521</v>
      </c>
      <c r="J27" s="24" t="s">
        <v>1492</v>
      </c>
      <c r="K27" s="24" t="s">
        <v>867</v>
      </c>
      <c r="L27" s="24" t="s">
        <v>853</v>
      </c>
      <c r="M27" s="24" t="s">
        <v>962</v>
      </c>
      <c r="N27" s="24" t="s">
        <v>0</v>
      </c>
      <c r="O27" s="24" t="s">
        <v>1518</v>
      </c>
      <c r="P27" s="24" t="s">
        <v>848</v>
      </c>
      <c r="Q27" s="24" t="s">
        <v>848</v>
      </c>
      <c r="R27" s="24">
        <v>3</v>
      </c>
      <c r="S27" s="24" t="s">
        <v>1494</v>
      </c>
      <c r="T27" s="24" t="s">
        <v>962</v>
      </c>
      <c r="U27" s="24" t="s">
        <v>856</v>
      </c>
      <c r="V27" s="32" t="s">
        <v>857</v>
      </c>
      <c r="W27" s="14" t="b">
        <v>1</v>
      </c>
      <c r="X27" s="5" t="s">
        <v>409</v>
      </c>
      <c r="Y27" s="28"/>
      <c r="Z27" s="5" t="s">
        <v>858</v>
      </c>
      <c r="AA27" s="5" t="s">
        <v>858</v>
      </c>
      <c r="AB27" s="24" t="s">
        <v>413</v>
      </c>
      <c r="AC27" s="14"/>
      <c r="AD27" s="14"/>
      <c r="AE27" s="14">
        <v>1</v>
      </c>
      <c r="AF27" s="14"/>
      <c r="AG27" s="14"/>
      <c r="AH27" s="14"/>
      <c r="AI27" s="14"/>
      <c r="AJ27" s="14"/>
      <c r="AK27" s="14"/>
      <c r="AL27" s="14"/>
      <c r="AM27" s="14"/>
      <c r="AN27" s="14"/>
      <c r="AO27" s="14"/>
      <c r="AP27" s="14"/>
      <c r="AQ27" s="14"/>
      <c r="AR27" s="14"/>
      <c r="AS27" s="14"/>
      <c r="AT27" s="14"/>
      <c r="AU27" s="14"/>
      <c r="AV27" s="14"/>
      <c r="AW27" s="14"/>
      <c r="AX27" s="14"/>
    </row>
    <row r="28" spans="1:50" ht="15.75" customHeight="1">
      <c r="A28" s="24" t="s">
        <v>32</v>
      </c>
      <c r="B28" s="25" t="str">
        <f t="shared" si="0"/>
        <v>s18_WM_090nm_good_</v>
      </c>
      <c r="C28" s="24" t="s">
        <v>1522</v>
      </c>
      <c r="D28" s="74" t="str">
        <f t="shared" si="1"/>
        <v>bossdb://lee2022/s18_WM_090nm_good_/</v>
      </c>
      <c r="E28" s="24" t="s">
        <v>2</v>
      </c>
      <c r="F28" s="5" t="s">
        <v>1013</v>
      </c>
      <c r="G28" s="5" t="s">
        <v>865</v>
      </c>
      <c r="H28" s="24" t="s">
        <v>1491</v>
      </c>
      <c r="I28" s="24" t="s">
        <v>1522</v>
      </c>
      <c r="J28" s="24" t="s">
        <v>1492</v>
      </c>
      <c r="K28" s="24" t="s">
        <v>867</v>
      </c>
      <c r="L28" s="24" t="s">
        <v>853</v>
      </c>
      <c r="M28" s="24" t="s">
        <v>962</v>
      </c>
      <c r="N28" s="24" t="s">
        <v>0</v>
      </c>
      <c r="O28" s="24" t="s">
        <v>1519</v>
      </c>
      <c r="P28" s="24" t="s">
        <v>848</v>
      </c>
      <c r="Q28" s="24" t="s">
        <v>848</v>
      </c>
      <c r="R28" s="24">
        <v>3</v>
      </c>
      <c r="S28" s="24" t="s">
        <v>1494</v>
      </c>
      <c r="T28" s="24" t="s">
        <v>962</v>
      </c>
      <c r="U28" s="24" t="s">
        <v>856</v>
      </c>
      <c r="V28" s="32" t="s">
        <v>857</v>
      </c>
      <c r="W28" s="14" t="b">
        <v>1</v>
      </c>
      <c r="X28" s="5" t="s">
        <v>409</v>
      </c>
      <c r="Y28" s="28"/>
      <c r="Z28" s="5" t="s">
        <v>858</v>
      </c>
      <c r="AA28" s="5" t="s">
        <v>858</v>
      </c>
      <c r="AB28" s="24" t="s">
        <v>413</v>
      </c>
      <c r="AC28" s="14"/>
      <c r="AD28" s="14"/>
      <c r="AE28" s="14">
        <v>1</v>
      </c>
      <c r="AF28" s="14"/>
      <c r="AG28" s="14"/>
      <c r="AH28" s="14"/>
      <c r="AI28" s="14"/>
      <c r="AJ28" s="14"/>
      <c r="AK28" s="14"/>
      <c r="AL28" s="14"/>
      <c r="AM28" s="14"/>
      <c r="AN28" s="14"/>
      <c r="AO28" s="14"/>
      <c r="AP28" s="14"/>
      <c r="AQ28" s="14"/>
      <c r="AR28" s="14"/>
      <c r="AS28" s="14"/>
      <c r="AT28" s="14"/>
      <c r="AU28" s="14"/>
      <c r="AV28" s="14"/>
      <c r="AW28" s="14"/>
      <c r="AX28" s="14"/>
    </row>
    <row r="29" spans="1:50" ht="15.75" customHeight="1">
      <c r="A29" s="24" t="s">
        <v>33</v>
      </c>
      <c r="B29" s="25" t="str">
        <f t="shared" si="0"/>
        <v>s18_WM_090nm_good_1_</v>
      </c>
      <c r="C29" s="24" t="s">
        <v>1523</v>
      </c>
      <c r="D29" s="74" t="str">
        <f t="shared" si="1"/>
        <v>bossdb://lee2022/s18_WM_090nm_good_1_/</v>
      </c>
      <c r="E29" s="24" t="s">
        <v>2</v>
      </c>
      <c r="F29" s="5" t="s">
        <v>1013</v>
      </c>
      <c r="G29" s="5" t="s">
        <v>865</v>
      </c>
      <c r="H29" s="24" t="s">
        <v>1491</v>
      </c>
      <c r="I29" s="24" t="s">
        <v>1523</v>
      </c>
      <c r="J29" s="24" t="s">
        <v>1492</v>
      </c>
      <c r="K29" s="24" t="s">
        <v>867</v>
      </c>
      <c r="L29" s="24" t="s">
        <v>853</v>
      </c>
      <c r="M29" s="24" t="s">
        <v>962</v>
      </c>
      <c r="N29" s="24" t="s">
        <v>0</v>
      </c>
      <c r="O29" s="24" t="s">
        <v>1520</v>
      </c>
      <c r="P29" s="24" t="s">
        <v>848</v>
      </c>
      <c r="Q29" s="24" t="s">
        <v>848</v>
      </c>
      <c r="R29" s="24">
        <v>3</v>
      </c>
      <c r="S29" s="24" t="s">
        <v>1494</v>
      </c>
      <c r="T29" s="24" t="s">
        <v>962</v>
      </c>
      <c r="U29" s="24" t="s">
        <v>856</v>
      </c>
      <c r="V29" s="32" t="s">
        <v>857</v>
      </c>
      <c r="W29" s="14" t="b">
        <v>1</v>
      </c>
      <c r="X29" s="5" t="s">
        <v>409</v>
      </c>
      <c r="Y29" s="28"/>
      <c r="Z29" s="5" t="s">
        <v>858</v>
      </c>
      <c r="AA29" s="5" t="s">
        <v>858</v>
      </c>
      <c r="AB29" s="24" t="s">
        <v>413</v>
      </c>
      <c r="AC29" s="14"/>
      <c r="AD29" s="14"/>
      <c r="AE29" s="14">
        <v>1</v>
      </c>
      <c r="AF29" s="14"/>
      <c r="AG29" s="14"/>
      <c r="AH29" s="14"/>
      <c r="AI29" s="14"/>
      <c r="AJ29" s="14"/>
      <c r="AK29" s="14"/>
      <c r="AL29" s="14"/>
      <c r="AM29" s="14"/>
      <c r="AN29" s="14"/>
      <c r="AO29" s="14"/>
      <c r="AP29" s="14"/>
      <c r="AQ29" s="14"/>
      <c r="AR29" s="14"/>
      <c r="AS29" s="14"/>
      <c r="AT29" s="14"/>
      <c r="AU29" s="14"/>
      <c r="AV29" s="14"/>
      <c r="AW29" s="14"/>
      <c r="AX29" s="14"/>
    </row>
    <row r="30" spans="1:50" ht="15.75" customHeight="1">
      <c r="A30" s="24" t="s">
        <v>34</v>
      </c>
      <c r="B30" s="25" t="str">
        <f t="shared" si="0"/>
        <v>s05_WM_fits06_090nm_2_</v>
      </c>
      <c r="C30" s="24" t="s">
        <v>1524</v>
      </c>
      <c r="D30" s="74" t="str">
        <f t="shared" si="1"/>
        <v>bossdb://lee2022/s05_WM_fits06_090nm_2_/</v>
      </c>
      <c r="E30" s="24" t="s">
        <v>2</v>
      </c>
      <c r="F30" s="5" t="s">
        <v>1013</v>
      </c>
      <c r="G30" s="5" t="s">
        <v>865</v>
      </c>
      <c r="H30" s="24" t="s">
        <v>1491</v>
      </c>
      <c r="I30" s="24" t="s">
        <v>1524</v>
      </c>
      <c r="J30" s="24" t="s">
        <v>1492</v>
      </c>
      <c r="K30" s="24" t="s">
        <v>867</v>
      </c>
      <c r="L30" s="24" t="s">
        <v>853</v>
      </c>
      <c r="M30" s="24" t="s">
        <v>962</v>
      </c>
      <c r="N30" s="24" t="s">
        <v>0</v>
      </c>
      <c r="O30" s="24" t="s">
        <v>1521</v>
      </c>
      <c r="P30" s="24" t="s">
        <v>848</v>
      </c>
      <c r="Q30" s="24" t="s">
        <v>848</v>
      </c>
      <c r="R30" s="24">
        <v>3</v>
      </c>
      <c r="S30" s="24" t="s">
        <v>1494</v>
      </c>
      <c r="T30" s="24" t="s">
        <v>962</v>
      </c>
      <c r="U30" s="24" t="s">
        <v>856</v>
      </c>
      <c r="V30" s="32" t="s">
        <v>857</v>
      </c>
      <c r="W30" s="14" t="b">
        <v>1</v>
      </c>
      <c r="X30" s="5" t="s">
        <v>409</v>
      </c>
      <c r="Y30" s="28"/>
      <c r="Z30" s="5" t="s">
        <v>858</v>
      </c>
      <c r="AA30" s="5" t="s">
        <v>858</v>
      </c>
      <c r="AB30" s="24" t="s">
        <v>413</v>
      </c>
      <c r="AC30" s="14"/>
      <c r="AD30" s="14"/>
      <c r="AE30" s="14">
        <v>1</v>
      </c>
      <c r="AF30" s="14"/>
      <c r="AG30" s="14"/>
      <c r="AH30" s="14"/>
      <c r="AI30" s="14"/>
      <c r="AJ30" s="14"/>
      <c r="AK30" s="14"/>
      <c r="AL30" s="14"/>
      <c r="AM30" s="14"/>
      <c r="AN30" s="14"/>
      <c r="AO30" s="14"/>
      <c r="AP30" s="14"/>
      <c r="AQ30" s="14"/>
      <c r="AR30" s="14"/>
      <c r="AS30" s="14"/>
      <c r="AT30" s="14"/>
      <c r="AU30" s="14"/>
      <c r="AV30" s="14"/>
      <c r="AW30" s="14"/>
      <c r="AX30" s="14"/>
    </row>
    <row r="31" spans="1:50" ht="15.75" customHeight="1">
      <c r="A31" s="24" t="s">
        <v>35</v>
      </c>
      <c r="B31" s="25" t="str">
        <f t="shared" si="0"/>
        <v>s18_WM_090nm_good_2_</v>
      </c>
      <c r="C31" s="24" t="s">
        <v>1525</v>
      </c>
      <c r="D31" s="74" t="str">
        <f t="shared" si="1"/>
        <v>bossdb://lee2022/s18_WM_090nm_good_2_/</v>
      </c>
      <c r="E31" s="24" t="s">
        <v>2</v>
      </c>
      <c r="F31" s="5" t="s">
        <v>1013</v>
      </c>
      <c r="G31" s="5" t="s">
        <v>865</v>
      </c>
      <c r="H31" s="24" t="s">
        <v>1491</v>
      </c>
      <c r="I31" s="24" t="s">
        <v>1525</v>
      </c>
      <c r="J31" s="24" t="s">
        <v>1492</v>
      </c>
      <c r="K31" s="24" t="s">
        <v>867</v>
      </c>
      <c r="L31" s="24" t="s">
        <v>853</v>
      </c>
      <c r="M31" s="24" t="s">
        <v>962</v>
      </c>
      <c r="N31" s="24" t="s">
        <v>0</v>
      </c>
      <c r="O31" s="24" t="s">
        <v>1522</v>
      </c>
      <c r="P31" s="24" t="s">
        <v>848</v>
      </c>
      <c r="Q31" s="24" t="s">
        <v>848</v>
      </c>
      <c r="R31" s="24">
        <v>3</v>
      </c>
      <c r="S31" s="24" t="s">
        <v>1494</v>
      </c>
      <c r="T31" s="24" t="s">
        <v>962</v>
      </c>
      <c r="U31" s="24" t="s">
        <v>856</v>
      </c>
      <c r="V31" s="32" t="s">
        <v>857</v>
      </c>
      <c r="W31" s="14" t="b">
        <v>1</v>
      </c>
      <c r="X31" s="5" t="s">
        <v>409</v>
      </c>
      <c r="Y31" s="28"/>
      <c r="Z31" s="5" t="s">
        <v>858</v>
      </c>
      <c r="AA31" s="5" t="s">
        <v>858</v>
      </c>
      <c r="AB31" s="24" t="s">
        <v>413</v>
      </c>
      <c r="AC31" s="14"/>
      <c r="AD31" s="14"/>
      <c r="AE31" s="14">
        <v>1</v>
      </c>
      <c r="AF31" s="14"/>
      <c r="AG31" s="14"/>
      <c r="AH31" s="14"/>
      <c r="AI31" s="14"/>
      <c r="AJ31" s="14"/>
      <c r="AK31" s="14"/>
      <c r="AL31" s="14"/>
      <c r="AM31" s="14"/>
      <c r="AN31" s="14"/>
      <c r="AO31" s="14"/>
      <c r="AP31" s="14"/>
      <c r="AQ31" s="14"/>
      <c r="AR31" s="14"/>
      <c r="AS31" s="14"/>
      <c r="AT31" s="14"/>
      <c r="AU31" s="14"/>
      <c r="AV31" s="14"/>
      <c r="AW31" s="14"/>
      <c r="AX31" s="14"/>
    </row>
    <row r="32" spans="1:50" ht="15.75" customHeight="1">
      <c r="A32" s="24" t="s">
        <v>36</v>
      </c>
      <c r="B32" s="25" t="str">
        <f t="shared" si="0"/>
        <v>s05_WM_fits06_090nm_3_</v>
      </c>
      <c r="C32" s="24" t="s">
        <v>1526</v>
      </c>
      <c r="D32" s="74" t="str">
        <f t="shared" si="1"/>
        <v>bossdb://lee2022/s05_WM_fits06_090nm_3_/</v>
      </c>
      <c r="E32" s="24" t="s">
        <v>2</v>
      </c>
      <c r="F32" s="5" t="s">
        <v>1013</v>
      </c>
      <c r="G32" s="5" t="s">
        <v>865</v>
      </c>
      <c r="H32" s="24" t="s">
        <v>1491</v>
      </c>
      <c r="I32" s="24" t="s">
        <v>1526</v>
      </c>
      <c r="J32" s="24" t="s">
        <v>1492</v>
      </c>
      <c r="K32" s="24" t="s">
        <v>867</v>
      </c>
      <c r="L32" s="24" t="s">
        <v>853</v>
      </c>
      <c r="M32" s="24" t="s">
        <v>962</v>
      </c>
      <c r="N32" s="24" t="s">
        <v>0</v>
      </c>
      <c r="O32" s="24" t="s">
        <v>1523</v>
      </c>
      <c r="P32" s="24" t="s">
        <v>848</v>
      </c>
      <c r="Q32" s="24" t="s">
        <v>848</v>
      </c>
      <c r="R32" s="24">
        <v>3</v>
      </c>
      <c r="S32" s="24" t="s">
        <v>1494</v>
      </c>
      <c r="T32" s="24" t="s">
        <v>962</v>
      </c>
      <c r="U32" s="24" t="s">
        <v>856</v>
      </c>
      <c r="V32" s="32" t="s">
        <v>857</v>
      </c>
      <c r="W32" s="14" t="b">
        <v>1</v>
      </c>
      <c r="X32" s="5" t="s">
        <v>409</v>
      </c>
      <c r="Y32" s="28"/>
      <c r="Z32" s="5" t="s">
        <v>858</v>
      </c>
      <c r="AA32" s="5" t="s">
        <v>858</v>
      </c>
      <c r="AB32" s="24" t="s">
        <v>413</v>
      </c>
      <c r="AC32" s="14"/>
      <c r="AD32" s="14"/>
      <c r="AE32" s="14">
        <v>1</v>
      </c>
      <c r="AF32" s="14"/>
      <c r="AG32" s="14"/>
      <c r="AH32" s="14"/>
      <c r="AI32" s="14"/>
      <c r="AJ32" s="14"/>
      <c r="AK32" s="14"/>
      <c r="AL32" s="14"/>
      <c r="AM32" s="14"/>
      <c r="AN32" s="14"/>
      <c r="AO32" s="14"/>
      <c r="AP32" s="14"/>
      <c r="AQ32" s="14"/>
      <c r="AR32" s="14"/>
      <c r="AS32" s="14"/>
      <c r="AT32" s="14"/>
      <c r="AU32" s="14"/>
      <c r="AV32" s="14"/>
      <c r="AW32" s="14"/>
      <c r="AX32" s="14"/>
    </row>
    <row r="33" spans="1:50" ht="15.75" customHeight="1">
      <c r="A33" s="24" t="s">
        <v>37</v>
      </c>
      <c r="B33" s="25" t="str">
        <f t="shared" si="0"/>
        <v>s18_WM_090nm_good_3_</v>
      </c>
      <c r="C33" s="24" t="s">
        <v>1527</v>
      </c>
      <c r="D33" s="74" t="str">
        <f t="shared" si="1"/>
        <v>bossdb://lee2022/s18_WM_090nm_good_3_/</v>
      </c>
      <c r="E33" s="24" t="s">
        <v>2</v>
      </c>
      <c r="F33" s="5" t="s">
        <v>1013</v>
      </c>
      <c r="G33" s="5" t="s">
        <v>865</v>
      </c>
      <c r="H33" s="24" t="s">
        <v>1491</v>
      </c>
      <c r="I33" s="24" t="s">
        <v>1527</v>
      </c>
      <c r="J33" s="24" t="s">
        <v>1492</v>
      </c>
      <c r="K33" s="24" t="s">
        <v>867</v>
      </c>
      <c r="L33" s="24" t="s">
        <v>853</v>
      </c>
      <c r="M33" s="24" t="s">
        <v>962</v>
      </c>
      <c r="N33" s="24" t="s">
        <v>0</v>
      </c>
      <c r="O33" s="24" t="s">
        <v>1524</v>
      </c>
      <c r="P33" s="24" t="s">
        <v>848</v>
      </c>
      <c r="Q33" s="24" t="s">
        <v>848</v>
      </c>
      <c r="R33" s="24">
        <v>3</v>
      </c>
      <c r="S33" s="24" t="s">
        <v>1494</v>
      </c>
      <c r="T33" s="24" t="s">
        <v>962</v>
      </c>
      <c r="U33" s="24" t="s">
        <v>856</v>
      </c>
      <c r="V33" s="32" t="s">
        <v>857</v>
      </c>
      <c r="W33" s="14" t="b">
        <v>1</v>
      </c>
      <c r="X33" s="5" t="s">
        <v>409</v>
      </c>
      <c r="Y33" s="28"/>
      <c r="Z33" s="5" t="s">
        <v>858</v>
      </c>
      <c r="AA33" s="5" t="s">
        <v>858</v>
      </c>
      <c r="AB33" s="24" t="s">
        <v>413</v>
      </c>
      <c r="AC33" s="14"/>
      <c r="AD33" s="14"/>
      <c r="AE33" s="14">
        <v>1</v>
      </c>
      <c r="AF33" s="14"/>
      <c r="AG33" s="14"/>
      <c r="AH33" s="14"/>
      <c r="AI33" s="14"/>
      <c r="AJ33" s="14"/>
      <c r="AK33" s="14"/>
      <c r="AL33" s="14"/>
      <c r="AM33" s="14"/>
      <c r="AN33" s="14"/>
      <c r="AO33" s="14"/>
      <c r="AP33" s="14"/>
      <c r="AQ33" s="14"/>
      <c r="AR33" s="14"/>
      <c r="AS33" s="14"/>
      <c r="AT33" s="14"/>
      <c r="AU33" s="14"/>
      <c r="AV33" s="14"/>
      <c r="AW33" s="14"/>
      <c r="AX33" s="14"/>
    </row>
    <row r="34" spans="1:50" ht="15.75" customHeight="1">
      <c r="A34" s="24" t="s">
        <v>38</v>
      </c>
      <c r="B34" s="25" t="str">
        <f t="shared" si="0"/>
        <v>s05_WM_fits06_090nm_4_</v>
      </c>
      <c r="C34" s="24" t="s">
        <v>1528</v>
      </c>
      <c r="D34" s="74" t="str">
        <f t="shared" si="1"/>
        <v>bossdb://lee2022/s05_WM_fits06_090nm_4_/</v>
      </c>
      <c r="E34" s="24" t="s">
        <v>2</v>
      </c>
      <c r="F34" s="5" t="s">
        <v>1013</v>
      </c>
      <c r="G34" s="5" t="s">
        <v>865</v>
      </c>
      <c r="H34" s="24" t="s">
        <v>1491</v>
      </c>
      <c r="I34" s="24" t="s">
        <v>1528</v>
      </c>
      <c r="J34" s="24" t="s">
        <v>1492</v>
      </c>
      <c r="K34" s="24" t="s">
        <v>867</v>
      </c>
      <c r="L34" s="24" t="s">
        <v>853</v>
      </c>
      <c r="M34" s="24" t="s">
        <v>962</v>
      </c>
      <c r="N34" s="24" t="s">
        <v>0</v>
      </c>
      <c r="O34" s="24" t="s">
        <v>1525</v>
      </c>
      <c r="P34" s="24" t="s">
        <v>848</v>
      </c>
      <c r="Q34" s="24" t="s">
        <v>848</v>
      </c>
      <c r="R34" s="24">
        <v>3</v>
      </c>
      <c r="S34" s="24" t="s">
        <v>1494</v>
      </c>
      <c r="T34" s="24" t="s">
        <v>962</v>
      </c>
      <c r="U34" s="24" t="s">
        <v>856</v>
      </c>
      <c r="V34" s="32" t="s">
        <v>857</v>
      </c>
      <c r="W34" s="14" t="b">
        <v>1</v>
      </c>
      <c r="X34" s="5" t="s">
        <v>409</v>
      </c>
      <c r="Y34" s="28"/>
      <c r="Z34" s="5" t="s">
        <v>858</v>
      </c>
      <c r="AA34" s="5" t="s">
        <v>858</v>
      </c>
      <c r="AB34" s="24" t="s">
        <v>413</v>
      </c>
      <c r="AC34" s="14"/>
      <c r="AD34" s="14"/>
      <c r="AE34" s="14">
        <v>1</v>
      </c>
      <c r="AF34" s="14"/>
      <c r="AG34" s="14"/>
      <c r="AH34" s="14"/>
      <c r="AI34" s="14"/>
      <c r="AJ34" s="14"/>
      <c r="AK34" s="14"/>
      <c r="AL34" s="14"/>
      <c r="AM34" s="14"/>
      <c r="AN34" s="14"/>
      <c r="AO34" s="14"/>
      <c r="AP34" s="14"/>
      <c r="AQ34" s="14"/>
      <c r="AR34" s="14"/>
      <c r="AS34" s="14"/>
      <c r="AT34" s="14"/>
      <c r="AU34" s="14"/>
      <c r="AV34" s="14"/>
      <c r="AW34" s="14"/>
      <c r="AX34" s="14"/>
    </row>
    <row r="35" spans="1:50" ht="15.75" customHeight="1">
      <c r="A35" s="24" t="s">
        <v>39</v>
      </c>
      <c r="B35" s="25" t="str">
        <f t="shared" si="0"/>
        <v>s18_WM_090nm_good_4_</v>
      </c>
      <c r="C35" s="24" t="s">
        <v>1529</v>
      </c>
      <c r="D35" s="74" t="str">
        <f t="shared" si="1"/>
        <v>bossdb://lee2022/s18_WM_090nm_good_4_/</v>
      </c>
      <c r="E35" s="24" t="s">
        <v>2</v>
      </c>
      <c r="F35" s="5" t="s">
        <v>1013</v>
      </c>
      <c r="G35" s="5" t="s">
        <v>865</v>
      </c>
      <c r="H35" s="24" t="s">
        <v>1491</v>
      </c>
      <c r="I35" s="24" t="s">
        <v>1529</v>
      </c>
      <c r="J35" s="24" t="s">
        <v>1492</v>
      </c>
      <c r="K35" s="24" t="s">
        <v>867</v>
      </c>
      <c r="L35" s="24" t="s">
        <v>853</v>
      </c>
      <c r="M35" s="24" t="s">
        <v>962</v>
      </c>
      <c r="N35" s="24" t="s">
        <v>0</v>
      </c>
      <c r="O35" s="24" t="s">
        <v>1526</v>
      </c>
      <c r="P35" s="24" t="s">
        <v>848</v>
      </c>
      <c r="Q35" s="24" t="s">
        <v>848</v>
      </c>
      <c r="R35" s="24">
        <v>3</v>
      </c>
      <c r="S35" s="24" t="s">
        <v>1494</v>
      </c>
      <c r="T35" s="24" t="s">
        <v>962</v>
      </c>
      <c r="U35" s="24" t="s">
        <v>856</v>
      </c>
      <c r="V35" s="32" t="s">
        <v>857</v>
      </c>
      <c r="W35" s="14" t="b">
        <v>1</v>
      </c>
      <c r="X35" s="5" t="s">
        <v>409</v>
      </c>
      <c r="Y35" s="28"/>
      <c r="Z35" s="5" t="s">
        <v>858</v>
      </c>
      <c r="AA35" s="5" t="s">
        <v>858</v>
      </c>
      <c r="AB35" s="24" t="s">
        <v>413</v>
      </c>
      <c r="AC35" s="14"/>
      <c r="AD35" s="14"/>
      <c r="AE35" s="14">
        <v>1</v>
      </c>
      <c r="AF35" s="14"/>
      <c r="AG35" s="14"/>
      <c r="AH35" s="14"/>
      <c r="AI35" s="14"/>
      <c r="AJ35" s="14"/>
      <c r="AK35" s="14"/>
      <c r="AL35" s="14"/>
      <c r="AM35" s="14"/>
      <c r="AN35" s="14"/>
      <c r="AO35" s="14"/>
      <c r="AP35" s="14"/>
      <c r="AQ35" s="14"/>
      <c r="AR35" s="14"/>
      <c r="AS35" s="14"/>
      <c r="AT35" s="14"/>
      <c r="AU35" s="14"/>
      <c r="AV35" s="14"/>
      <c r="AW35" s="14"/>
      <c r="AX35" s="14"/>
    </row>
    <row r="36" spans="1:50" ht="15.75" customHeight="1">
      <c r="A36" s="24" t="s">
        <v>40</v>
      </c>
      <c r="B36" s="25" t="str">
        <f t="shared" si="0"/>
        <v>s05_l12_fits06_090nm_</v>
      </c>
      <c r="C36" s="24" t="s">
        <v>1530</v>
      </c>
      <c r="D36" s="74" t="str">
        <f t="shared" si="1"/>
        <v>bossdb://lee2022/s05_l12_fits06_090nm_/</v>
      </c>
      <c r="E36" s="24" t="s">
        <v>2</v>
      </c>
      <c r="F36" s="5" t="s">
        <v>1013</v>
      </c>
      <c r="G36" s="5" t="s">
        <v>865</v>
      </c>
      <c r="H36" s="24" t="s">
        <v>1491</v>
      </c>
      <c r="I36" s="24" t="s">
        <v>1530</v>
      </c>
      <c r="J36" s="24" t="s">
        <v>1492</v>
      </c>
      <c r="K36" s="24" t="s">
        <v>867</v>
      </c>
      <c r="L36" s="24" t="s">
        <v>853</v>
      </c>
      <c r="M36" s="24" t="s">
        <v>962</v>
      </c>
      <c r="N36" s="24" t="s">
        <v>0</v>
      </c>
      <c r="O36" s="24" t="s">
        <v>1527</v>
      </c>
      <c r="P36" s="24" t="s">
        <v>848</v>
      </c>
      <c r="Q36" s="24" t="s">
        <v>848</v>
      </c>
      <c r="R36" s="24">
        <v>3</v>
      </c>
      <c r="S36" s="24" t="s">
        <v>1494</v>
      </c>
      <c r="T36" s="24" t="s">
        <v>962</v>
      </c>
      <c r="U36" s="24" t="s">
        <v>856</v>
      </c>
      <c r="V36" s="32" t="s">
        <v>857</v>
      </c>
      <c r="W36" s="14" t="b">
        <v>1</v>
      </c>
      <c r="X36" s="5" t="s">
        <v>409</v>
      </c>
      <c r="Y36" s="28"/>
      <c r="Z36" s="5" t="s">
        <v>858</v>
      </c>
      <c r="AA36" s="5" t="s">
        <v>858</v>
      </c>
      <c r="AB36" s="24" t="s">
        <v>413</v>
      </c>
      <c r="AC36" s="14"/>
      <c r="AD36" s="14"/>
      <c r="AE36" s="14">
        <v>1</v>
      </c>
      <c r="AF36" s="14"/>
      <c r="AG36" s="14"/>
      <c r="AH36" s="14"/>
      <c r="AI36" s="14"/>
      <c r="AJ36" s="14"/>
      <c r="AK36" s="14"/>
      <c r="AL36" s="14"/>
      <c r="AM36" s="14"/>
      <c r="AN36" s="14"/>
      <c r="AO36" s="14"/>
      <c r="AP36" s="14"/>
      <c r="AQ36" s="14"/>
      <c r="AR36" s="14"/>
      <c r="AS36" s="14"/>
      <c r="AT36" s="14"/>
      <c r="AU36" s="14"/>
      <c r="AV36" s="14"/>
      <c r="AW36" s="14"/>
      <c r="AX36" s="14"/>
    </row>
    <row r="37" spans="1:50" ht="15.75" customHeight="1">
      <c r="A37" s="24" t="s">
        <v>41</v>
      </c>
      <c r="B37" s="25" t="str">
        <f t="shared" si="0"/>
        <v>s18_l22md_bin2_020nm_</v>
      </c>
      <c r="C37" s="24" t="s">
        <v>1531</v>
      </c>
      <c r="D37" s="74" t="str">
        <f t="shared" si="1"/>
        <v>bossdb://lee2022/s18_l22md_bin2_020nm_/</v>
      </c>
      <c r="E37" s="24" t="s">
        <v>2</v>
      </c>
      <c r="F37" s="5" t="s">
        <v>1013</v>
      </c>
      <c r="G37" s="5" t="s">
        <v>865</v>
      </c>
      <c r="H37" s="24" t="s">
        <v>1491</v>
      </c>
      <c r="I37" s="24" t="s">
        <v>1531</v>
      </c>
      <c r="J37" s="24" t="s">
        <v>1492</v>
      </c>
      <c r="K37" s="24" t="s">
        <v>867</v>
      </c>
      <c r="L37" s="24" t="s">
        <v>853</v>
      </c>
      <c r="M37" s="24" t="s">
        <v>962</v>
      </c>
      <c r="N37" s="24" t="s">
        <v>0</v>
      </c>
      <c r="O37" s="24" t="s">
        <v>1528</v>
      </c>
      <c r="P37" s="24" t="s">
        <v>848</v>
      </c>
      <c r="Q37" s="24" t="s">
        <v>848</v>
      </c>
      <c r="R37" s="24">
        <v>3</v>
      </c>
      <c r="S37" s="24" t="s">
        <v>1494</v>
      </c>
      <c r="T37" s="24" t="s">
        <v>962</v>
      </c>
      <c r="U37" s="24" t="s">
        <v>856</v>
      </c>
      <c r="V37" s="32" t="s">
        <v>857</v>
      </c>
      <c r="W37" s="14" t="b">
        <v>1</v>
      </c>
      <c r="X37" s="5" t="s">
        <v>409</v>
      </c>
      <c r="Y37" s="28"/>
      <c r="Z37" s="5" t="s">
        <v>858</v>
      </c>
      <c r="AA37" s="5" t="s">
        <v>858</v>
      </c>
      <c r="AB37" s="24" t="s">
        <v>413</v>
      </c>
      <c r="AC37" s="14"/>
      <c r="AD37" s="14"/>
      <c r="AE37" s="14">
        <v>1</v>
      </c>
      <c r="AF37" s="14"/>
      <c r="AG37" s="14"/>
      <c r="AH37" s="14"/>
      <c r="AI37" s="14"/>
      <c r="AJ37" s="14"/>
      <c r="AK37" s="14"/>
      <c r="AL37" s="14"/>
      <c r="AM37" s="14"/>
      <c r="AN37" s="14"/>
      <c r="AO37" s="14"/>
      <c r="AP37" s="14"/>
      <c r="AQ37" s="14"/>
      <c r="AR37" s="14"/>
      <c r="AS37" s="14"/>
      <c r="AT37" s="14"/>
      <c r="AU37" s="14"/>
      <c r="AV37" s="14"/>
      <c r="AW37" s="14"/>
      <c r="AX37" s="14"/>
    </row>
    <row r="38" spans="1:50" ht="15.75" customHeight="1">
      <c r="A38" s="24" t="s">
        <v>42</v>
      </c>
      <c r="B38" s="25" t="str">
        <f t="shared" si="0"/>
        <v>s05_l12_fits06_090nm_1_</v>
      </c>
      <c r="C38" s="24" t="s">
        <v>1532</v>
      </c>
      <c r="D38" s="74" t="str">
        <f t="shared" si="1"/>
        <v>bossdb://lee2022/s05_l12_fits06_090nm_1_/</v>
      </c>
      <c r="E38" s="24" t="s">
        <v>2</v>
      </c>
      <c r="F38" s="5" t="s">
        <v>1013</v>
      </c>
      <c r="G38" s="5" t="s">
        <v>865</v>
      </c>
      <c r="H38" s="24" t="s">
        <v>1491</v>
      </c>
      <c r="I38" s="24" t="s">
        <v>1532</v>
      </c>
      <c r="J38" s="24" t="s">
        <v>1492</v>
      </c>
      <c r="K38" s="24" t="s">
        <v>867</v>
      </c>
      <c r="L38" s="24" t="s">
        <v>853</v>
      </c>
      <c r="M38" s="24" t="s">
        <v>962</v>
      </c>
      <c r="N38" s="24" t="s">
        <v>0</v>
      </c>
      <c r="O38" s="24" t="s">
        <v>1529</v>
      </c>
      <c r="P38" s="24" t="s">
        <v>848</v>
      </c>
      <c r="Q38" s="24" t="s">
        <v>848</v>
      </c>
      <c r="R38" s="24">
        <v>3</v>
      </c>
      <c r="S38" s="24" t="s">
        <v>1494</v>
      </c>
      <c r="T38" s="24" t="s">
        <v>962</v>
      </c>
      <c r="U38" s="24" t="s">
        <v>856</v>
      </c>
      <c r="V38" s="32" t="s">
        <v>857</v>
      </c>
      <c r="W38" s="14" t="b">
        <v>1</v>
      </c>
      <c r="X38" s="5" t="s">
        <v>409</v>
      </c>
      <c r="Y38" s="28"/>
      <c r="Z38" s="5" t="s">
        <v>858</v>
      </c>
      <c r="AA38" s="5" t="s">
        <v>858</v>
      </c>
      <c r="AB38" s="24" t="s">
        <v>413</v>
      </c>
      <c r="AC38" s="14"/>
      <c r="AD38" s="14"/>
      <c r="AE38" s="14">
        <v>1</v>
      </c>
      <c r="AF38" s="14"/>
      <c r="AG38" s="14"/>
      <c r="AH38" s="14"/>
      <c r="AI38" s="14"/>
      <c r="AJ38" s="14"/>
      <c r="AK38" s="14"/>
      <c r="AL38" s="14"/>
      <c r="AM38" s="14"/>
      <c r="AN38" s="14"/>
      <c r="AO38" s="14"/>
      <c r="AP38" s="14"/>
      <c r="AQ38" s="14"/>
      <c r="AR38" s="14"/>
      <c r="AS38" s="14"/>
      <c r="AT38" s="14"/>
      <c r="AU38" s="14"/>
      <c r="AV38" s="14"/>
      <c r="AW38" s="14"/>
      <c r="AX38" s="14"/>
    </row>
    <row r="39" spans="1:50" ht="15.75" customHeight="1">
      <c r="A39" s="24" t="s">
        <v>43</v>
      </c>
      <c r="B39" s="25" t="str">
        <f t="shared" si="0"/>
        <v>s18_l22md_bin2_020nm_1_</v>
      </c>
      <c r="C39" s="24" t="s">
        <v>1533</v>
      </c>
      <c r="D39" s="74" t="str">
        <f t="shared" si="1"/>
        <v>bossdb://lee2022/s18_l22md_bin2_020nm_1_/</v>
      </c>
      <c r="E39" s="24" t="s">
        <v>2</v>
      </c>
      <c r="F39" s="5" t="s">
        <v>1013</v>
      </c>
      <c r="G39" s="5" t="s">
        <v>865</v>
      </c>
      <c r="H39" s="24" t="s">
        <v>1491</v>
      </c>
      <c r="I39" s="24" t="s">
        <v>1533</v>
      </c>
      <c r="J39" s="24" t="s">
        <v>1492</v>
      </c>
      <c r="K39" s="24" t="s">
        <v>867</v>
      </c>
      <c r="L39" s="24" t="s">
        <v>853</v>
      </c>
      <c r="M39" s="24" t="s">
        <v>962</v>
      </c>
      <c r="N39" s="24" t="s">
        <v>0</v>
      </c>
      <c r="O39" s="24" t="s">
        <v>1530</v>
      </c>
      <c r="P39" s="24" t="s">
        <v>848</v>
      </c>
      <c r="Q39" s="24" t="s">
        <v>848</v>
      </c>
      <c r="R39" s="24">
        <v>3</v>
      </c>
      <c r="S39" s="24" t="s">
        <v>1494</v>
      </c>
      <c r="T39" s="24" t="s">
        <v>962</v>
      </c>
      <c r="U39" s="24" t="s">
        <v>856</v>
      </c>
      <c r="V39" s="32" t="s">
        <v>857</v>
      </c>
      <c r="W39" s="14" t="b">
        <v>1</v>
      </c>
      <c r="X39" s="5" t="s">
        <v>409</v>
      </c>
      <c r="Y39" s="28"/>
      <c r="Z39" s="5" t="s">
        <v>858</v>
      </c>
      <c r="AA39" s="5" t="s">
        <v>858</v>
      </c>
      <c r="AB39" s="24" t="s">
        <v>413</v>
      </c>
      <c r="AC39" s="14"/>
      <c r="AD39" s="14"/>
      <c r="AE39" s="14">
        <v>1</v>
      </c>
      <c r="AF39" s="14"/>
      <c r="AG39" s="14"/>
      <c r="AH39" s="14"/>
      <c r="AI39" s="14"/>
      <c r="AJ39" s="14"/>
      <c r="AK39" s="14"/>
      <c r="AL39" s="14"/>
      <c r="AM39" s="14"/>
      <c r="AN39" s="14"/>
      <c r="AO39" s="14"/>
      <c r="AP39" s="14"/>
      <c r="AQ39" s="14"/>
      <c r="AR39" s="14"/>
      <c r="AS39" s="14"/>
      <c r="AT39" s="14"/>
      <c r="AU39" s="14"/>
      <c r="AV39" s="14"/>
      <c r="AW39" s="14"/>
      <c r="AX39" s="14"/>
    </row>
    <row r="40" spans="1:50" ht="15.75" customHeight="1">
      <c r="A40" s="24" t="s">
        <v>44</v>
      </c>
      <c r="B40" s="25" t="str">
        <f t="shared" si="0"/>
        <v>s18_l22md_bin2_020nm_2_</v>
      </c>
      <c r="C40" s="24" t="s">
        <v>1534</v>
      </c>
      <c r="D40" s="74" t="str">
        <f t="shared" si="1"/>
        <v>bossdb://lee2022/s18_l22md_bin2_020nm_2_/</v>
      </c>
      <c r="E40" s="24" t="s">
        <v>2</v>
      </c>
      <c r="F40" s="5" t="s">
        <v>1013</v>
      </c>
      <c r="G40" s="5" t="s">
        <v>865</v>
      </c>
      <c r="H40" s="24" t="s">
        <v>1491</v>
      </c>
      <c r="I40" s="24" t="s">
        <v>1534</v>
      </c>
      <c r="J40" s="24" t="s">
        <v>1492</v>
      </c>
      <c r="K40" s="24" t="s">
        <v>867</v>
      </c>
      <c r="L40" s="24" t="s">
        <v>853</v>
      </c>
      <c r="M40" s="24" t="s">
        <v>962</v>
      </c>
      <c r="N40" s="24" t="s">
        <v>0</v>
      </c>
      <c r="O40" s="24" t="s">
        <v>1531</v>
      </c>
      <c r="P40" s="24" t="s">
        <v>848</v>
      </c>
      <c r="Q40" s="24" t="s">
        <v>848</v>
      </c>
      <c r="R40" s="24">
        <v>3</v>
      </c>
      <c r="S40" s="24" t="s">
        <v>1494</v>
      </c>
      <c r="T40" s="24" t="s">
        <v>962</v>
      </c>
      <c r="U40" s="24" t="s">
        <v>856</v>
      </c>
      <c r="V40" s="32" t="s">
        <v>857</v>
      </c>
      <c r="W40" s="14" t="b">
        <v>1</v>
      </c>
      <c r="X40" s="5" t="s">
        <v>409</v>
      </c>
      <c r="Y40" s="28"/>
      <c r="Z40" s="5" t="s">
        <v>858</v>
      </c>
      <c r="AA40" s="5" t="s">
        <v>858</v>
      </c>
      <c r="AB40" s="24" t="s">
        <v>413</v>
      </c>
      <c r="AC40" s="14"/>
      <c r="AD40" s="14"/>
      <c r="AE40" s="14">
        <v>1</v>
      </c>
      <c r="AF40" s="14"/>
      <c r="AG40" s="14"/>
      <c r="AH40" s="14"/>
      <c r="AI40" s="14"/>
      <c r="AJ40" s="14"/>
      <c r="AK40" s="14"/>
      <c r="AL40" s="14"/>
      <c r="AM40" s="14"/>
      <c r="AN40" s="14"/>
      <c r="AO40" s="14"/>
      <c r="AP40" s="14"/>
      <c r="AQ40" s="14"/>
      <c r="AR40" s="14"/>
      <c r="AS40" s="14"/>
      <c r="AT40" s="14"/>
      <c r="AU40" s="14"/>
      <c r="AV40" s="14"/>
      <c r="AW40" s="14"/>
      <c r="AX40" s="14"/>
    </row>
    <row r="41" spans="1:50" ht="15.75" customHeight="1">
      <c r="A41" s="24" t="s">
        <v>45</v>
      </c>
      <c r="B41" s="25" t="str">
        <f t="shared" si="0"/>
        <v>s05_l12_fits06_090nm_2_</v>
      </c>
      <c r="C41" s="24" t="s">
        <v>1535</v>
      </c>
      <c r="D41" s="74" t="str">
        <f t="shared" si="1"/>
        <v>bossdb://lee2022/s05_l12_fits06_090nm_2_/</v>
      </c>
      <c r="E41" s="24" t="s">
        <v>2</v>
      </c>
      <c r="F41" s="5" t="s">
        <v>1013</v>
      </c>
      <c r="G41" s="5" t="s">
        <v>865</v>
      </c>
      <c r="H41" s="24" t="s">
        <v>1491</v>
      </c>
      <c r="I41" s="24" t="s">
        <v>1535</v>
      </c>
      <c r="J41" s="24" t="s">
        <v>1492</v>
      </c>
      <c r="K41" s="24" t="s">
        <v>867</v>
      </c>
      <c r="L41" s="24" t="s">
        <v>853</v>
      </c>
      <c r="M41" s="24" t="s">
        <v>962</v>
      </c>
      <c r="N41" s="24" t="s">
        <v>0</v>
      </c>
      <c r="O41" s="24" t="s">
        <v>1532</v>
      </c>
      <c r="P41" s="24" t="s">
        <v>848</v>
      </c>
      <c r="Q41" s="24" t="s">
        <v>848</v>
      </c>
      <c r="R41" s="24">
        <v>3</v>
      </c>
      <c r="S41" s="24" t="s">
        <v>1494</v>
      </c>
      <c r="T41" s="24" t="s">
        <v>962</v>
      </c>
      <c r="U41" s="24" t="s">
        <v>856</v>
      </c>
      <c r="V41" s="32" t="s">
        <v>857</v>
      </c>
      <c r="W41" s="14" t="b">
        <v>1</v>
      </c>
      <c r="X41" s="5" t="s">
        <v>409</v>
      </c>
      <c r="Y41" s="28"/>
      <c r="Z41" s="5" t="s">
        <v>858</v>
      </c>
      <c r="AA41" s="5" t="s">
        <v>858</v>
      </c>
      <c r="AB41" s="24" t="s">
        <v>413</v>
      </c>
      <c r="AC41" s="14"/>
      <c r="AD41" s="14"/>
      <c r="AE41" s="14">
        <v>1</v>
      </c>
      <c r="AF41" s="14"/>
      <c r="AG41" s="14"/>
      <c r="AH41" s="14"/>
      <c r="AI41" s="14"/>
      <c r="AJ41" s="14"/>
      <c r="AK41" s="14"/>
      <c r="AL41" s="14"/>
      <c r="AM41" s="14"/>
      <c r="AN41" s="14"/>
      <c r="AO41" s="14"/>
      <c r="AP41" s="14"/>
      <c r="AQ41" s="14"/>
      <c r="AR41" s="14"/>
      <c r="AS41" s="14"/>
      <c r="AT41" s="14"/>
      <c r="AU41" s="14"/>
      <c r="AV41" s="14"/>
      <c r="AW41" s="14"/>
      <c r="AX41" s="14"/>
    </row>
    <row r="42" spans="1:50" ht="15.75" customHeight="1">
      <c r="A42" s="24" t="s">
        <v>46</v>
      </c>
      <c r="B42" s="25" t="str">
        <f t="shared" si="0"/>
        <v>s18_l22md_bin2_020nm_3_</v>
      </c>
      <c r="C42" s="24" t="s">
        <v>1536</v>
      </c>
      <c r="D42" s="74" t="str">
        <f t="shared" si="1"/>
        <v>bossdb://lee2022/s18_l22md_bin2_020nm_3_/</v>
      </c>
      <c r="E42" s="24" t="s">
        <v>2</v>
      </c>
      <c r="F42" s="5" t="s">
        <v>1013</v>
      </c>
      <c r="G42" s="5" t="s">
        <v>865</v>
      </c>
      <c r="H42" s="24" t="s">
        <v>1491</v>
      </c>
      <c r="I42" s="24" t="s">
        <v>1536</v>
      </c>
      <c r="J42" s="24" t="s">
        <v>1492</v>
      </c>
      <c r="K42" s="24" t="s">
        <v>867</v>
      </c>
      <c r="L42" s="24" t="s">
        <v>853</v>
      </c>
      <c r="M42" s="24" t="s">
        <v>962</v>
      </c>
      <c r="N42" s="24" t="s">
        <v>0</v>
      </c>
      <c r="O42" s="24" t="s">
        <v>1533</v>
      </c>
      <c r="P42" s="24" t="s">
        <v>848</v>
      </c>
      <c r="Q42" s="24" t="s">
        <v>848</v>
      </c>
      <c r="R42" s="24">
        <v>3</v>
      </c>
      <c r="S42" s="24" t="s">
        <v>1494</v>
      </c>
      <c r="T42" s="24" t="s">
        <v>962</v>
      </c>
      <c r="U42" s="24" t="s">
        <v>856</v>
      </c>
      <c r="V42" s="32" t="s">
        <v>857</v>
      </c>
      <c r="W42" s="14" t="b">
        <v>1</v>
      </c>
      <c r="X42" s="5" t="s">
        <v>409</v>
      </c>
      <c r="Y42" s="28"/>
      <c r="Z42" s="5" t="s">
        <v>858</v>
      </c>
      <c r="AA42" s="5" t="s">
        <v>858</v>
      </c>
      <c r="AB42" s="24" t="s">
        <v>413</v>
      </c>
      <c r="AC42" s="14"/>
      <c r="AD42" s="14"/>
      <c r="AE42" s="14">
        <v>1</v>
      </c>
      <c r="AF42" s="14"/>
      <c r="AG42" s="14"/>
      <c r="AH42" s="14"/>
      <c r="AI42" s="14"/>
      <c r="AJ42" s="14"/>
      <c r="AK42" s="14"/>
      <c r="AL42" s="14"/>
      <c r="AM42" s="14"/>
      <c r="AN42" s="14"/>
      <c r="AO42" s="14"/>
      <c r="AP42" s="14"/>
      <c r="AQ42" s="14"/>
      <c r="AR42" s="14"/>
      <c r="AS42" s="14"/>
      <c r="AT42" s="14"/>
      <c r="AU42" s="14"/>
      <c r="AV42" s="14"/>
      <c r="AW42" s="14"/>
      <c r="AX42" s="14"/>
    </row>
    <row r="43" spans="1:50" ht="15.75" customHeight="1">
      <c r="A43" s="24" t="s">
        <v>47</v>
      </c>
      <c r="B43" s="25" t="str">
        <f t="shared" si="0"/>
        <v>s05_l12_fits06_090nm_3_</v>
      </c>
      <c r="C43" s="24" t="s">
        <v>1537</v>
      </c>
      <c r="D43" s="74" t="str">
        <f t="shared" si="1"/>
        <v>bossdb://lee2022/s05_l12_fits06_090nm_3_/</v>
      </c>
      <c r="E43" s="24" t="s">
        <v>2</v>
      </c>
      <c r="F43" s="5" t="s">
        <v>1013</v>
      </c>
      <c r="G43" s="5" t="s">
        <v>865</v>
      </c>
      <c r="H43" s="24" t="s">
        <v>1491</v>
      </c>
      <c r="I43" s="24" t="s">
        <v>1537</v>
      </c>
      <c r="J43" s="24" t="s">
        <v>1492</v>
      </c>
      <c r="K43" s="24" t="s">
        <v>867</v>
      </c>
      <c r="L43" s="24" t="s">
        <v>853</v>
      </c>
      <c r="M43" s="24" t="s">
        <v>962</v>
      </c>
      <c r="N43" s="24" t="s">
        <v>0</v>
      </c>
      <c r="O43" s="24" t="s">
        <v>1534</v>
      </c>
      <c r="P43" s="24" t="s">
        <v>848</v>
      </c>
      <c r="Q43" s="24" t="s">
        <v>848</v>
      </c>
      <c r="R43" s="24">
        <v>3</v>
      </c>
      <c r="S43" s="24" t="s">
        <v>1494</v>
      </c>
      <c r="T43" s="24" t="s">
        <v>962</v>
      </c>
      <c r="U43" s="24" t="s">
        <v>856</v>
      </c>
      <c r="V43" s="32" t="s">
        <v>857</v>
      </c>
      <c r="W43" s="14" t="b">
        <v>1</v>
      </c>
      <c r="X43" s="5" t="s">
        <v>409</v>
      </c>
      <c r="Y43" s="28"/>
      <c r="Z43" s="5" t="s">
        <v>858</v>
      </c>
      <c r="AA43" s="5" t="s">
        <v>858</v>
      </c>
      <c r="AB43" s="24" t="s">
        <v>413</v>
      </c>
      <c r="AC43" s="14"/>
      <c r="AD43" s="14"/>
      <c r="AE43" s="14">
        <v>1</v>
      </c>
      <c r="AF43" s="14"/>
      <c r="AG43" s="14"/>
      <c r="AH43" s="14"/>
      <c r="AI43" s="14"/>
      <c r="AJ43" s="14"/>
      <c r="AK43" s="14"/>
      <c r="AL43" s="14"/>
      <c r="AM43" s="14"/>
      <c r="AN43" s="14"/>
      <c r="AO43" s="14"/>
      <c r="AP43" s="14"/>
      <c r="AQ43" s="14"/>
      <c r="AR43" s="14"/>
      <c r="AS43" s="14"/>
      <c r="AT43" s="14"/>
      <c r="AU43" s="14"/>
      <c r="AV43" s="14"/>
      <c r="AW43" s="14"/>
      <c r="AX43" s="14"/>
    </row>
    <row r="44" spans="1:50" ht="15.75" customHeight="1">
      <c r="A44" s="24" t="s">
        <v>48</v>
      </c>
      <c r="B44" s="25" t="str">
        <f t="shared" si="0"/>
        <v>s18_l22md_bin2_020nm_4_</v>
      </c>
      <c r="C44" s="24" t="s">
        <v>1538</v>
      </c>
      <c r="D44" s="74" t="str">
        <f t="shared" si="1"/>
        <v>bossdb://lee2022/s18_l22md_bin2_020nm_4_/</v>
      </c>
      <c r="E44" s="24" t="s">
        <v>2</v>
      </c>
      <c r="F44" s="5" t="s">
        <v>1013</v>
      </c>
      <c r="G44" s="5" t="s">
        <v>865</v>
      </c>
      <c r="H44" s="24" t="s">
        <v>1491</v>
      </c>
      <c r="I44" s="24" t="s">
        <v>1538</v>
      </c>
      <c r="J44" s="24" t="s">
        <v>1492</v>
      </c>
      <c r="K44" s="24" t="s">
        <v>867</v>
      </c>
      <c r="L44" s="24" t="s">
        <v>853</v>
      </c>
      <c r="M44" s="24" t="s">
        <v>962</v>
      </c>
      <c r="N44" s="24" t="s">
        <v>0</v>
      </c>
      <c r="O44" s="24" t="s">
        <v>1535</v>
      </c>
      <c r="P44" s="24" t="s">
        <v>848</v>
      </c>
      <c r="Q44" s="24" t="s">
        <v>848</v>
      </c>
      <c r="R44" s="24">
        <v>3</v>
      </c>
      <c r="S44" s="24" t="s">
        <v>1494</v>
      </c>
      <c r="T44" s="24" t="s">
        <v>962</v>
      </c>
      <c r="U44" s="24" t="s">
        <v>856</v>
      </c>
      <c r="V44" s="32" t="s">
        <v>857</v>
      </c>
      <c r="W44" s="14" t="b">
        <v>1</v>
      </c>
      <c r="X44" s="5" t="s">
        <v>409</v>
      </c>
      <c r="Y44" s="28"/>
      <c r="Z44" s="5" t="s">
        <v>858</v>
      </c>
      <c r="AA44" s="5" t="s">
        <v>858</v>
      </c>
      <c r="AB44" s="24" t="s">
        <v>413</v>
      </c>
      <c r="AC44" s="14"/>
      <c r="AD44" s="14"/>
      <c r="AE44" s="14">
        <v>1</v>
      </c>
      <c r="AF44" s="14"/>
      <c r="AG44" s="14"/>
      <c r="AH44" s="14"/>
      <c r="AI44" s="14"/>
      <c r="AJ44" s="14"/>
      <c r="AK44" s="14"/>
      <c r="AL44" s="14"/>
      <c r="AM44" s="14"/>
      <c r="AN44" s="14"/>
      <c r="AO44" s="14"/>
      <c r="AP44" s="14"/>
      <c r="AQ44" s="14"/>
      <c r="AR44" s="14"/>
      <c r="AS44" s="14"/>
      <c r="AT44" s="14"/>
      <c r="AU44" s="14"/>
      <c r="AV44" s="14"/>
      <c r="AW44" s="14"/>
      <c r="AX44" s="14"/>
    </row>
    <row r="45" spans="1:50" ht="15.75" customHeight="1">
      <c r="A45" s="24" t="s">
        <v>49</v>
      </c>
      <c r="B45" s="25" t="str">
        <f t="shared" si="0"/>
        <v>s05_l12_fits06_090nm_4_</v>
      </c>
      <c r="C45" s="24" t="s">
        <v>1539</v>
      </c>
      <c r="D45" s="74" t="str">
        <f t="shared" si="1"/>
        <v>bossdb://lee2022/s05_l12_fits06_090nm_4_/</v>
      </c>
      <c r="E45" s="24" t="s">
        <v>2</v>
      </c>
      <c r="F45" s="5" t="s">
        <v>1013</v>
      </c>
      <c r="G45" s="5" t="s">
        <v>865</v>
      </c>
      <c r="H45" s="24" t="s">
        <v>1491</v>
      </c>
      <c r="I45" s="24" t="s">
        <v>1539</v>
      </c>
      <c r="J45" s="24" t="s">
        <v>1492</v>
      </c>
      <c r="K45" s="24" t="s">
        <v>867</v>
      </c>
      <c r="L45" s="24" t="s">
        <v>853</v>
      </c>
      <c r="M45" s="24" t="s">
        <v>962</v>
      </c>
      <c r="N45" s="24" t="s">
        <v>0</v>
      </c>
      <c r="O45" s="24" t="s">
        <v>1536</v>
      </c>
      <c r="P45" s="24" t="s">
        <v>848</v>
      </c>
      <c r="Q45" s="24" t="s">
        <v>848</v>
      </c>
      <c r="R45" s="24">
        <v>3</v>
      </c>
      <c r="S45" s="24" t="s">
        <v>1494</v>
      </c>
      <c r="T45" s="24" t="s">
        <v>962</v>
      </c>
      <c r="U45" s="24" t="s">
        <v>856</v>
      </c>
      <c r="V45" s="32" t="s">
        <v>857</v>
      </c>
      <c r="W45" s="14" t="b">
        <v>1</v>
      </c>
      <c r="X45" s="5" t="s">
        <v>409</v>
      </c>
      <c r="Y45" s="28"/>
      <c r="Z45" s="5" t="s">
        <v>858</v>
      </c>
      <c r="AA45" s="5" t="s">
        <v>858</v>
      </c>
      <c r="AB45" s="24" t="s">
        <v>413</v>
      </c>
      <c r="AC45" s="14"/>
      <c r="AD45" s="14"/>
      <c r="AE45" s="14">
        <v>1</v>
      </c>
      <c r="AF45" s="14"/>
      <c r="AG45" s="14"/>
      <c r="AH45" s="14"/>
      <c r="AI45" s="14"/>
      <c r="AJ45" s="14"/>
      <c r="AK45" s="14"/>
      <c r="AL45" s="14"/>
      <c r="AM45" s="14"/>
      <c r="AN45" s="14"/>
      <c r="AO45" s="14"/>
      <c r="AP45" s="14"/>
      <c r="AQ45" s="14"/>
      <c r="AR45" s="14"/>
      <c r="AS45" s="14"/>
      <c r="AT45" s="14"/>
      <c r="AU45" s="14"/>
      <c r="AV45" s="14"/>
      <c r="AW45" s="14"/>
      <c r="AX45" s="14"/>
    </row>
    <row r="46" spans="1:50" ht="15.75" customHeight="1">
      <c r="A46" s="24" t="s">
        <v>50</v>
      </c>
      <c r="B46" s="25" t="str">
        <f t="shared" si="0"/>
        <v>s18_l2_bin2_020nm_</v>
      </c>
      <c r="C46" s="24" t="s">
        <v>1540</v>
      </c>
      <c r="D46" s="74" t="str">
        <f t="shared" si="1"/>
        <v>bossdb://lee2022/s18_l2_bin2_020nm_/</v>
      </c>
      <c r="E46" s="24" t="s">
        <v>2</v>
      </c>
      <c r="F46" s="5" t="s">
        <v>1013</v>
      </c>
      <c r="G46" s="5" t="s">
        <v>865</v>
      </c>
      <c r="H46" s="24" t="s">
        <v>1491</v>
      </c>
      <c r="I46" s="24" t="s">
        <v>1540</v>
      </c>
      <c r="J46" s="24" t="s">
        <v>1492</v>
      </c>
      <c r="K46" s="24" t="s">
        <v>867</v>
      </c>
      <c r="L46" s="24" t="s">
        <v>853</v>
      </c>
      <c r="M46" s="24" t="s">
        <v>962</v>
      </c>
      <c r="N46" s="24" t="s">
        <v>0</v>
      </c>
      <c r="O46" s="24" t="s">
        <v>1537</v>
      </c>
      <c r="P46" s="24" t="s">
        <v>848</v>
      </c>
      <c r="Q46" s="24" t="s">
        <v>848</v>
      </c>
      <c r="R46" s="24">
        <v>3</v>
      </c>
      <c r="S46" s="24" t="s">
        <v>1494</v>
      </c>
      <c r="T46" s="24" t="s">
        <v>962</v>
      </c>
      <c r="U46" s="24" t="s">
        <v>856</v>
      </c>
      <c r="V46" s="32" t="s">
        <v>857</v>
      </c>
      <c r="W46" s="14" t="b">
        <v>1</v>
      </c>
      <c r="X46" s="5" t="s">
        <v>409</v>
      </c>
      <c r="Y46" s="28"/>
      <c r="Z46" s="5" t="s">
        <v>858</v>
      </c>
      <c r="AA46" s="5" t="s">
        <v>858</v>
      </c>
      <c r="AB46" s="24" t="s">
        <v>413</v>
      </c>
      <c r="AC46" s="14"/>
      <c r="AD46" s="14"/>
      <c r="AE46" s="14">
        <v>1</v>
      </c>
      <c r="AF46" s="14"/>
      <c r="AG46" s="14"/>
      <c r="AH46" s="14"/>
      <c r="AI46" s="14"/>
      <c r="AJ46" s="14"/>
      <c r="AK46" s="14"/>
      <c r="AL46" s="14"/>
      <c r="AM46" s="14"/>
      <c r="AN46" s="14"/>
      <c r="AO46" s="14"/>
      <c r="AP46" s="14"/>
      <c r="AQ46" s="14"/>
      <c r="AR46" s="14"/>
      <c r="AS46" s="14"/>
      <c r="AT46" s="14"/>
      <c r="AU46" s="14"/>
      <c r="AV46" s="14"/>
      <c r="AW46" s="14"/>
      <c r="AX46" s="14"/>
    </row>
    <row r="47" spans="1:50" ht="15.75" customHeight="1">
      <c r="A47" s="24" t="s">
        <v>51</v>
      </c>
      <c r="B47" s="25" t="str">
        <f t="shared" si="0"/>
        <v>s18_l2_bin2_020nm_1_</v>
      </c>
      <c r="C47" s="24" t="s">
        <v>1541</v>
      </c>
      <c r="D47" s="74" t="str">
        <f t="shared" si="1"/>
        <v>bossdb://lee2022/s18_l2_bin2_020nm_1_/</v>
      </c>
      <c r="E47" s="24" t="s">
        <v>2</v>
      </c>
      <c r="F47" s="5" t="s">
        <v>1013</v>
      </c>
      <c r="G47" s="5" t="s">
        <v>865</v>
      </c>
      <c r="H47" s="24" t="s">
        <v>1491</v>
      </c>
      <c r="I47" s="24" t="s">
        <v>1541</v>
      </c>
      <c r="J47" s="24" t="s">
        <v>1492</v>
      </c>
      <c r="K47" s="24" t="s">
        <v>867</v>
      </c>
      <c r="L47" s="24" t="s">
        <v>853</v>
      </c>
      <c r="M47" s="24" t="s">
        <v>962</v>
      </c>
      <c r="N47" s="24" t="s">
        <v>0</v>
      </c>
      <c r="O47" s="24" t="s">
        <v>1538</v>
      </c>
      <c r="P47" s="24" t="s">
        <v>848</v>
      </c>
      <c r="Q47" s="24" t="s">
        <v>848</v>
      </c>
      <c r="R47" s="24">
        <v>3</v>
      </c>
      <c r="S47" s="24" t="s">
        <v>1494</v>
      </c>
      <c r="T47" s="24" t="s">
        <v>962</v>
      </c>
      <c r="U47" s="24" t="s">
        <v>856</v>
      </c>
      <c r="V47" s="32" t="s">
        <v>857</v>
      </c>
      <c r="W47" s="14" t="b">
        <v>1</v>
      </c>
      <c r="X47" s="5" t="s">
        <v>409</v>
      </c>
      <c r="Y47" s="28"/>
      <c r="Z47" s="5" t="s">
        <v>858</v>
      </c>
      <c r="AA47" s="5" t="s">
        <v>858</v>
      </c>
      <c r="AB47" s="24" t="s">
        <v>413</v>
      </c>
      <c r="AC47" s="14"/>
      <c r="AD47" s="14"/>
      <c r="AE47" s="14">
        <v>1</v>
      </c>
      <c r="AF47" s="14"/>
      <c r="AG47" s="14"/>
      <c r="AH47" s="14"/>
      <c r="AI47" s="14"/>
      <c r="AJ47" s="14"/>
      <c r="AK47" s="14"/>
      <c r="AL47" s="14"/>
      <c r="AM47" s="14"/>
      <c r="AN47" s="14"/>
      <c r="AO47" s="14"/>
      <c r="AP47" s="14"/>
      <c r="AQ47" s="14"/>
      <c r="AR47" s="14"/>
      <c r="AS47" s="14"/>
      <c r="AT47" s="14"/>
      <c r="AU47" s="14"/>
      <c r="AV47" s="14"/>
      <c r="AW47" s="14"/>
      <c r="AX47" s="14"/>
    </row>
    <row r="48" spans="1:50" ht="15.75" customHeight="1">
      <c r="A48" s="24" t="s">
        <v>52</v>
      </c>
      <c r="B48" s="25" t="str">
        <f t="shared" si="0"/>
        <v>s18_l2_bin2_020nm_2_</v>
      </c>
      <c r="C48" s="24" t="s">
        <v>1542</v>
      </c>
      <c r="D48" s="74" t="str">
        <f t="shared" si="1"/>
        <v>bossdb://lee2022/s18_l2_bin2_020nm_2_/</v>
      </c>
      <c r="E48" s="24" t="s">
        <v>2</v>
      </c>
      <c r="F48" s="5" t="s">
        <v>1013</v>
      </c>
      <c r="G48" s="5" t="s">
        <v>865</v>
      </c>
      <c r="H48" s="24" t="s">
        <v>1491</v>
      </c>
      <c r="I48" s="24" t="s">
        <v>1542</v>
      </c>
      <c r="J48" s="24" t="s">
        <v>1492</v>
      </c>
      <c r="K48" s="24" t="s">
        <v>867</v>
      </c>
      <c r="L48" s="24" t="s">
        <v>853</v>
      </c>
      <c r="M48" s="24" t="s">
        <v>962</v>
      </c>
      <c r="N48" s="24" t="s">
        <v>0</v>
      </c>
      <c r="O48" s="24" t="s">
        <v>1539</v>
      </c>
      <c r="P48" s="24" t="s">
        <v>848</v>
      </c>
      <c r="Q48" s="24" t="s">
        <v>848</v>
      </c>
      <c r="R48" s="24">
        <v>3</v>
      </c>
      <c r="S48" s="24" t="s">
        <v>1494</v>
      </c>
      <c r="T48" s="24" t="s">
        <v>962</v>
      </c>
      <c r="U48" s="24" t="s">
        <v>856</v>
      </c>
      <c r="V48" s="32" t="s">
        <v>857</v>
      </c>
      <c r="W48" s="14" t="b">
        <v>1</v>
      </c>
      <c r="X48" s="5" t="s">
        <v>409</v>
      </c>
      <c r="Y48" s="28"/>
      <c r="Z48" s="5" t="s">
        <v>858</v>
      </c>
      <c r="AA48" s="5" t="s">
        <v>858</v>
      </c>
      <c r="AB48" s="24" t="s">
        <v>413</v>
      </c>
      <c r="AC48" s="14"/>
      <c r="AD48" s="14"/>
      <c r="AE48" s="14">
        <v>1</v>
      </c>
      <c r="AF48" s="14"/>
      <c r="AG48" s="14"/>
      <c r="AH48" s="14"/>
      <c r="AI48" s="14"/>
      <c r="AJ48" s="14"/>
      <c r="AK48" s="14"/>
      <c r="AL48" s="14"/>
      <c r="AM48" s="14"/>
      <c r="AN48" s="14"/>
      <c r="AO48" s="14"/>
      <c r="AP48" s="14"/>
      <c r="AQ48" s="14"/>
      <c r="AR48" s="14"/>
      <c r="AS48" s="14"/>
      <c r="AT48" s="14"/>
      <c r="AU48" s="14"/>
      <c r="AV48" s="14"/>
      <c r="AW48" s="14"/>
      <c r="AX48" s="14"/>
    </row>
    <row r="49" spans="1:50" ht="15.75" customHeight="1">
      <c r="A49" s="24" t="s">
        <v>53</v>
      </c>
      <c r="B49" s="25" t="str">
        <f t="shared" si="0"/>
        <v>s05_l12m200um_fit06_110nm_</v>
      </c>
      <c r="C49" s="24" t="s">
        <v>1543</v>
      </c>
      <c r="D49" s="74" t="str">
        <f t="shared" si="1"/>
        <v>bossdb://lee2022/s05_l12m200um_fit06_110nm_/</v>
      </c>
      <c r="E49" s="24" t="s">
        <v>2</v>
      </c>
      <c r="F49" s="5" t="s">
        <v>1013</v>
      </c>
      <c r="G49" s="5" t="s">
        <v>865</v>
      </c>
      <c r="H49" s="24" t="s">
        <v>1491</v>
      </c>
      <c r="I49" s="24" t="s">
        <v>1543</v>
      </c>
      <c r="J49" s="24" t="s">
        <v>1492</v>
      </c>
      <c r="K49" s="24" t="s">
        <v>867</v>
      </c>
      <c r="L49" s="24" t="s">
        <v>853</v>
      </c>
      <c r="M49" s="24" t="s">
        <v>962</v>
      </c>
      <c r="N49" s="24" t="s">
        <v>0</v>
      </c>
      <c r="O49" s="24" t="s">
        <v>1540</v>
      </c>
      <c r="P49" s="24" t="s">
        <v>848</v>
      </c>
      <c r="Q49" s="24" t="s">
        <v>848</v>
      </c>
      <c r="R49" s="24">
        <v>3</v>
      </c>
      <c r="S49" s="24" t="s">
        <v>1494</v>
      </c>
      <c r="T49" s="24" t="s">
        <v>962</v>
      </c>
      <c r="U49" s="24" t="s">
        <v>856</v>
      </c>
      <c r="V49" s="32" t="s">
        <v>857</v>
      </c>
      <c r="W49" s="14" t="b">
        <v>1</v>
      </c>
      <c r="X49" s="5" t="s">
        <v>409</v>
      </c>
      <c r="Y49" s="28"/>
      <c r="Z49" s="5" t="s">
        <v>858</v>
      </c>
      <c r="AA49" s="5" t="s">
        <v>858</v>
      </c>
      <c r="AB49" s="24" t="s">
        <v>413</v>
      </c>
      <c r="AC49" s="14"/>
      <c r="AD49" s="14"/>
      <c r="AE49" s="14">
        <v>1</v>
      </c>
      <c r="AF49" s="14"/>
      <c r="AG49" s="14"/>
      <c r="AH49" s="14"/>
      <c r="AI49" s="14"/>
      <c r="AJ49" s="14"/>
      <c r="AK49" s="14"/>
      <c r="AL49" s="14"/>
      <c r="AM49" s="14"/>
      <c r="AN49" s="14"/>
      <c r="AO49" s="14"/>
      <c r="AP49" s="14"/>
      <c r="AQ49" s="14"/>
      <c r="AR49" s="14"/>
      <c r="AS49" s="14"/>
      <c r="AT49" s="14"/>
      <c r="AU49" s="14"/>
      <c r="AV49" s="14"/>
      <c r="AW49" s="14"/>
      <c r="AX49" s="14"/>
    </row>
    <row r="50" spans="1:50" ht="15.75" customHeight="1">
      <c r="A50" s="24" t="s">
        <v>54</v>
      </c>
      <c r="B50" s="25" t="str">
        <f t="shared" si="0"/>
        <v>s05_l12m200um_fit06_110nm_1_</v>
      </c>
      <c r="C50" s="24" t="s">
        <v>1544</v>
      </c>
      <c r="D50" s="74" t="str">
        <f t="shared" si="1"/>
        <v>bossdb://lee2022/s05_l12m200um_fit06_110nm_1_/</v>
      </c>
      <c r="E50" s="24" t="s">
        <v>2</v>
      </c>
      <c r="F50" s="5" t="s">
        <v>1013</v>
      </c>
      <c r="G50" s="5" t="s">
        <v>865</v>
      </c>
      <c r="H50" s="24" t="s">
        <v>1491</v>
      </c>
      <c r="I50" s="24" t="s">
        <v>1544</v>
      </c>
      <c r="J50" s="24" t="s">
        <v>1492</v>
      </c>
      <c r="K50" s="24" t="s">
        <v>867</v>
      </c>
      <c r="L50" s="24" t="s">
        <v>853</v>
      </c>
      <c r="M50" s="24" t="s">
        <v>962</v>
      </c>
      <c r="N50" s="24" t="s">
        <v>0</v>
      </c>
      <c r="O50" s="24" t="s">
        <v>1541</v>
      </c>
      <c r="P50" s="24" t="s">
        <v>848</v>
      </c>
      <c r="Q50" s="24" t="s">
        <v>848</v>
      </c>
      <c r="R50" s="24">
        <v>3</v>
      </c>
      <c r="S50" s="24" t="s">
        <v>1494</v>
      </c>
      <c r="T50" s="24" t="s">
        <v>962</v>
      </c>
      <c r="U50" s="24" t="s">
        <v>856</v>
      </c>
      <c r="V50" s="32" t="s">
        <v>857</v>
      </c>
      <c r="W50" s="14" t="b">
        <v>1</v>
      </c>
      <c r="X50" s="5" t="s">
        <v>409</v>
      </c>
      <c r="Y50" s="28"/>
      <c r="Z50" s="5" t="s">
        <v>858</v>
      </c>
      <c r="AA50" s="5" t="s">
        <v>858</v>
      </c>
      <c r="AB50" s="24" t="s">
        <v>413</v>
      </c>
      <c r="AC50" s="14"/>
      <c r="AD50" s="14"/>
      <c r="AE50" s="14">
        <v>1</v>
      </c>
      <c r="AF50" s="14"/>
      <c r="AG50" s="14"/>
      <c r="AH50" s="14"/>
      <c r="AI50" s="14"/>
      <c r="AJ50" s="14"/>
      <c r="AK50" s="14"/>
      <c r="AL50" s="14"/>
      <c r="AM50" s="14"/>
      <c r="AN50" s="14"/>
      <c r="AO50" s="14"/>
      <c r="AP50" s="14"/>
      <c r="AQ50" s="14"/>
      <c r="AR50" s="14"/>
      <c r="AS50" s="14"/>
      <c r="AT50" s="14"/>
      <c r="AU50" s="14"/>
      <c r="AV50" s="14"/>
      <c r="AW50" s="14"/>
      <c r="AX50" s="14"/>
    </row>
    <row r="51" spans="1:50" ht="15.75" customHeight="1">
      <c r="A51" s="24" t="s">
        <v>55</v>
      </c>
      <c r="B51" s="25" t="str">
        <f t="shared" si="0"/>
        <v>s18_l2_bin2_020nm_3_</v>
      </c>
      <c r="C51" s="24" t="s">
        <v>1545</v>
      </c>
      <c r="D51" s="74" t="str">
        <f t="shared" si="1"/>
        <v>bossdb://lee2022/s18_l2_bin2_020nm_3_/</v>
      </c>
      <c r="E51" s="24" t="s">
        <v>2</v>
      </c>
      <c r="F51" s="5" t="s">
        <v>1013</v>
      </c>
      <c r="G51" s="5" t="s">
        <v>865</v>
      </c>
      <c r="H51" s="24" t="s">
        <v>1491</v>
      </c>
      <c r="I51" s="24" t="s">
        <v>1545</v>
      </c>
      <c r="J51" s="24" t="s">
        <v>1492</v>
      </c>
      <c r="K51" s="24" t="s">
        <v>867</v>
      </c>
      <c r="L51" s="24" t="s">
        <v>853</v>
      </c>
      <c r="M51" s="24" t="s">
        <v>962</v>
      </c>
      <c r="N51" s="24" t="s">
        <v>0</v>
      </c>
      <c r="O51" s="24" t="s">
        <v>1542</v>
      </c>
      <c r="P51" s="24" t="s">
        <v>848</v>
      </c>
      <c r="Q51" s="24" t="s">
        <v>848</v>
      </c>
      <c r="R51" s="24">
        <v>3</v>
      </c>
      <c r="S51" s="24" t="s">
        <v>1494</v>
      </c>
      <c r="T51" s="24" t="s">
        <v>962</v>
      </c>
      <c r="U51" s="24" t="s">
        <v>856</v>
      </c>
      <c r="V51" s="32" t="s">
        <v>857</v>
      </c>
      <c r="W51" s="14" t="b">
        <v>1</v>
      </c>
      <c r="X51" s="5" t="s">
        <v>409</v>
      </c>
      <c r="Y51" s="28"/>
      <c r="Z51" s="5" t="s">
        <v>858</v>
      </c>
      <c r="AA51" s="5" t="s">
        <v>858</v>
      </c>
      <c r="AB51" s="24" t="s">
        <v>413</v>
      </c>
      <c r="AC51" s="14"/>
      <c r="AD51" s="14"/>
      <c r="AE51" s="14">
        <v>1</v>
      </c>
      <c r="AF51" s="14"/>
      <c r="AG51" s="14"/>
      <c r="AH51" s="14"/>
      <c r="AI51" s="14"/>
      <c r="AJ51" s="14"/>
      <c r="AK51" s="14"/>
      <c r="AL51" s="14"/>
      <c r="AM51" s="14"/>
      <c r="AN51" s="14"/>
      <c r="AO51" s="14"/>
      <c r="AP51" s="14"/>
      <c r="AQ51" s="14"/>
      <c r="AR51" s="14"/>
      <c r="AS51" s="14"/>
      <c r="AT51" s="14"/>
      <c r="AU51" s="14"/>
      <c r="AV51" s="14"/>
      <c r="AW51" s="14"/>
      <c r="AX51" s="14"/>
    </row>
    <row r="52" spans="1:50" ht="15.75" customHeight="1">
      <c r="A52" s="24" t="s">
        <v>56</v>
      </c>
      <c r="B52" s="25" t="str">
        <f t="shared" si="0"/>
        <v>s05_l12m200um_fit06_110nm_2_</v>
      </c>
      <c r="C52" s="24" t="s">
        <v>1546</v>
      </c>
      <c r="D52" s="74" t="str">
        <f t="shared" si="1"/>
        <v>bossdb://lee2022/s05_l12m200um_fit06_110nm_2_/</v>
      </c>
      <c r="E52" s="24" t="s">
        <v>2</v>
      </c>
      <c r="F52" s="5" t="s">
        <v>1013</v>
      </c>
      <c r="G52" s="5" t="s">
        <v>865</v>
      </c>
      <c r="H52" s="24" t="s">
        <v>1491</v>
      </c>
      <c r="I52" s="24" t="s">
        <v>1546</v>
      </c>
      <c r="J52" s="24" t="s">
        <v>1492</v>
      </c>
      <c r="K52" s="24" t="s">
        <v>867</v>
      </c>
      <c r="L52" s="24" t="s">
        <v>853</v>
      </c>
      <c r="M52" s="24" t="s">
        <v>962</v>
      </c>
      <c r="N52" s="24" t="s">
        <v>0</v>
      </c>
      <c r="O52" s="24" t="s">
        <v>1543</v>
      </c>
      <c r="P52" s="24" t="s">
        <v>848</v>
      </c>
      <c r="Q52" s="24" t="s">
        <v>848</v>
      </c>
      <c r="R52" s="24">
        <v>3</v>
      </c>
      <c r="S52" s="24" t="s">
        <v>1494</v>
      </c>
      <c r="T52" s="24" t="s">
        <v>962</v>
      </c>
      <c r="U52" s="24" t="s">
        <v>856</v>
      </c>
      <c r="V52" s="32" t="s">
        <v>857</v>
      </c>
      <c r="W52" s="14" t="b">
        <v>1</v>
      </c>
      <c r="X52" s="5" t="s">
        <v>409</v>
      </c>
      <c r="Y52" s="28"/>
      <c r="Z52" s="5" t="s">
        <v>858</v>
      </c>
      <c r="AA52" s="5" t="s">
        <v>858</v>
      </c>
      <c r="AB52" s="24" t="s">
        <v>413</v>
      </c>
      <c r="AC52" s="14"/>
      <c r="AD52" s="14"/>
      <c r="AE52" s="14">
        <v>1</v>
      </c>
      <c r="AF52" s="14"/>
      <c r="AG52" s="14"/>
      <c r="AH52" s="14"/>
      <c r="AI52" s="14"/>
      <c r="AJ52" s="14"/>
      <c r="AK52" s="14"/>
      <c r="AL52" s="14"/>
      <c r="AM52" s="14"/>
      <c r="AN52" s="14"/>
      <c r="AO52" s="14"/>
      <c r="AP52" s="14"/>
      <c r="AQ52" s="14"/>
      <c r="AR52" s="14"/>
      <c r="AS52" s="14"/>
      <c r="AT52" s="14"/>
      <c r="AU52" s="14"/>
      <c r="AV52" s="14"/>
      <c r="AW52" s="14"/>
      <c r="AX52" s="14"/>
    </row>
    <row r="53" spans="1:50" ht="15.75" customHeight="1">
      <c r="A53" s="24" t="s">
        <v>57</v>
      </c>
      <c r="B53" s="25" t="str">
        <f t="shared" si="0"/>
        <v>s05_l12m200um_fit06_110nm_3_</v>
      </c>
      <c r="C53" s="24" t="s">
        <v>1547</v>
      </c>
      <c r="D53" s="74" t="str">
        <f t="shared" si="1"/>
        <v>bossdb://lee2022/s05_l12m200um_fit06_110nm_3_/</v>
      </c>
      <c r="E53" s="24" t="s">
        <v>2</v>
      </c>
      <c r="F53" s="5" t="s">
        <v>1013</v>
      </c>
      <c r="G53" s="5" t="s">
        <v>865</v>
      </c>
      <c r="H53" s="24" t="s">
        <v>1491</v>
      </c>
      <c r="I53" s="24" t="s">
        <v>1547</v>
      </c>
      <c r="J53" s="24" t="s">
        <v>1492</v>
      </c>
      <c r="K53" s="24" t="s">
        <v>867</v>
      </c>
      <c r="L53" s="24" t="s">
        <v>853</v>
      </c>
      <c r="M53" s="24" t="s">
        <v>962</v>
      </c>
      <c r="N53" s="24" t="s">
        <v>0</v>
      </c>
      <c r="O53" s="24" t="s">
        <v>1544</v>
      </c>
      <c r="P53" s="24" t="s">
        <v>848</v>
      </c>
      <c r="Q53" s="24" t="s">
        <v>848</v>
      </c>
      <c r="R53" s="24">
        <v>3</v>
      </c>
      <c r="S53" s="24" t="s">
        <v>1494</v>
      </c>
      <c r="T53" s="24" t="s">
        <v>962</v>
      </c>
      <c r="U53" s="24" t="s">
        <v>856</v>
      </c>
      <c r="V53" s="32" t="s">
        <v>857</v>
      </c>
      <c r="W53" s="14" t="b">
        <v>1</v>
      </c>
      <c r="X53" s="5" t="s">
        <v>409</v>
      </c>
      <c r="Y53" s="28"/>
      <c r="Z53" s="5" t="s">
        <v>858</v>
      </c>
      <c r="AA53" s="5" t="s">
        <v>858</v>
      </c>
      <c r="AB53" s="24" t="s">
        <v>413</v>
      </c>
      <c r="AC53" s="14"/>
      <c r="AD53" s="14"/>
      <c r="AE53" s="14">
        <v>1</v>
      </c>
      <c r="AF53" s="14"/>
      <c r="AG53" s="14"/>
      <c r="AH53" s="14"/>
      <c r="AI53" s="14"/>
      <c r="AJ53" s="14"/>
      <c r="AK53" s="14"/>
      <c r="AL53" s="14"/>
      <c r="AM53" s="14"/>
      <c r="AN53" s="14"/>
      <c r="AO53" s="14"/>
      <c r="AP53" s="14"/>
      <c r="AQ53" s="14"/>
      <c r="AR53" s="14"/>
      <c r="AS53" s="14"/>
      <c r="AT53" s="14"/>
      <c r="AU53" s="14"/>
      <c r="AV53" s="14"/>
      <c r="AW53" s="14"/>
      <c r="AX53" s="14"/>
    </row>
    <row r="54" spans="1:50" ht="15.75" customHeight="1">
      <c r="A54" s="24" t="s">
        <v>58</v>
      </c>
      <c r="B54" s="25" t="str">
        <f t="shared" si="0"/>
        <v>s18_l2_bin2_020nm_4_</v>
      </c>
      <c r="C54" s="24" t="s">
        <v>1548</v>
      </c>
      <c r="D54" s="74" t="str">
        <f t="shared" si="1"/>
        <v>bossdb://lee2022/s18_l2_bin2_020nm_4_/</v>
      </c>
      <c r="E54" s="24" t="s">
        <v>2</v>
      </c>
      <c r="F54" s="5" t="s">
        <v>1013</v>
      </c>
      <c r="G54" s="5" t="s">
        <v>865</v>
      </c>
      <c r="H54" s="24" t="s">
        <v>1491</v>
      </c>
      <c r="I54" s="24" t="s">
        <v>1548</v>
      </c>
      <c r="J54" s="24" t="s">
        <v>1492</v>
      </c>
      <c r="K54" s="24" t="s">
        <v>867</v>
      </c>
      <c r="L54" s="24" t="s">
        <v>853</v>
      </c>
      <c r="M54" s="24" t="s">
        <v>962</v>
      </c>
      <c r="N54" s="24" t="s">
        <v>0</v>
      </c>
      <c r="O54" s="24" t="s">
        <v>1545</v>
      </c>
      <c r="P54" s="24" t="s">
        <v>848</v>
      </c>
      <c r="Q54" s="24" t="s">
        <v>848</v>
      </c>
      <c r="R54" s="24">
        <v>3</v>
      </c>
      <c r="S54" s="24" t="s">
        <v>1494</v>
      </c>
      <c r="T54" s="24" t="s">
        <v>962</v>
      </c>
      <c r="U54" s="24" t="s">
        <v>856</v>
      </c>
      <c r="V54" s="32" t="s">
        <v>857</v>
      </c>
      <c r="W54" s="14" t="b">
        <v>1</v>
      </c>
      <c r="X54" s="5" t="s">
        <v>409</v>
      </c>
      <c r="Y54" s="28"/>
      <c r="Z54" s="5" t="s">
        <v>858</v>
      </c>
      <c r="AA54" s="5" t="s">
        <v>858</v>
      </c>
      <c r="AB54" s="24" t="s">
        <v>413</v>
      </c>
      <c r="AC54" s="14"/>
      <c r="AD54" s="14"/>
      <c r="AE54" s="14">
        <v>1</v>
      </c>
      <c r="AF54" s="14"/>
      <c r="AG54" s="14"/>
      <c r="AH54" s="14"/>
      <c r="AI54" s="14"/>
      <c r="AJ54" s="14"/>
      <c r="AK54" s="14"/>
      <c r="AL54" s="14"/>
      <c r="AM54" s="14"/>
      <c r="AN54" s="14"/>
      <c r="AO54" s="14"/>
      <c r="AP54" s="14"/>
      <c r="AQ54" s="14"/>
      <c r="AR54" s="14"/>
      <c r="AS54" s="14"/>
      <c r="AT54" s="14"/>
      <c r="AU54" s="14"/>
      <c r="AV54" s="14"/>
      <c r="AW54" s="14"/>
      <c r="AX54" s="14"/>
    </row>
    <row r="55" spans="1:50" ht="15.75" customHeight="1">
      <c r="A55" s="24" t="s">
        <v>59</v>
      </c>
      <c r="B55" s="25" t="str">
        <f t="shared" si="0"/>
        <v>s05_l12m200um_fit06_110nm_4_</v>
      </c>
      <c r="C55" s="24" t="s">
        <v>1549</v>
      </c>
      <c r="D55" s="74" t="str">
        <f t="shared" si="1"/>
        <v>bossdb://lee2022/s05_l12m200um_fit06_110nm_4_/</v>
      </c>
      <c r="E55" s="24" t="s">
        <v>2</v>
      </c>
      <c r="F55" s="5" t="s">
        <v>1013</v>
      </c>
      <c r="G55" s="5" t="s">
        <v>865</v>
      </c>
      <c r="H55" s="24" t="s">
        <v>1491</v>
      </c>
      <c r="I55" s="24" t="s">
        <v>1549</v>
      </c>
      <c r="J55" s="24" t="s">
        <v>1492</v>
      </c>
      <c r="K55" s="24" t="s">
        <v>867</v>
      </c>
      <c r="L55" s="24" t="s">
        <v>853</v>
      </c>
      <c r="M55" s="24" t="s">
        <v>962</v>
      </c>
      <c r="N55" s="24" t="s">
        <v>0</v>
      </c>
      <c r="O55" s="24" t="s">
        <v>1546</v>
      </c>
      <c r="P55" s="24" t="s">
        <v>848</v>
      </c>
      <c r="Q55" s="24" t="s">
        <v>848</v>
      </c>
      <c r="R55" s="24">
        <v>3</v>
      </c>
      <c r="S55" s="24" t="s">
        <v>1494</v>
      </c>
      <c r="T55" s="24" t="s">
        <v>962</v>
      </c>
      <c r="U55" s="24" t="s">
        <v>856</v>
      </c>
      <c r="V55" s="32" t="s">
        <v>857</v>
      </c>
      <c r="W55" s="14" t="b">
        <v>1</v>
      </c>
      <c r="X55" s="5" t="s">
        <v>409</v>
      </c>
      <c r="Y55" s="28"/>
      <c r="Z55" s="5" t="s">
        <v>858</v>
      </c>
      <c r="AA55" s="5" t="s">
        <v>858</v>
      </c>
      <c r="AB55" s="24" t="s">
        <v>413</v>
      </c>
      <c r="AC55" s="14"/>
      <c r="AD55" s="14"/>
      <c r="AE55" s="14">
        <v>1</v>
      </c>
      <c r="AF55" s="14"/>
      <c r="AG55" s="14"/>
      <c r="AH55" s="14"/>
      <c r="AI55" s="14"/>
      <c r="AJ55" s="14"/>
      <c r="AK55" s="14"/>
      <c r="AL55" s="14"/>
      <c r="AM55" s="14"/>
      <c r="AN55" s="14"/>
      <c r="AO55" s="14"/>
      <c r="AP55" s="14"/>
      <c r="AQ55" s="14"/>
      <c r="AR55" s="14"/>
      <c r="AS55" s="14"/>
      <c r="AT55" s="14"/>
      <c r="AU55" s="14"/>
      <c r="AV55" s="14"/>
      <c r="AW55" s="14"/>
      <c r="AX55" s="14"/>
    </row>
    <row r="56" spans="1:50" ht="15.75" customHeight="1">
      <c r="A56" s="24" t="s">
        <v>60</v>
      </c>
      <c r="B56" s="25" t="str">
        <f t="shared" si="0"/>
        <v>s18_l5_030nm_hd_</v>
      </c>
      <c r="C56" s="24" t="s">
        <v>1550</v>
      </c>
      <c r="D56" s="74" t="str">
        <f t="shared" si="1"/>
        <v>bossdb://lee2022/s18_l5_030nm_hd_/</v>
      </c>
      <c r="E56" s="24" t="s">
        <v>2</v>
      </c>
      <c r="F56" s="5" t="s">
        <v>1013</v>
      </c>
      <c r="G56" s="5" t="s">
        <v>865</v>
      </c>
      <c r="H56" s="24" t="s">
        <v>1491</v>
      </c>
      <c r="I56" s="24" t="s">
        <v>1550</v>
      </c>
      <c r="J56" s="24" t="s">
        <v>1492</v>
      </c>
      <c r="K56" s="24" t="s">
        <v>867</v>
      </c>
      <c r="L56" s="24" t="s">
        <v>853</v>
      </c>
      <c r="M56" s="24" t="s">
        <v>962</v>
      </c>
      <c r="N56" s="24" t="s">
        <v>0</v>
      </c>
      <c r="O56" s="24" t="s">
        <v>1547</v>
      </c>
      <c r="P56" s="24" t="s">
        <v>848</v>
      </c>
      <c r="Q56" s="24" t="s">
        <v>848</v>
      </c>
      <c r="R56" s="24">
        <v>3</v>
      </c>
      <c r="S56" s="24" t="s">
        <v>1494</v>
      </c>
      <c r="T56" s="24" t="s">
        <v>962</v>
      </c>
      <c r="U56" s="24" t="s">
        <v>856</v>
      </c>
      <c r="V56" s="32" t="s">
        <v>857</v>
      </c>
      <c r="W56" s="14" t="b">
        <v>1</v>
      </c>
      <c r="X56" s="5" t="s">
        <v>409</v>
      </c>
      <c r="Y56" s="28"/>
      <c r="Z56" s="5" t="s">
        <v>858</v>
      </c>
      <c r="AA56" s="5" t="s">
        <v>858</v>
      </c>
      <c r="AB56" s="24" t="s">
        <v>413</v>
      </c>
      <c r="AC56" s="14"/>
      <c r="AD56" s="14"/>
      <c r="AE56" s="14">
        <v>1</v>
      </c>
      <c r="AF56" s="14"/>
      <c r="AG56" s="14"/>
      <c r="AH56" s="14"/>
      <c r="AI56" s="14"/>
      <c r="AJ56" s="14"/>
      <c r="AK56" s="14"/>
      <c r="AL56" s="14"/>
      <c r="AM56" s="14"/>
      <c r="AN56" s="14"/>
      <c r="AO56" s="14"/>
      <c r="AP56" s="14"/>
      <c r="AQ56" s="14"/>
      <c r="AR56" s="14"/>
      <c r="AS56" s="14"/>
      <c r="AT56" s="14"/>
      <c r="AU56" s="14"/>
      <c r="AV56" s="14"/>
      <c r="AW56" s="14"/>
      <c r="AX56" s="14"/>
    </row>
    <row r="57" spans="1:50" ht="15.75" customHeight="1">
      <c r="A57" s="24" t="s">
        <v>61</v>
      </c>
      <c r="B57" s="25" t="str">
        <f t="shared" si="0"/>
        <v>s18_l5_030nm_hd_1_</v>
      </c>
      <c r="C57" s="24" t="s">
        <v>1551</v>
      </c>
      <c r="D57" s="74" t="str">
        <f t="shared" si="1"/>
        <v>bossdb://lee2022/s18_l5_030nm_hd_1_/</v>
      </c>
      <c r="E57" s="24" t="s">
        <v>2</v>
      </c>
      <c r="F57" s="5" t="s">
        <v>1013</v>
      </c>
      <c r="G57" s="5" t="s">
        <v>865</v>
      </c>
      <c r="H57" s="24" t="s">
        <v>1491</v>
      </c>
      <c r="I57" s="24" t="s">
        <v>1551</v>
      </c>
      <c r="J57" s="24" t="s">
        <v>1492</v>
      </c>
      <c r="K57" s="24" t="s">
        <v>867</v>
      </c>
      <c r="L57" s="24" t="s">
        <v>853</v>
      </c>
      <c r="M57" s="24" t="s">
        <v>962</v>
      </c>
      <c r="N57" s="24" t="s">
        <v>0</v>
      </c>
      <c r="O57" s="24" t="s">
        <v>1548</v>
      </c>
      <c r="P57" s="24" t="s">
        <v>848</v>
      </c>
      <c r="Q57" s="24" t="s">
        <v>848</v>
      </c>
      <c r="R57" s="24">
        <v>3</v>
      </c>
      <c r="S57" s="24" t="s">
        <v>1494</v>
      </c>
      <c r="T57" s="24" t="s">
        <v>962</v>
      </c>
      <c r="U57" s="24" t="s">
        <v>856</v>
      </c>
      <c r="V57" s="32" t="s">
        <v>857</v>
      </c>
      <c r="W57" s="14" t="b">
        <v>1</v>
      </c>
      <c r="X57" s="5" t="s">
        <v>409</v>
      </c>
      <c r="Y57" s="28"/>
      <c r="Z57" s="5" t="s">
        <v>858</v>
      </c>
      <c r="AA57" s="5" t="s">
        <v>858</v>
      </c>
      <c r="AB57" s="24" t="s">
        <v>413</v>
      </c>
      <c r="AC57" s="14"/>
      <c r="AD57" s="14"/>
      <c r="AE57" s="14">
        <v>1</v>
      </c>
      <c r="AF57" s="14"/>
      <c r="AG57" s="14"/>
      <c r="AH57" s="14"/>
      <c r="AI57" s="14"/>
      <c r="AJ57" s="14"/>
      <c r="AK57" s="14"/>
      <c r="AL57" s="14"/>
      <c r="AM57" s="14"/>
      <c r="AN57" s="14"/>
      <c r="AO57" s="14"/>
      <c r="AP57" s="14"/>
      <c r="AQ57" s="14"/>
      <c r="AR57" s="14"/>
      <c r="AS57" s="14"/>
      <c r="AT57" s="14"/>
      <c r="AU57" s="14"/>
      <c r="AV57" s="14"/>
      <c r="AW57" s="14"/>
      <c r="AX57" s="14"/>
    </row>
    <row r="58" spans="1:50" ht="15.75" customHeight="1">
      <c r="A58" s="24" t="s">
        <v>62</v>
      </c>
      <c r="B58" s="25" t="str">
        <f t="shared" si="0"/>
        <v>s05_l12m200um_fits06_050nm_</v>
      </c>
      <c r="C58" s="24" t="s">
        <v>1552</v>
      </c>
      <c r="D58" s="74" t="str">
        <f t="shared" si="1"/>
        <v>bossdb://lee2022/s05_l12m200um_fits06_050nm_/</v>
      </c>
      <c r="E58" s="24" t="s">
        <v>2</v>
      </c>
      <c r="F58" s="5" t="s">
        <v>1013</v>
      </c>
      <c r="G58" s="5" t="s">
        <v>865</v>
      </c>
      <c r="H58" s="24" t="s">
        <v>1491</v>
      </c>
      <c r="I58" s="24" t="s">
        <v>1552</v>
      </c>
      <c r="J58" s="24" t="s">
        <v>1492</v>
      </c>
      <c r="K58" s="24" t="s">
        <v>867</v>
      </c>
      <c r="L58" s="24" t="s">
        <v>853</v>
      </c>
      <c r="M58" s="24" t="s">
        <v>962</v>
      </c>
      <c r="N58" s="24" t="s">
        <v>0</v>
      </c>
      <c r="O58" s="24" t="s">
        <v>1549</v>
      </c>
      <c r="P58" s="24" t="s">
        <v>848</v>
      </c>
      <c r="Q58" s="24" t="s">
        <v>848</v>
      </c>
      <c r="R58" s="24">
        <v>3</v>
      </c>
      <c r="S58" s="24" t="s">
        <v>1494</v>
      </c>
      <c r="T58" s="24" t="s">
        <v>962</v>
      </c>
      <c r="U58" s="24" t="s">
        <v>856</v>
      </c>
      <c r="V58" s="32" t="s">
        <v>857</v>
      </c>
      <c r="W58" s="14" t="b">
        <v>1</v>
      </c>
      <c r="X58" s="5" t="s">
        <v>409</v>
      </c>
      <c r="Y58" s="28"/>
      <c r="Z58" s="5" t="s">
        <v>858</v>
      </c>
      <c r="AA58" s="5" t="s">
        <v>858</v>
      </c>
      <c r="AB58" s="24" t="s">
        <v>413</v>
      </c>
      <c r="AC58" s="14"/>
      <c r="AD58" s="14"/>
      <c r="AE58" s="14">
        <v>1</v>
      </c>
      <c r="AF58" s="14"/>
      <c r="AG58" s="14"/>
      <c r="AH58" s="14"/>
      <c r="AI58" s="14"/>
      <c r="AJ58" s="14"/>
      <c r="AK58" s="14"/>
      <c r="AL58" s="14"/>
      <c r="AM58" s="14"/>
      <c r="AN58" s="14"/>
      <c r="AO58" s="14"/>
      <c r="AP58" s="14"/>
      <c r="AQ58" s="14"/>
      <c r="AR58" s="14"/>
      <c r="AS58" s="14"/>
      <c r="AT58" s="14"/>
      <c r="AU58" s="14"/>
      <c r="AV58" s="14"/>
      <c r="AW58" s="14"/>
      <c r="AX58" s="14"/>
    </row>
    <row r="59" spans="1:50" ht="15.75" customHeight="1">
      <c r="A59" s="24" t="s">
        <v>63</v>
      </c>
      <c r="B59" s="25" t="str">
        <f t="shared" si="0"/>
        <v>s18_l5_030nm_hd_2_</v>
      </c>
      <c r="C59" s="24" t="s">
        <v>1553</v>
      </c>
      <c r="D59" s="74" t="str">
        <f t="shared" si="1"/>
        <v>bossdb://lee2022/s18_l5_030nm_hd_2_/</v>
      </c>
      <c r="E59" s="24" t="s">
        <v>2</v>
      </c>
      <c r="F59" s="5" t="s">
        <v>1013</v>
      </c>
      <c r="G59" s="5" t="s">
        <v>865</v>
      </c>
      <c r="H59" s="24" t="s">
        <v>1491</v>
      </c>
      <c r="I59" s="24" t="s">
        <v>1553</v>
      </c>
      <c r="J59" s="24" t="s">
        <v>1492</v>
      </c>
      <c r="K59" s="24" t="s">
        <v>867</v>
      </c>
      <c r="L59" s="24" t="s">
        <v>853</v>
      </c>
      <c r="M59" s="24" t="s">
        <v>962</v>
      </c>
      <c r="N59" s="24" t="s">
        <v>0</v>
      </c>
      <c r="O59" s="24" t="s">
        <v>1550</v>
      </c>
      <c r="P59" s="24" t="s">
        <v>848</v>
      </c>
      <c r="Q59" s="24" t="s">
        <v>848</v>
      </c>
      <c r="R59" s="24">
        <v>3</v>
      </c>
      <c r="S59" s="24" t="s">
        <v>1494</v>
      </c>
      <c r="T59" s="24" t="s">
        <v>962</v>
      </c>
      <c r="U59" s="24" t="s">
        <v>856</v>
      </c>
      <c r="V59" s="32" t="s">
        <v>857</v>
      </c>
      <c r="W59" s="14" t="b">
        <v>1</v>
      </c>
      <c r="X59" s="5" t="s">
        <v>409</v>
      </c>
      <c r="Y59" s="28"/>
      <c r="Z59" s="5" t="s">
        <v>858</v>
      </c>
      <c r="AA59" s="5" t="s">
        <v>858</v>
      </c>
      <c r="AB59" s="24" t="s">
        <v>413</v>
      </c>
      <c r="AC59" s="14"/>
      <c r="AD59" s="14"/>
      <c r="AE59" s="14">
        <v>1</v>
      </c>
      <c r="AF59" s="14"/>
      <c r="AG59" s="14"/>
      <c r="AH59" s="14"/>
      <c r="AI59" s="14"/>
      <c r="AJ59" s="14"/>
      <c r="AK59" s="14"/>
      <c r="AL59" s="14"/>
      <c r="AM59" s="14"/>
      <c r="AN59" s="14"/>
      <c r="AO59" s="14"/>
      <c r="AP59" s="14"/>
      <c r="AQ59" s="14"/>
      <c r="AR59" s="14"/>
      <c r="AS59" s="14"/>
      <c r="AT59" s="14"/>
      <c r="AU59" s="14"/>
      <c r="AV59" s="14"/>
      <c r="AW59" s="14"/>
      <c r="AX59" s="14"/>
    </row>
    <row r="60" spans="1:50" ht="15.75" customHeight="1">
      <c r="A60" s="24" t="s">
        <v>64</v>
      </c>
      <c r="B60" s="25" t="str">
        <f t="shared" si="0"/>
        <v>s05_l12m200um_fits06_050nm_1_</v>
      </c>
      <c r="C60" s="24" t="s">
        <v>1554</v>
      </c>
      <c r="D60" s="74" t="str">
        <f t="shared" si="1"/>
        <v>bossdb://lee2022/s05_l12m200um_fits06_050nm_1_/</v>
      </c>
      <c r="E60" s="24" t="s">
        <v>2</v>
      </c>
      <c r="F60" s="5" t="s">
        <v>1013</v>
      </c>
      <c r="G60" s="5" t="s">
        <v>865</v>
      </c>
      <c r="H60" s="24" t="s">
        <v>1491</v>
      </c>
      <c r="I60" s="24" t="s">
        <v>1554</v>
      </c>
      <c r="J60" s="24" t="s">
        <v>1492</v>
      </c>
      <c r="K60" s="24" t="s">
        <v>867</v>
      </c>
      <c r="L60" s="24" t="s">
        <v>853</v>
      </c>
      <c r="M60" s="24" t="s">
        <v>962</v>
      </c>
      <c r="N60" s="24" t="s">
        <v>0</v>
      </c>
      <c r="O60" s="24" t="s">
        <v>1551</v>
      </c>
      <c r="P60" s="24" t="s">
        <v>848</v>
      </c>
      <c r="Q60" s="24" t="s">
        <v>848</v>
      </c>
      <c r="R60" s="24">
        <v>3</v>
      </c>
      <c r="S60" s="24" t="s">
        <v>1494</v>
      </c>
      <c r="T60" s="24" t="s">
        <v>962</v>
      </c>
      <c r="U60" s="24" t="s">
        <v>856</v>
      </c>
      <c r="V60" s="32" t="s">
        <v>857</v>
      </c>
      <c r="W60" s="14" t="b">
        <v>1</v>
      </c>
      <c r="X60" s="5" t="s">
        <v>409</v>
      </c>
      <c r="Y60" s="28"/>
      <c r="Z60" s="5" t="s">
        <v>858</v>
      </c>
      <c r="AA60" s="5" t="s">
        <v>858</v>
      </c>
      <c r="AB60" s="24" t="s">
        <v>413</v>
      </c>
      <c r="AC60" s="14"/>
      <c r="AD60" s="14"/>
      <c r="AE60" s="14">
        <v>1</v>
      </c>
      <c r="AF60" s="14"/>
      <c r="AG60" s="14"/>
      <c r="AH60" s="14"/>
      <c r="AI60" s="14"/>
      <c r="AJ60" s="14"/>
      <c r="AK60" s="14"/>
      <c r="AL60" s="14"/>
      <c r="AM60" s="14"/>
      <c r="AN60" s="14"/>
      <c r="AO60" s="14"/>
      <c r="AP60" s="14"/>
      <c r="AQ60" s="14"/>
      <c r="AR60" s="14"/>
      <c r="AS60" s="14"/>
      <c r="AT60" s="14"/>
      <c r="AU60" s="14"/>
      <c r="AV60" s="14"/>
      <c r="AW60" s="14"/>
      <c r="AX60" s="14"/>
    </row>
    <row r="61" spans="1:50" ht="15.75" customHeight="1">
      <c r="A61" s="24" t="s">
        <v>65</v>
      </c>
      <c r="B61" s="25" t="str">
        <f t="shared" si="0"/>
        <v>s05_l12m200um_fits06_050nm_2_</v>
      </c>
      <c r="C61" s="24" t="s">
        <v>1555</v>
      </c>
      <c r="D61" s="74" t="str">
        <f t="shared" si="1"/>
        <v>bossdb://lee2022/s05_l12m200um_fits06_050nm_2_/</v>
      </c>
      <c r="E61" s="24" t="s">
        <v>2</v>
      </c>
      <c r="F61" s="5" t="s">
        <v>1013</v>
      </c>
      <c r="G61" s="5" t="s">
        <v>865</v>
      </c>
      <c r="H61" s="24" t="s">
        <v>1491</v>
      </c>
      <c r="I61" s="24" t="s">
        <v>1555</v>
      </c>
      <c r="J61" s="24" t="s">
        <v>1492</v>
      </c>
      <c r="K61" s="24" t="s">
        <v>867</v>
      </c>
      <c r="L61" s="24" t="s">
        <v>853</v>
      </c>
      <c r="M61" s="24" t="s">
        <v>962</v>
      </c>
      <c r="N61" s="24" t="s">
        <v>0</v>
      </c>
      <c r="O61" s="24" t="s">
        <v>1552</v>
      </c>
      <c r="P61" s="24" t="s">
        <v>848</v>
      </c>
      <c r="Q61" s="24" t="s">
        <v>848</v>
      </c>
      <c r="R61" s="24">
        <v>3</v>
      </c>
      <c r="S61" s="24" t="s">
        <v>1494</v>
      </c>
      <c r="T61" s="24" t="s">
        <v>962</v>
      </c>
      <c r="U61" s="24" t="s">
        <v>856</v>
      </c>
      <c r="V61" s="32" t="s">
        <v>857</v>
      </c>
      <c r="W61" s="14" t="b">
        <v>1</v>
      </c>
      <c r="X61" s="5" t="s">
        <v>409</v>
      </c>
      <c r="Y61" s="28"/>
      <c r="Z61" s="5" t="s">
        <v>858</v>
      </c>
      <c r="AA61" s="5" t="s">
        <v>858</v>
      </c>
      <c r="AB61" s="24" t="s">
        <v>413</v>
      </c>
      <c r="AC61" s="14"/>
      <c r="AD61" s="14"/>
      <c r="AE61" s="14">
        <v>1</v>
      </c>
      <c r="AF61" s="14"/>
      <c r="AG61" s="14"/>
      <c r="AH61" s="14"/>
      <c r="AI61" s="14"/>
      <c r="AJ61" s="14"/>
      <c r="AK61" s="14"/>
      <c r="AL61" s="14"/>
      <c r="AM61" s="14"/>
      <c r="AN61" s="14"/>
      <c r="AO61" s="14"/>
      <c r="AP61" s="14"/>
      <c r="AQ61" s="14"/>
      <c r="AR61" s="14"/>
      <c r="AS61" s="14"/>
      <c r="AT61" s="14"/>
      <c r="AU61" s="14"/>
      <c r="AV61" s="14"/>
      <c r="AW61" s="14"/>
      <c r="AX61" s="14"/>
    </row>
    <row r="62" spans="1:50" ht="15.75" customHeight="1">
      <c r="A62" s="24" t="s">
        <v>66</v>
      </c>
      <c r="B62" s="25" t="str">
        <f t="shared" si="0"/>
        <v>s18_l5_030nm_hd_3_</v>
      </c>
      <c r="C62" s="24" t="s">
        <v>1556</v>
      </c>
      <c r="D62" s="74" t="str">
        <f t="shared" si="1"/>
        <v>bossdb://lee2022/s18_l5_030nm_hd_3_/</v>
      </c>
      <c r="E62" s="24" t="s">
        <v>2</v>
      </c>
      <c r="F62" s="5" t="s">
        <v>1013</v>
      </c>
      <c r="G62" s="5" t="s">
        <v>865</v>
      </c>
      <c r="H62" s="24" t="s">
        <v>1491</v>
      </c>
      <c r="I62" s="24" t="s">
        <v>1556</v>
      </c>
      <c r="J62" s="24" t="s">
        <v>1492</v>
      </c>
      <c r="K62" s="24" t="s">
        <v>867</v>
      </c>
      <c r="L62" s="24" t="s">
        <v>853</v>
      </c>
      <c r="M62" s="24" t="s">
        <v>962</v>
      </c>
      <c r="N62" s="24" t="s">
        <v>0</v>
      </c>
      <c r="O62" s="24" t="s">
        <v>1553</v>
      </c>
      <c r="P62" s="24" t="s">
        <v>848</v>
      </c>
      <c r="Q62" s="24" t="s">
        <v>848</v>
      </c>
      <c r="R62" s="24">
        <v>3</v>
      </c>
      <c r="S62" s="24" t="s">
        <v>1494</v>
      </c>
      <c r="T62" s="24" t="s">
        <v>962</v>
      </c>
      <c r="U62" s="24" t="s">
        <v>856</v>
      </c>
      <c r="V62" s="32" t="s">
        <v>857</v>
      </c>
      <c r="W62" s="14" t="b">
        <v>1</v>
      </c>
      <c r="X62" s="5" t="s">
        <v>409</v>
      </c>
      <c r="Y62" s="28"/>
      <c r="Z62" s="5" t="s">
        <v>858</v>
      </c>
      <c r="AA62" s="5" t="s">
        <v>858</v>
      </c>
      <c r="AB62" s="24" t="s">
        <v>413</v>
      </c>
      <c r="AC62" s="14"/>
      <c r="AD62" s="14"/>
      <c r="AE62" s="14">
        <v>1</v>
      </c>
      <c r="AF62" s="14"/>
      <c r="AG62" s="14"/>
      <c r="AH62" s="14"/>
      <c r="AI62" s="14"/>
      <c r="AJ62" s="14"/>
      <c r="AK62" s="14"/>
      <c r="AL62" s="14"/>
      <c r="AM62" s="14"/>
      <c r="AN62" s="14"/>
      <c r="AO62" s="14"/>
      <c r="AP62" s="14"/>
      <c r="AQ62" s="14"/>
      <c r="AR62" s="14"/>
      <c r="AS62" s="14"/>
      <c r="AT62" s="14"/>
      <c r="AU62" s="14"/>
      <c r="AV62" s="14"/>
      <c r="AW62" s="14"/>
      <c r="AX62" s="14"/>
    </row>
    <row r="63" spans="1:50" ht="15.75" customHeight="1">
      <c r="A63" s="24" t="s">
        <v>67</v>
      </c>
      <c r="B63" s="25" t="str">
        <f t="shared" si="0"/>
        <v>s05_l12m200um_fits06_050nm_3_</v>
      </c>
      <c r="C63" s="24" t="s">
        <v>1557</v>
      </c>
      <c r="D63" s="74" t="str">
        <f t="shared" si="1"/>
        <v>bossdb://lee2022/s05_l12m200um_fits06_050nm_3_/</v>
      </c>
      <c r="E63" s="24" t="s">
        <v>2</v>
      </c>
      <c r="F63" s="5" t="s">
        <v>1013</v>
      </c>
      <c r="G63" s="5" t="s">
        <v>865</v>
      </c>
      <c r="H63" s="24" t="s">
        <v>1491</v>
      </c>
      <c r="I63" s="24" t="s">
        <v>1557</v>
      </c>
      <c r="J63" s="24" t="s">
        <v>1492</v>
      </c>
      <c r="K63" s="24" t="s">
        <v>867</v>
      </c>
      <c r="L63" s="24" t="s">
        <v>853</v>
      </c>
      <c r="M63" s="24" t="s">
        <v>962</v>
      </c>
      <c r="N63" s="24" t="s">
        <v>0</v>
      </c>
      <c r="O63" s="24" t="s">
        <v>1554</v>
      </c>
      <c r="P63" s="24" t="s">
        <v>848</v>
      </c>
      <c r="Q63" s="24" t="s">
        <v>848</v>
      </c>
      <c r="R63" s="24">
        <v>3</v>
      </c>
      <c r="S63" s="24" t="s">
        <v>1494</v>
      </c>
      <c r="T63" s="24" t="s">
        <v>962</v>
      </c>
      <c r="U63" s="24" t="s">
        <v>856</v>
      </c>
      <c r="V63" s="32" t="s">
        <v>857</v>
      </c>
      <c r="W63" s="14" t="b">
        <v>1</v>
      </c>
      <c r="X63" s="5" t="s">
        <v>409</v>
      </c>
      <c r="Y63" s="28"/>
      <c r="Z63" s="5" t="s">
        <v>858</v>
      </c>
      <c r="AA63" s="5" t="s">
        <v>858</v>
      </c>
      <c r="AB63" s="24" t="s">
        <v>413</v>
      </c>
      <c r="AC63" s="14"/>
      <c r="AD63" s="14"/>
      <c r="AE63" s="14">
        <v>1</v>
      </c>
      <c r="AF63" s="14"/>
      <c r="AG63" s="14"/>
      <c r="AH63" s="14"/>
      <c r="AI63" s="14"/>
      <c r="AJ63" s="14"/>
      <c r="AK63" s="14"/>
      <c r="AL63" s="14"/>
      <c r="AM63" s="14"/>
      <c r="AN63" s="14"/>
      <c r="AO63" s="14"/>
      <c r="AP63" s="14"/>
      <c r="AQ63" s="14"/>
      <c r="AR63" s="14"/>
      <c r="AS63" s="14"/>
      <c r="AT63" s="14"/>
      <c r="AU63" s="14"/>
      <c r="AV63" s="14"/>
      <c r="AW63" s="14"/>
      <c r="AX63" s="14"/>
    </row>
    <row r="64" spans="1:50" ht="15.75" customHeight="1">
      <c r="A64" s="24" t="s">
        <v>68</v>
      </c>
      <c r="B64" s="25" t="str">
        <f t="shared" si="0"/>
        <v>s18_l5_030nm_hd_4_</v>
      </c>
      <c r="C64" s="24" t="s">
        <v>1558</v>
      </c>
      <c r="D64" s="74" t="str">
        <f t="shared" si="1"/>
        <v>bossdb://lee2022/s18_l5_030nm_hd_4_/</v>
      </c>
      <c r="E64" s="24" t="s">
        <v>2</v>
      </c>
      <c r="F64" s="5" t="s">
        <v>1013</v>
      </c>
      <c r="G64" s="5" t="s">
        <v>865</v>
      </c>
      <c r="H64" s="24" t="s">
        <v>1491</v>
      </c>
      <c r="I64" s="24" t="s">
        <v>1558</v>
      </c>
      <c r="J64" s="24" t="s">
        <v>1492</v>
      </c>
      <c r="K64" s="24" t="s">
        <v>867</v>
      </c>
      <c r="L64" s="24" t="s">
        <v>853</v>
      </c>
      <c r="M64" s="24" t="s">
        <v>962</v>
      </c>
      <c r="N64" s="24" t="s">
        <v>0</v>
      </c>
      <c r="O64" s="24" t="s">
        <v>1555</v>
      </c>
      <c r="P64" s="24" t="s">
        <v>848</v>
      </c>
      <c r="Q64" s="24" t="s">
        <v>848</v>
      </c>
      <c r="R64" s="24">
        <v>3</v>
      </c>
      <c r="S64" s="24" t="s">
        <v>1494</v>
      </c>
      <c r="T64" s="24" t="s">
        <v>962</v>
      </c>
      <c r="U64" s="24" t="s">
        <v>856</v>
      </c>
      <c r="V64" s="32" t="s">
        <v>857</v>
      </c>
      <c r="W64" s="14" t="b">
        <v>1</v>
      </c>
      <c r="X64" s="5" t="s">
        <v>409</v>
      </c>
      <c r="Y64" s="28"/>
      <c r="Z64" s="5" t="s">
        <v>858</v>
      </c>
      <c r="AA64" s="5" t="s">
        <v>858</v>
      </c>
      <c r="AB64" s="24" t="s">
        <v>413</v>
      </c>
      <c r="AC64" s="14"/>
      <c r="AD64" s="14"/>
      <c r="AE64" s="14">
        <v>1</v>
      </c>
      <c r="AF64" s="14"/>
      <c r="AG64" s="14"/>
      <c r="AH64" s="14"/>
      <c r="AI64" s="14"/>
      <c r="AJ64" s="14"/>
      <c r="AK64" s="14"/>
      <c r="AL64" s="14"/>
      <c r="AM64" s="14"/>
      <c r="AN64" s="14"/>
      <c r="AO64" s="14"/>
      <c r="AP64" s="14"/>
      <c r="AQ64" s="14"/>
      <c r="AR64" s="14"/>
      <c r="AS64" s="14"/>
      <c r="AT64" s="14"/>
      <c r="AU64" s="14"/>
      <c r="AV64" s="14"/>
      <c r="AW64" s="14"/>
      <c r="AX64" s="14"/>
    </row>
    <row r="65" spans="1:50" ht="15.75" customHeight="1">
      <c r="A65" s="24" t="s">
        <v>69</v>
      </c>
      <c r="B65" s="25" t="str">
        <f t="shared" si="0"/>
        <v>s05_l12m200um_fits06_050nm_4_</v>
      </c>
      <c r="C65" s="24" t="s">
        <v>1559</v>
      </c>
      <c r="D65" s="74" t="str">
        <f t="shared" si="1"/>
        <v>bossdb://lee2022/s05_l12m200um_fits06_050nm_4_/</v>
      </c>
      <c r="E65" s="24" t="s">
        <v>2</v>
      </c>
      <c r="F65" s="5" t="s">
        <v>1013</v>
      </c>
      <c r="G65" s="5" t="s">
        <v>865</v>
      </c>
      <c r="H65" s="24" t="s">
        <v>1491</v>
      </c>
      <c r="I65" s="24" t="s">
        <v>1559</v>
      </c>
      <c r="J65" s="24" t="s">
        <v>1492</v>
      </c>
      <c r="K65" s="24" t="s">
        <v>867</v>
      </c>
      <c r="L65" s="24" t="s">
        <v>853</v>
      </c>
      <c r="M65" s="24" t="s">
        <v>962</v>
      </c>
      <c r="N65" s="24" t="s">
        <v>0</v>
      </c>
      <c r="O65" s="24" t="s">
        <v>1556</v>
      </c>
      <c r="P65" s="24" t="s">
        <v>848</v>
      </c>
      <c r="Q65" s="24" t="s">
        <v>848</v>
      </c>
      <c r="R65" s="24">
        <v>3</v>
      </c>
      <c r="S65" s="24" t="s">
        <v>1494</v>
      </c>
      <c r="T65" s="24" t="s">
        <v>962</v>
      </c>
      <c r="U65" s="24" t="s">
        <v>856</v>
      </c>
      <c r="V65" s="32" t="s">
        <v>857</v>
      </c>
      <c r="W65" s="14" t="b">
        <v>1</v>
      </c>
      <c r="X65" s="5" t="s">
        <v>409</v>
      </c>
      <c r="Y65" s="28"/>
      <c r="Z65" s="5" t="s">
        <v>858</v>
      </c>
      <c r="AA65" s="5" t="s">
        <v>858</v>
      </c>
      <c r="AB65" s="24" t="s">
        <v>413</v>
      </c>
      <c r="AC65" s="14"/>
      <c r="AD65" s="14"/>
      <c r="AE65" s="14">
        <v>1</v>
      </c>
      <c r="AF65" s="14"/>
      <c r="AG65" s="14"/>
      <c r="AH65" s="14"/>
      <c r="AI65" s="14"/>
      <c r="AJ65" s="14"/>
      <c r="AK65" s="14"/>
      <c r="AL65" s="14"/>
      <c r="AM65" s="14"/>
      <c r="AN65" s="14"/>
      <c r="AO65" s="14"/>
      <c r="AP65" s="14"/>
      <c r="AQ65" s="14"/>
      <c r="AR65" s="14"/>
      <c r="AS65" s="14"/>
      <c r="AT65" s="14"/>
      <c r="AU65" s="14"/>
      <c r="AV65" s="14"/>
      <c r="AW65" s="14"/>
      <c r="AX65" s="14"/>
    </row>
    <row r="66" spans="1:50" ht="15.75" customHeight="1">
      <c r="A66" s="24" t="s">
        <v>70</v>
      </c>
      <c r="B66" s="25" t="str">
        <f t="shared" ref="B66:B129" si="2">A66</f>
        <v>s18_l5_110nm_2dist_</v>
      </c>
      <c r="C66" s="24" t="s">
        <v>1560</v>
      </c>
      <c r="D66" s="74" t="str">
        <f t="shared" ref="D66:D129" si="3">CONCATENATE("bossdb://lee2022/",A66,"/")</f>
        <v>bossdb://lee2022/s18_l5_110nm_2dist_/</v>
      </c>
      <c r="E66" s="24" t="s">
        <v>2</v>
      </c>
      <c r="F66" s="5" t="s">
        <v>1013</v>
      </c>
      <c r="G66" s="5" t="s">
        <v>865</v>
      </c>
      <c r="H66" s="24" t="s">
        <v>1491</v>
      </c>
      <c r="I66" s="24" t="s">
        <v>1560</v>
      </c>
      <c r="J66" s="24" t="s">
        <v>1492</v>
      </c>
      <c r="K66" s="24" t="s">
        <v>867</v>
      </c>
      <c r="L66" s="24" t="s">
        <v>853</v>
      </c>
      <c r="M66" s="24" t="s">
        <v>962</v>
      </c>
      <c r="N66" s="24" t="s">
        <v>0</v>
      </c>
      <c r="O66" s="24" t="s">
        <v>1557</v>
      </c>
      <c r="P66" s="24" t="s">
        <v>848</v>
      </c>
      <c r="Q66" s="24" t="s">
        <v>848</v>
      </c>
      <c r="R66" s="24">
        <v>3</v>
      </c>
      <c r="S66" s="24" t="s">
        <v>1494</v>
      </c>
      <c r="T66" s="24" t="s">
        <v>962</v>
      </c>
      <c r="U66" s="24" t="s">
        <v>856</v>
      </c>
      <c r="V66" s="32" t="s">
        <v>857</v>
      </c>
      <c r="W66" s="14" t="b">
        <v>1</v>
      </c>
      <c r="X66" s="5" t="s">
        <v>409</v>
      </c>
      <c r="Y66" s="28"/>
      <c r="Z66" s="5" t="s">
        <v>858</v>
      </c>
      <c r="AA66" s="5" t="s">
        <v>858</v>
      </c>
      <c r="AB66" s="24" t="s">
        <v>413</v>
      </c>
      <c r="AC66" s="14"/>
      <c r="AD66" s="14"/>
      <c r="AE66" s="14">
        <v>1</v>
      </c>
      <c r="AF66" s="14"/>
      <c r="AG66" s="14"/>
      <c r="AH66" s="14"/>
      <c r="AI66" s="14"/>
      <c r="AJ66" s="14"/>
      <c r="AK66" s="14"/>
      <c r="AL66" s="14"/>
      <c r="AM66" s="14"/>
      <c r="AN66" s="14"/>
      <c r="AO66" s="14"/>
      <c r="AP66" s="14"/>
      <c r="AQ66" s="14"/>
      <c r="AR66" s="14"/>
      <c r="AS66" s="14"/>
      <c r="AT66" s="14"/>
      <c r="AU66" s="14"/>
      <c r="AV66" s="14"/>
      <c r="AW66" s="14"/>
      <c r="AX66" s="14"/>
    </row>
    <row r="67" spans="1:50" ht="15.75" customHeight="1">
      <c r="A67" s="24" t="s">
        <v>71</v>
      </c>
      <c r="B67" s="25" t="str">
        <f t="shared" si="2"/>
        <v>s05_l12m200um_fits06_090nm_</v>
      </c>
      <c r="C67" s="24" t="s">
        <v>1561</v>
      </c>
      <c r="D67" s="74" t="str">
        <f t="shared" si="3"/>
        <v>bossdb://lee2022/s05_l12m200um_fits06_090nm_/</v>
      </c>
      <c r="E67" s="24" t="s">
        <v>2</v>
      </c>
      <c r="F67" s="5" t="s">
        <v>1013</v>
      </c>
      <c r="G67" s="5" t="s">
        <v>865</v>
      </c>
      <c r="H67" s="24" t="s">
        <v>1491</v>
      </c>
      <c r="I67" s="24" t="s">
        <v>1561</v>
      </c>
      <c r="J67" s="24" t="s">
        <v>1492</v>
      </c>
      <c r="K67" s="24" t="s">
        <v>867</v>
      </c>
      <c r="L67" s="24" t="s">
        <v>853</v>
      </c>
      <c r="M67" s="24" t="s">
        <v>962</v>
      </c>
      <c r="N67" s="24" t="s">
        <v>0</v>
      </c>
      <c r="O67" s="24" t="s">
        <v>1558</v>
      </c>
      <c r="P67" s="24" t="s">
        <v>848</v>
      </c>
      <c r="Q67" s="24" t="s">
        <v>848</v>
      </c>
      <c r="R67" s="24">
        <v>3</v>
      </c>
      <c r="S67" s="24" t="s">
        <v>1494</v>
      </c>
      <c r="T67" s="24" t="s">
        <v>962</v>
      </c>
      <c r="U67" s="24" t="s">
        <v>856</v>
      </c>
      <c r="V67" s="32" t="s">
        <v>857</v>
      </c>
      <c r="W67" s="14" t="b">
        <v>1</v>
      </c>
      <c r="X67" s="5" t="s">
        <v>409</v>
      </c>
      <c r="Y67" s="28"/>
      <c r="Z67" s="5" t="s">
        <v>858</v>
      </c>
      <c r="AA67" s="5" t="s">
        <v>858</v>
      </c>
      <c r="AB67" s="24" t="s">
        <v>413</v>
      </c>
      <c r="AC67" s="14"/>
      <c r="AD67" s="14"/>
      <c r="AE67" s="14">
        <v>1</v>
      </c>
      <c r="AF67" s="14"/>
      <c r="AG67" s="14"/>
      <c r="AH67" s="14"/>
      <c r="AI67" s="14"/>
      <c r="AJ67" s="14"/>
      <c r="AK67" s="14"/>
      <c r="AL67" s="14"/>
      <c r="AM67" s="14"/>
      <c r="AN67" s="14"/>
      <c r="AO67" s="14"/>
      <c r="AP67" s="14"/>
      <c r="AQ67" s="14"/>
      <c r="AR67" s="14"/>
      <c r="AS67" s="14"/>
      <c r="AT67" s="14"/>
      <c r="AU67" s="14"/>
      <c r="AV67" s="14"/>
      <c r="AW67" s="14"/>
      <c r="AX67" s="14"/>
    </row>
    <row r="68" spans="1:50" ht="15.75" customHeight="1">
      <c r="A68" s="24" t="s">
        <v>72</v>
      </c>
      <c r="B68" s="25" t="str">
        <f t="shared" si="2"/>
        <v>s18_l5_110nm_2dist_1_</v>
      </c>
      <c r="C68" s="24" t="s">
        <v>1562</v>
      </c>
      <c r="D68" s="74" t="str">
        <f t="shared" si="3"/>
        <v>bossdb://lee2022/s18_l5_110nm_2dist_1_/</v>
      </c>
      <c r="E68" s="24" t="s">
        <v>2</v>
      </c>
      <c r="F68" s="5" t="s">
        <v>1013</v>
      </c>
      <c r="G68" s="5" t="s">
        <v>865</v>
      </c>
      <c r="H68" s="24" t="s">
        <v>1491</v>
      </c>
      <c r="I68" s="24" t="s">
        <v>1562</v>
      </c>
      <c r="J68" s="24" t="s">
        <v>1492</v>
      </c>
      <c r="K68" s="24" t="s">
        <v>867</v>
      </c>
      <c r="L68" s="24" t="s">
        <v>853</v>
      </c>
      <c r="M68" s="24" t="s">
        <v>962</v>
      </c>
      <c r="N68" s="24" t="s">
        <v>0</v>
      </c>
      <c r="O68" s="24" t="s">
        <v>1559</v>
      </c>
      <c r="P68" s="24" t="s">
        <v>848</v>
      </c>
      <c r="Q68" s="24" t="s">
        <v>848</v>
      </c>
      <c r="R68" s="24">
        <v>3</v>
      </c>
      <c r="S68" s="24" t="s">
        <v>1494</v>
      </c>
      <c r="T68" s="24" t="s">
        <v>962</v>
      </c>
      <c r="U68" s="24" t="s">
        <v>856</v>
      </c>
      <c r="V68" s="32" t="s">
        <v>857</v>
      </c>
      <c r="W68" s="14" t="b">
        <v>1</v>
      </c>
      <c r="X68" s="5" t="s">
        <v>409</v>
      </c>
      <c r="Y68" s="28"/>
      <c r="Z68" s="5" t="s">
        <v>858</v>
      </c>
      <c r="AA68" s="5" t="s">
        <v>858</v>
      </c>
      <c r="AB68" s="24" t="s">
        <v>413</v>
      </c>
      <c r="AC68" s="14"/>
      <c r="AD68" s="14"/>
      <c r="AE68" s="14">
        <v>1</v>
      </c>
      <c r="AF68" s="14"/>
      <c r="AG68" s="14"/>
      <c r="AH68" s="14"/>
      <c r="AI68" s="14"/>
      <c r="AJ68" s="14"/>
      <c r="AK68" s="14"/>
      <c r="AL68" s="14"/>
      <c r="AM68" s="14"/>
      <c r="AN68" s="14"/>
      <c r="AO68" s="14"/>
      <c r="AP68" s="14"/>
      <c r="AQ68" s="14"/>
      <c r="AR68" s="14"/>
      <c r="AS68" s="14"/>
      <c r="AT68" s="14"/>
      <c r="AU68" s="14"/>
      <c r="AV68" s="14"/>
      <c r="AW68" s="14"/>
      <c r="AX68" s="14"/>
    </row>
    <row r="69" spans="1:50" ht="15.75" customHeight="1">
      <c r="A69" s="24" t="s">
        <v>73</v>
      </c>
      <c r="B69" s="25" t="str">
        <f t="shared" si="2"/>
        <v>s05_l12m200um_fits06_090nm_1_</v>
      </c>
      <c r="C69" s="24" t="s">
        <v>1563</v>
      </c>
      <c r="D69" s="74" t="str">
        <f t="shared" si="3"/>
        <v>bossdb://lee2022/s05_l12m200um_fits06_090nm_1_/</v>
      </c>
      <c r="E69" s="24" t="s">
        <v>2</v>
      </c>
      <c r="F69" s="5" t="s">
        <v>1013</v>
      </c>
      <c r="G69" s="5" t="s">
        <v>865</v>
      </c>
      <c r="H69" s="24" t="s">
        <v>1491</v>
      </c>
      <c r="I69" s="24" t="s">
        <v>1563</v>
      </c>
      <c r="J69" s="24" t="s">
        <v>1492</v>
      </c>
      <c r="K69" s="24" t="s">
        <v>867</v>
      </c>
      <c r="L69" s="24" t="s">
        <v>853</v>
      </c>
      <c r="M69" s="24" t="s">
        <v>962</v>
      </c>
      <c r="N69" s="24" t="s">
        <v>0</v>
      </c>
      <c r="O69" s="24" t="s">
        <v>1560</v>
      </c>
      <c r="P69" s="24" t="s">
        <v>848</v>
      </c>
      <c r="Q69" s="24" t="s">
        <v>848</v>
      </c>
      <c r="R69" s="24">
        <v>3</v>
      </c>
      <c r="S69" s="24" t="s">
        <v>1494</v>
      </c>
      <c r="T69" s="24" t="s">
        <v>962</v>
      </c>
      <c r="U69" s="24" t="s">
        <v>856</v>
      </c>
      <c r="V69" s="32" t="s">
        <v>857</v>
      </c>
      <c r="W69" s="14" t="b">
        <v>1</v>
      </c>
      <c r="X69" s="5" t="s">
        <v>409</v>
      </c>
      <c r="Y69" s="28"/>
      <c r="Z69" s="5" t="s">
        <v>858</v>
      </c>
      <c r="AA69" s="5" t="s">
        <v>858</v>
      </c>
      <c r="AB69" s="24" t="s">
        <v>413</v>
      </c>
      <c r="AC69" s="14"/>
      <c r="AD69" s="14"/>
      <c r="AE69" s="14">
        <v>1</v>
      </c>
      <c r="AF69" s="14"/>
      <c r="AG69" s="14"/>
      <c r="AH69" s="14"/>
      <c r="AI69" s="14"/>
      <c r="AJ69" s="14"/>
      <c r="AK69" s="14"/>
      <c r="AL69" s="14"/>
      <c r="AM69" s="14"/>
      <c r="AN69" s="14"/>
      <c r="AO69" s="14"/>
      <c r="AP69" s="14"/>
      <c r="AQ69" s="14"/>
      <c r="AR69" s="14"/>
      <c r="AS69" s="14"/>
      <c r="AT69" s="14"/>
      <c r="AU69" s="14"/>
      <c r="AV69" s="14"/>
      <c r="AW69" s="14"/>
      <c r="AX69" s="14"/>
    </row>
    <row r="70" spans="1:50" ht="15.75" customHeight="1">
      <c r="A70" s="24" t="s">
        <v>74</v>
      </c>
      <c r="B70" s="25" t="str">
        <f t="shared" si="2"/>
        <v>s18_l5_110nm_2dist_2_</v>
      </c>
      <c r="C70" s="24" t="s">
        <v>1564</v>
      </c>
      <c r="D70" s="74" t="str">
        <f t="shared" si="3"/>
        <v>bossdb://lee2022/s18_l5_110nm_2dist_2_/</v>
      </c>
      <c r="E70" s="24" t="s">
        <v>2</v>
      </c>
      <c r="F70" s="5" t="s">
        <v>1013</v>
      </c>
      <c r="G70" s="5" t="s">
        <v>865</v>
      </c>
      <c r="H70" s="24" t="s">
        <v>1491</v>
      </c>
      <c r="I70" s="24" t="s">
        <v>1564</v>
      </c>
      <c r="J70" s="24" t="s">
        <v>1492</v>
      </c>
      <c r="K70" s="24" t="s">
        <v>867</v>
      </c>
      <c r="L70" s="24" t="s">
        <v>853</v>
      </c>
      <c r="M70" s="24" t="s">
        <v>962</v>
      </c>
      <c r="N70" s="24" t="s">
        <v>0</v>
      </c>
      <c r="O70" s="24" t="s">
        <v>1561</v>
      </c>
      <c r="P70" s="24" t="s">
        <v>848</v>
      </c>
      <c r="Q70" s="24" t="s">
        <v>848</v>
      </c>
      <c r="R70" s="24">
        <v>3</v>
      </c>
      <c r="S70" s="24" t="s">
        <v>1494</v>
      </c>
      <c r="T70" s="24" t="s">
        <v>962</v>
      </c>
      <c r="U70" s="24" t="s">
        <v>856</v>
      </c>
      <c r="V70" s="32" t="s">
        <v>857</v>
      </c>
      <c r="W70" s="14" t="b">
        <v>1</v>
      </c>
      <c r="X70" s="5" t="s">
        <v>409</v>
      </c>
      <c r="Y70" s="28"/>
      <c r="Z70" s="5" t="s">
        <v>858</v>
      </c>
      <c r="AA70" s="5" t="s">
        <v>858</v>
      </c>
      <c r="AB70" s="24" t="s">
        <v>413</v>
      </c>
      <c r="AC70" s="14"/>
      <c r="AD70" s="14"/>
      <c r="AE70" s="14">
        <v>1</v>
      </c>
      <c r="AF70" s="14"/>
      <c r="AG70" s="14"/>
      <c r="AH70" s="14"/>
      <c r="AI70" s="14"/>
      <c r="AJ70" s="14"/>
      <c r="AK70" s="14"/>
      <c r="AL70" s="14"/>
      <c r="AM70" s="14"/>
      <c r="AN70" s="14"/>
      <c r="AO70" s="14"/>
      <c r="AP70" s="14"/>
      <c r="AQ70" s="14"/>
      <c r="AR70" s="14"/>
      <c r="AS70" s="14"/>
      <c r="AT70" s="14"/>
      <c r="AU70" s="14"/>
      <c r="AV70" s="14"/>
      <c r="AW70" s="14"/>
      <c r="AX70" s="14"/>
    </row>
    <row r="71" spans="1:50" ht="15.75" customHeight="1">
      <c r="A71" s="24" t="s">
        <v>75</v>
      </c>
      <c r="B71" s="25" t="str">
        <f t="shared" si="2"/>
        <v>s05_l12m200um_fits06_090nm_2_</v>
      </c>
      <c r="C71" s="24" t="s">
        <v>1565</v>
      </c>
      <c r="D71" s="74" t="str">
        <f t="shared" si="3"/>
        <v>bossdb://lee2022/s05_l12m200um_fits06_090nm_2_/</v>
      </c>
      <c r="E71" s="24" t="s">
        <v>2</v>
      </c>
      <c r="F71" s="5" t="s">
        <v>1013</v>
      </c>
      <c r="G71" s="5" t="s">
        <v>865</v>
      </c>
      <c r="H71" s="24" t="s">
        <v>1491</v>
      </c>
      <c r="I71" s="24" t="s">
        <v>1565</v>
      </c>
      <c r="J71" s="24" t="s">
        <v>1492</v>
      </c>
      <c r="K71" s="24" t="s">
        <v>867</v>
      </c>
      <c r="L71" s="24" t="s">
        <v>853</v>
      </c>
      <c r="M71" s="24" t="s">
        <v>962</v>
      </c>
      <c r="N71" s="24" t="s">
        <v>0</v>
      </c>
      <c r="O71" s="24" t="s">
        <v>1562</v>
      </c>
      <c r="P71" s="24" t="s">
        <v>848</v>
      </c>
      <c r="Q71" s="24" t="s">
        <v>848</v>
      </c>
      <c r="R71" s="24">
        <v>3</v>
      </c>
      <c r="S71" s="24" t="s">
        <v>1494</v>
      </c>
      <c r="T71" s="24" t="s">
        <v>962</v>
      </c>
      <c r="U71" s="24" t="s">
        <v>856</v>
      </c>
      <c r="V71" s="32" t="s">
        <v>857</v>
      </c>
      <c r="W71" s="14" t="b">
        <v>1</v>
      </c>
      <c r="X71" s="5" t="s">
        <v>409</v>
      </c>
      <c r="Y71" s="28"/>
      <c r="Z71" s="5" t="s">
        <v>858</v>
      </c>
      <c r="AA71" s="5" t="s">
        <v>858</v>
      </c>
      <c r="AB71" s="24" t="s">
        <v>413</v>
      </c>
      <c r="AC71" s="14"/>
      <c r="AD71" s="14"/>
      <c r="AE71" s="14">
        <v>1</v>
      </c>
      <c r="AF71" s="14"/>
      <c r="AG71" s="14"/>
      <c r="AH71" s="14"/>
      <c r="AI71" s="14"/>
      <c r="AJ71" s="14"/>
      <c r="AK71" s="14"/>
      <c r="AL71" s="14"/>
      <c r="AM71" s="14"/>
      <c r="AN71" s="14"/>
      <c r="AO71" s="14"/>
      <c r="AP71" s="14"/>
      <c r="AQ71" s="14"/>
      <c r="AR71" s="14"/>
      <c r="AS71" s="14"/>
      <c r="AT71" s="14"/>
      <c r="AU71" s="14"/>
      <c r="AV71" s="14"/>
      <c r="AW71" s="14"/>
      <c r="AX71" s="14"/>
    </row>
    <row r="72" spans="1:50" ht="15.75" customHeight="1">
      <c r="A72" s="24" t="s">
        <v>76</v>
      </c>
      <c r="B72" s="25" t="str">
        <f t="shared" si="2"/>
        <v>s05_l12m200um_fits06_090nm_3_</v>
      </c>
      <c r="C72" s="24" t="s">
        <v>1566</v>
      </c>
      <c r="D72" s="74" t="str">
        <f t="shared" si="3"/>
        <v>bossdb://lee2022/s05_l12m200um_fits06_090nm_3_/</v>
      </c>
      <c r="E72" s="24" t="s">
        <v>2</v>
      </c>
      <c r="F72" s="5" t="s">
        <v>1013</v>
      </c>
      <c r="G72" s="5" t="s">
        <v>865</v>
      </c>
      <c r="H72" s="24" t="s">
        <v>1491</v>
      </c>
      <c r="I72" s="24" t="s">
        <v>1566</v>
      </c>
      <c r="J72" s="24" t="s">
        <v>1492</v>
      </c>
      <c r="K72" s="24" t="s">
        <v>867</v>
      </c>
      <c r="L72" s="24" t="s">
        <v>853</v>
      </c>
      <c r="M72" s="24" t="s">
        <v>962</v>
      </c>
      <c r="N72" s="24" t="s">
        <v>0</v>
      </c>
      <c r="O72" s="24" t="s">
        <v>1563</v>
      </c>
      <c r="P72" s="24" t="s">
        <v>848</v>
      </c>
      <c r="Q72" s="24" t="s">
        <v>848</v>
      </c>
      <c r="R72" s="24">
        <v>3</v>
      </c>
      <c r="S72" s="24" t="s">
        <v>1494</v>
      </c>
      <c r="T72" s="24" t="s">
        <v>962</v>
      </c>
      <c r="U72" s="24" t="s">
        <v>856</v>
      </c>
      <c r="V72" s="32" t="s">
        <v>857</v>
      </c>
      <c r="W72" s="14" t="b">
        <v>1</v>
      </c>
      <c r="X72" s="5" t="s">
        <v>409</v>
      </c>
      <c r="Y72" s="28"/>
      <c r="Z72" s="5" t="s">
        <v>858</v>
      </c>
      <c r="AA72" s="5" t="s">
        <v>858</v>
      </c>
      <c r="AB72" s="24" t="s">
        <v>413</v>
      </c>
      <c r="AC72" s="14"/>
      <c r="AD72" s="14"/>
      <c r="AE72" s="14">
        <v>1</v>
      </c>
      <c r="AF72" s="14"/>
      <c r="AG72" s="14"/>
      <c r="AH72" s="14"/>
      <c r="AI72" s="14"/>
      <c r="AJ72" s="14"/>
      <c r="AK72" s="14"/>
      <c r="AL72" s="14"/>
      <c r="AM72" s="14"/>
      <c r="AN72" s="14"/>
      <c r="AO72" s="14"/>
      <c r="AP72" s="14"/>
      <c r="AQ72" s="14"/>
      <c r="AR72" s="14"/>
      <c r="AS72" s="14"/>
      <c r="AT72" s="14"/>
      <c r="AU72" s="14"/>
      <c r="AV72" s="14"/>
      <c r="AW72" s="14"/>
      <c r="AX72" s="14"/>
    </row>
    <row r="73" spans="1:50" ht="15.75" customHeight="1">
      <c r="A73" s="24" t="s">
        <v>77</v>
      </c>
      <c r="B73" s="25" t="str">
        <f t="shared" si="2"/>
        <v>s05_l4_bin2_080nm_</v>
      </c>
      <c r="C73" s="24" t="s">
        <v>1567</v>
      </c>
      <c r="D73" s="74" t="str">
        <f t="shared" si="3"/>
        <v>bossdb://lee2022/s05_l4_bin2_080nm_/</v>
      </c>
      <c r="E73" s="24" t="s">
        <v>2</v>
      </c>
      <c r="F73" s="5" t="s">
        <v>1013</v>
      </c>
      <c r="G73" s="5" t="s">
        <v>865</v>
      </c>
      <c r="H73" s="24" t="s">
        <v>1491</v>
      </c>
      <c r="I73" s="24" t="s">
        <v>1567</v>
      </c>
      <c r="J73" s="24" t="s">
        <v>1492</v>
      </c>
      <c r="K73" s="24" t="s">
        <v>867</v>
      </c>
      <c r="L73" s="24" t="s">
        <v>853</v>
      </c>
      <c r="M73" s="24" t="s">
        <v>962</v>
      </c>
      <c r="N73" s="24" t="s">
        <v>0</v>
      </c>
      <c r="O73" s="24" t="s">
        <v>1564</v>
      </c>
      <c r="P73" s="24" t="s">
        <v>848</v>
      </c>
      <c r="Q73" s="24" t="s">
        <v>848</v>
      </c>
      <c r="R73" s="24">
        <v>3</v>
      </c>
      <c r="S73" s="24" t="s">
        <v>1494</v>
      </c>
      <c r="T73" s="24" t="s">
        <v>962</v>
      </c>
      <c r="U73" s="24" t="s">
        <v>856</v>
      </c>
      <c r="V73" s="32" t="s">
        <v>857</v>
      </c>
      <c r="W73" s="14" t="b">
        <v>1</v>
      </c>
      <c r="X73" s="5" t="s">
        <v>409</v>
      </c>
      <c r="Y73" s="28"/>
      <c r="Z73" s="5" t="s">
        <v>858</v>
      </c>
      <c r="AA73" s="5" t="s">
        <v>858</v>
      </c>
      <c r="AB73" s="24" t="s">
        <v>413</v>
      </c>
      <c r="AC73" s="14"/>
      <c r="AD73" s="14"/>
      <c r="AE73" s="14">
        <v>1</v>
      </c>
      <c r="AF73" s="14"/>
      <c r="AG73" s="14"/>
      <c r="AH73" s="14"/>
      <c r="AI73" s="14"/>
      <c r="AJ73" s="14"/>
      <c r="AK73" s="14"/>
      <c r="AL73" s="14"/>
      <c r="AM73" s="14"/>
      <c r="AN73" s="14"/>
      <c r="AO73" s="14"/>
      <c r="AP73" s="14"/>
      <c r="AQ73" s="14"/>
      <c r="AR73" s="14"/>
      <c r="AS73" s="14"/>
      <c r="AT73" s="14"/>
      <c r="AU73" s="14"/>
      <c r="AV73" s="14"/>
      <c r="AW73" s="14"/>
      <c r="AX73" s="14"/>
    </row>
    <row r="74" spans="1:50" ht="15.75" customHeight="1">
      <c r="A74" s="24" t="s">
        <v>78</v>
      </c>
      <c r="B74" s="25" t="str">
        <f t="shared" si="2"/>
        <v>s05_l12m200um_fits06_090nm_4_</v>
      </c>
      <c r="C74" s="24" t="s">
        <v>1568</v>
      </c>
      <c r="D74" s="74" t="str">
        <f t="shared" si="3"/>
        <v>bossdb://lee2022/s05_l12m200um_fits06_090nm_4_/</v>
      </c>
      <c r="E74" s="24" t="s">
        <v>2</v>
      </c>
      <c r="F74" s="5" t="s">
        <v>1013</v>
      </c>
      <c r="G74" s="5" t="s">
        <v>865</v>
      </c>
      <c r="H74" s="24" t="s">
        <v>1491</v>
      </c>
      <c r="I74" s="24" t="s">
        <v>1568</v>
      </c>
      <c r="J74" s="24" t="s">
        <v>1492</v>
      </c>
      <c r="K74" s="24" t="s">
        <v>867</v>
      </c>
      <c r="L74" s="24" t="s">
        <v>853</v>
      </c>
      <c r="M74" s="24" t="s">
        <v>962</v>
      </c>
      <c r="N74" s="24" t="s">
        <v>0</v>
      </c>
      <c r="O74" s="24" t="s">
        <v>1565</v>
      </c>
      <c r="P74" s="24" t="s">
        <v>848</v>
      </c>
      <c r="Q74" s="24" t="s">
        <v>848</v>
      </c>
      <c r="R74" s="24">
        <v>3</v>
      </c>
      <c r="S74" s="24" t="s">
        <v>1494</v>
      </c>
      <c r="T74" s="24" t="s">
        <v>962</v>
      </c>
      <c r="U74" s="24" t="s">
        <v>856</v>
      </c>
      <c r="V74" s="32" t="s">
        <v>857</v>
      </c>
      <c r="W74" s="14" t="b">
        <v>1</v>
      </c>
      <c r="X74" s="5" t="s">
        <v>409</v>
      </c>
      <c r="Y74" s="28"/>
      <c r="Z74" s="5" t="s">
        <v>858</v>
      </c>
      <c r="AA74" s="5" t="s">
        <v>858</v>
      </c>
      <c r="AB74" s="24" t="s">
        <v>413</v>
      </c>
      <c r="AC74" s="14"/>
      <c r="AD74" s="14"/>
      <c r="AE74" s="14">
        <v>1</v>
      </c>
      <c r="AF74" s="14"/>
      <c r="AG74" s="14"/>
      <c r="AH74" s="14"/>
      <c r="AI74" s="14"/>
      <c r="AJ74" s="14"/>
      <c r="AK74" s="14"/>
      <c r="AL74" s="14"/>
      <c r="AM74" s="14"/>
      <c r="AN74" s="14"/>
      <c r="AO74" s="14"/>
      <c r="AP74" s="14"/>
      <c r="AQ74" s="14"/>
      <c r="AR74" s="14"/>
      <c r="AS74" s="14"/>
      <c r="AT74" s="14"/>
      <c r="AU74" s="14"/>
      <c r="AV74" s="14"/>
      <c r="AW74" s="14"/>
      <c r="AX74" s="14"/>
    </row>
    <row r="75" spans="1:50" ht="15.75" customHeight="1">
      <c r="A75" s="24" t="s">
        <v>79</v>
      </c>
      <c r="B75" s="25" t="str">
        <f t="shared" si="2"/>
        <v>s05_l4_bin2_080nm_1_</v>
      </c>
      <c r="C75" s="24" t="s">
        <v>1569</v>
      </c>
      <c r="D75" s="74" t="str">
        <f t="shared" si="3"/>
        <v>bossdb://lee2022/s05_l4_bin2_080nm_1_/</v>
      </c>
      <c r="E75" s="24" t="s">
        <v>2</v>
      </c>
      <c r="F75" s="5" t="s">
        <v>1013</v>
      </c>
      <c r="G75" s="5" t="s">
        <v>865</v>
      </c>
      <c r="H75" s="24" t="s">
        <v>1491</v>
      </c>
      <c r="I75" s="24" t="s">
        <v>1569</v>
      </c>
      <c r="J75" s="24" t="s">
        <v>1492</v>
      </c>
      <c r="K75" s="24" t="s">
        <v>867</v>
      </c>
      <c r="L75" s="24" t="s">
        <v>853</v>
      </c>
      <c r="M75" s="24" t="s">
        <v>962</v>
      </c>
      <c r="N75" s="24" t="s">
        <v>0</v>
      </c>
      <c r="O75" s="24" t="s">
        <v>1566</v>
      </c>
      <c r="P75" s="24" t="s">
        <v>848</v>
      </c>
      <c r="Q75" s="24" t="s">
        <v>848</v>
      </c>
      <c r="R75" s="24">
        <v>3</v>
      </c>
      <c r="S75" s="24" t="s">
        <v>1494</v>
      </c>
      <c r="T75" s="24" t="s">
        <v>962</v>
      </c>
      <c r="U75" s="24" t="s">
        <v>856</v>
      </c>
      <c r="V75" s="32" t="s">
        <v>857</v>
      </c>
      <c r="W75" s="14" t="b">
        <v>1</v>
      </c>
      <c r="X75" s="5" t="s">
        <v>409</v>
      </c>
      <c r="Y75" s="28"/>
      <c r="Z75" s="5" t="s">
        <v>858</v>
      </c>
      <c r="AA75" s="5" t="s">
        <v>858</v>
      </c>
      <c r="AB75" s="24" t="s">
        <v>413</v>
      </c>
      <c r="AC75" s="14"/>
      <c r="AD75" s="14"/>
      <c r="AE75" s="14">
        <v>1</v>
      </c>
      <c r="AF75" s="14"/>
      <c r="AG75" s="14"/>
      <c r="AH75" s="14"/>
      <c r="AI75" s="14"/>
      <c r="AJ75" s="14"/>
      <c r="AK75" s="14"/>
      <c r="AL75" s="14"/>
      <c r="AM75" s="14"/>
      <c r="AN75" s="14"/>
      <c r="AO75" s="14"/>
      <c r="AP75" s="14"/>
      <c r="AQ75" s="14"/>
      <c r="AR75" s="14"/>
      <c r="AS75" s="14"/>
      <c r="AT75" s="14"/>
      <c r="AU75" s="14"/>
      <c r="AV75" s="14"/>
      <c r="AW75" s="14"/>
      <c r="AX75" s="14"/>
    </row>
    <row r="76" spans="1:50" ht="15.75" customHeight="1">
      <c r="A76" s="24" t="s">
        <v>80</v>
      </c>
      <c r="B76" s="25" t="str">
        <f t="shared" si="2"/>
        <v>s05_l4_bin2_080nm_2_</v>
      </c>
      <c r="C76" s="24" t="s">
        <v>1570</v>
      </c>
      <c r="D76" s="74" t="str">
        <f t="shared" si="3"/>
        <v>bossdb://lee2022/s05_l4_bin2_080nm_2_/</v>
      </c>
      <c r="E76" s="24" t="s">
        <v>2</v>
      </c>
      <c r="F76" s="5" t="s">
        <v>1013</v>
      </c>
      <c r="G76" s="5" t="s">
        <v>865</v>
      </c>
      <c r="H76" s="24" t="s">
        <v>1491</v>
      </c>
      <c r="I76" s="24" t="s">
        <v>1570</v>
      </c>
      <c r="J76" s="24" t="s">
        <v>1492</v>
      </c>
      <c r="K76" s="24" t="s">
        <v>867</v>
      </c>
      <c r="L76" s="24" t="s">
        <v>853</v>
      </c>
      <c r="M76" s="24" t="s">
        <v>962</v>
      </c>
      <c r="N76" s="24" t="s">
        <v>0</v>
      </c>
      <c r="O76" s="24" t="s">
        <v>1567</v>
      </c>
      <c r="P76" s="24" t="s">
        <v>848</v>
      </c>
      <c r="Q76" s="24" t="s">
        <v>848</v>
      </c>
      <c r="R76" s="24">
        <v>3</v>
      </c>
      <c r="S76" s="24" t="s">
        <v>1494</v>
      </c>
      <c r="T76" s="24" t="s">
        <v>962</v>
      </c>
      <c r="U76" s="24" t="s">
        <v>856</v>
      </c>
      <c r="V76" s="32" t="s">
        <v>857</v>
      </c>
      <c r="W76" s="14" t="b">
        <v>1</v>
      </c>
      <c r="X76" s="5" t="s">
        <v>409</v>
      </c>
      <c r="Y76" s="28"/>
      <c r="Z76" s="5" t="s">
        <v>858</v>
      </c>
      <c r="AA76" s="5" t="s">
        <v>858</v>
      </c>
      <c r="AB76" s="24" t="s">
        <v>413</v>
      </c>
      <c r="AC76" s="14"/>
      <c r="AD76" s="14"/>
      <c r="AE76" s="14">
        <v>1</v>
      </c>
      <c r="AF76" s="14"/>
      <c r="AG76" s="14"/>
      <c r="AH76" s="14"/>
      <c r="AI76" s="14"/>
      <c r="AJ76" s="14"/>
      <c r="AK76" s="14"/>
      <c r="AL76" s="14"/>
      <c r="AM76" s="14"/>
      <c r="AN76" s="14"/>
      <c r="AO76" s="14"/>
      <c r="AP76" s="14"/>
      <c r="AQ76" s="14"/>
      <c r="AR76" s="14"/>
      <c r="AS76" s="14"/>
      <c r="AT76" s="14"/>
      <c r="AU76" s="14"/>
      <c r="AV76" s="14"/>
      <c r="AW76" s="14"/>
      <c r="AX76" s="14"/>
    </row>
    <row r="77" spans="1:50" ht="15.75" customHeight="1">
      <c r="A77" s="24" t="s">
        <v>81</v>
      </c>
      <c r="B77" s="25" t="str">
        <f t="shared" si="2"/>
        <v>s05_l4_bin2_080nm_3_</v>
      </c>
      <c r="C77" s="24" t="s">
        <v>1571</v>
      </c>
      <c r="D77" s="74" t="str">
        <f t="shared" si="3"/>
        <v>bossdb://lee2022/s05_l4_bin2_080nm_3_/</v>
      </c>
      <c r="E77" s="24" t="s">
        <v>2</v>
      </c>
      <c r="F77" s="5" t="s">
        <v>1013</v>
      </c>
      <c r="G77" s="5" t="s">
        <v>865</v>
      </c>
      <c r="H77" s="24" t="s">
        <v>1491</v>
      </c>
      <c r="I77" s="24" t="s">
        <v>1571</v>
      </c>
      <c r="J77" s="24" t="s">
        <v>1492</v>
      </c>
      <c r="K77" s="24" t="s">
        <v>867</v>
      </c>
      <c r="L77" s="24" t="s">
        <v>853</v>
      </c>
      <c r="M77" s="24" t="s">
        <v>962</v>
      </c>
      <c r="N77" s="24" t="s">
        <v>0</v>
      </c>
      <c r="O77" s="24" t="s">
        <v>1568</v>
      </c>
      <c r="P77" s="24" t="s">
        <v>848</v>
      </c>
      <c r="Q77" s="24" t="s">
        <v>848</v>
      </c>
      <c r="R77" s="24">
        <v>3</v>
      </c>
      <c r="S77" s="24" t="s">
        <v>1494</v>
      </c>
      <c r="T77" s="24" t="s">
        <v>962</v>
      </c>
      <c r="U77" s="24" t="s">
        <v>856</v>
      </c>
      <c r="V77" s="32" t="s">
        <v>857</v>
      </c>
      <c r="W77" s="14" t="b">
        <v>1</v>
      </c>
      <c r="X77" s="5" t="s">
        <v>409</v>
      </c>
      <c r="Y77" s="28"/>
      <c r="Z77" s="5" t="s">
        <v>858</v>
      </c>
      <c r="AA77" s="5" t="s">
        <v>858</v>
      </c>
      <c r="AB77" s="24" t="s">
        <v>413</v>
      </c>
      <c r="AC77" s="14"/>
      <c r="AD77" s="14"/>
      <c r="AE77" s="14">
        <v>1</v>
      </c>
      <c r="AF77" s="14"/>
      <c r="AG77" s="14"/>
      <c r="AH77" s="14"/>
      <c r="AI77" s="14"/>
      <c r="AJ77" s="14"/>
      <c r="AK77" s="14"/>
      <c r="AL77" s="14"/>
      <c r="AM77" s="14"/>
      <c r="AN77" s="14"/>
      <c r="AO77" s="14"/>
      <c r="AP77" s="14"/>
      <c r="AQ77" s="14"/>
      <c r="AR77" s="14"/>
      <c r="AS77" s="14"/>
      <c r="AT77" s="14"/>
      <c r="AU77" s="14"/>
      <c r="AV77" s="14"/>
      <c r="AW77" s="14"/>
      <c r="AX77" s="14"/>
    </row>
    <row r="78" spans="1:50" ht="15.75" customHeight="1">
      <c r="A78" s="24" t="s">
        <v>82</v>
      </c>
      <c r="B78" s="25" t="str">
        <f t="shared" si="2"/>
        <v>C2C_100nm_tile1_</v>
      </c>
      <c r="C78" s="24" t="s">
        <v>1572</v>
      </c>
      <c r="D78" s="74" t="str">
        <f t="shared" si="3"/>
        <v>bossdb://lee2022/C2C_100nm_tile1_/</v>
      </c>
      <c r="E78" s="24" t="s">
        <v>2</v>
      </c>
      <c r="F78" s="5" t="s">
        <v>1013</v>
      </c>
      <c r="G78" s="5" t="s">
        <v>865</v>
      </c>
      <c r="H78" s="24" t="s">
        <v>1491</v>
      </c>
      <c r="I78" s="24" t="s">
        <v>1572</v>
      </c>
      <c r="J78" s="24" t="s">
        <v>1492</v>
      </c>
      <c r="K78" s="24" t="s">
        <v>867</v>
      </c>
      <c r="L78" s="24" t="s">
        <v>853</v>
      </c>
      <c r="M78" s="24" t="s">
        <v>962</v>
      </c>
      <c r="N78" s="24" t="s">
        <v>0</v>
      </c>
      <c r="O78" s="24" t="s">
        <v>1569</v>
      </c>
      <c r="P78" s="24" t="s">
        <v>848</v>
      </c>
      <c r="Q78" s="24" t="s">
        <v>848</v>
      </c>
      <c r="R78" s="24">
        <v>3</v>
      </c>
      <c r="S78" s="24" t="s">
        <v>1494</v>
      </c>
      <c r="T78" s="24" t="s">
        <v>962</v>
      </c>
      <c r="U78" s="24" t="s">
        <v>856</v>
      </c>
      <c r="V78" s="32" t="s">
        <v>857</v>
      </c>
      <c r="W78" s="14" t="b">
        <v>1</v>
      </c>
      <c r="X78" s="5" t="s">
        <v>409</v>
      </c>
      <c r="Y78" s="28"/>
      <c r="Z78" s="5" t="s">
        <v>858</v>
      </c>
      <c r="AA78" s="5" t="s">
        <v>858</v>
      </c>
      <c r="AB78" s="24" t="s">
        <v>413</v>
      </c>
      <c r="AC78" s="14"/>
      <c r="AD78" s="14"/>
      <c r="AE78" s="14">
        <v>1</v>
      </c>
      <c r="AF78" s="14"/>
      <c r="AG78" s="14"/>
      <c r="AH78" s="14"/>
      <c r="AI78" s="14"/>
      <c r="AJ78" s="14"/>
      <c r="AK78" s="14"/>
      <c r="AL78" s="14"/>
      <c r="AM78" s="14"/>
      <c r="AN78" s="14"/>
      <c r="AO78" s="14"/>
      <c r="AP78" s="14"/>
      <c r="AQ78" s="14"/>
      <c r="AR78" s="14"/>
      <c r="AS78" s="14"/>
      <c r="AT78" s="14"/>
      <c r="AU78" s="14"/>
      <c r="AV78" s="14"/>
      <c r="AW78" s="14"/>
      <c r="AX78" s="14"/>
    </row>
    <row r="79" spans="1:50" ht="15.75" customHeight="1">
      <c r="A79" s="24" t="s">
        <v>84</v>
      </c>
      <c r="B79" s="25" t="str">
        <f t="shared" si="2"/>
        <v>C2C_100nm_tile1_1_</v>
      </c>
      <c r="C79" s="24" t="s">
        <v>1573</v>
      </c>
      <c r="D79" s="74" t="str">
        <f t="shared" si="3"/>
        <v>bossdb://lee2022/C2C_100nm_tile1_1_/</v>
      </c>
      <c r="E79" s="24" t="s">
        <v>2</v>
      </c>
      <c r="F79" s="5" t="s">
        <v>1013</v>
      </c>
      <c r="G79" s="5" t="s">
        <v>865</v>
      </c>
      <c r="H79" s="24" t="s">
        <v>1491</v>
      </c>
      <c r="I79" s="24" t="s">
        <v>1573</v>
      </c>
      <c r="J79" s="24" t="s">
        <v>1492</v>
      </c>
      <c r="K79" s="24" t="s">
        <v>867</v>
      </c>
      <c r="L79" s="24" t="s">
        <v>853</v>
      </c>
      <c r="M79" s="24" t="s">
        <v>962</v>
      </c>
      <c r="N79" s="24" t="s">
        <v>0</v>
      </c>
      <c r="O79" s="24" t="s">
        <v>1570</v>
      </c>
      <c r="P79" s="24" t="s">
        <v>848</v>
      </c>
      <c r="Q79" s="24" t="s">
        <v>848</v>
      </c>
      <c r="R79" s="24">
        <v>3</v>
      </c>
      <c r="S79" s="24" t="s">
        <v>1494</v>
      </c>
      <c r="T79" s="24" t="s">
        <v>962</v>
      </c>
      <c r="U79" s="24" t="s">
        <v>856</v>
      </c>
      <c r="V79" s="32" t="s">
        <v>857</v>
      </c>
      <c r="W79" s="14" t="b">
        <v>1</v>
      </c>
      <c r="X79" s="5" t="s">
        <v>409</v>
      </c>
      <c r="Y79" s="28"/>
      <c r="Z79" s="5" t="s">
        <v>858</v>
      </c>
      <c r="AA79" s="5" t="s">
        <v>858</v>
      </c>
      <c r="AB79" s="24" t="s">
        <v>413</v>
      </c>
      <c r="AC79" s="14"/>
      <c r="AD79" s="14"/>
      <c r="AE79" s="14">
        <v>1</v>
      </c>
      <c r="AF79" s="14"/>
      <c r="AG79" s="14"/>
      <c r="AH79" s="14"/>
      <c r="AI79" s="14"/>
      <c r="AJ79" s="14"/>
      <c r="AK79" s="14"/>
      <c r="AL79" s="14"/>
      <c r="AM79" s="14"/>
      <c r="AN79" s="14"/>
      <c r="AO79" s="14"/>
      <c r="AP79" s="14"/>
      <c r="AQ79" s="14"/>
      <c r="AR79" s="14"/>
      <c r="AS79" s="14"/>
      <c r="AT79" s="14"/>
      <c r="AU79" s="14"/>
      <c r="AV79" s="14"/>
      <c r="AW79" s="14"/>
      <c r="AX79" s="14"/>
    </row>
    <row r="80" spans="1:50" ht="15.75" customHeight="1">
      <c r="A80" s="24" t="s">
        <v>86</v>
      </c>
      <c r="B80" s="25" t="str">
        <f t="shared" si="2"/>
        <v>C2C_100nm_tile1_2_</v>
      </c>
      <c r="C80" s="24" t="s">
        <v>1574</v>
      </c>
      <c r="D80" s="74" t="str">
        <f t="shared" si="3"/>
        <v>bossdb://lee2022/C2C_100nm_tile1_2_/</v>
      </c>
      <c r="E80" s="24" t="s">
        <v>2</v>
      </c>
      <c r="F80" s="5" t="s">
        <v>1013</v>
      </c>
      <c r="G80" s="5" t="s">
        <v>865</v>
      </c>
      <c r="H80" s="24" t="s">
        <v>1491</v>
      </c>
      <c r="I80" s="24" t="s">
        <v>1574</v>
      </c>
      <c r="J80" s="24" t="s">
        <v>1492</v>
      </c>
      <c r="K80" s="24" t="s">
        <v>867</v>
      </c>
      <c r="L80" s="24" t="s">
        <v>853</v>
      </c>
      <c r="M80" s="24" t="s">
        <v>962</v>
      </c>
      <c r="N80" s="24" t="s">
        <v>0</v>
      </c>
      <c r="O80" s="24" t="s">
        <v>1571</v>
      </c>
      <c r="P80" s="24" t="s">
        <v>848</v>
      </c>
      <c r="Q80" s="24" t="s">
        <v>848</v>
      </c>
      <c r="R80" s="24">
        <v>3</v>
      </c>
      <c r="S80" s="24" t="s">
        <v>1494</v>
      </c>
      <c r="T80" s="24" t="s">
        <v>962</v>
      </c>
      <c r="U80" s="24" t="s">
        <v>856</v>
      </c>
      <c r="V80" s="32" t="s">
        <v>857</v>
      </c>
      <c r="W80" s="14" t="b">
        <v>1</v>
      </c>
      <c r="X80" s="5" t="s">
        <v>409</v>
      </c>
      <c r="Y80" s="28"/>
      <c r="Z80" s="5" t="s">
        <v>858</v>
      </c>
      <c r="AA80" s="5" t="s">
        <v>858</v>
      </c>
      <c r="AB80" s="24" t="s">
        <v>413</v>
      </c>
      <c r="AC80" s="14"/>
      <c r="AD80" s="14"/>
      <c r="AE80" s="14">
        <v>1</v>
      </c>
      <c r="AF80" s="14"/>
      <c r="AG80" s="14"/>
      <c r="AH80" s="14"/>
      <c r="AI80" s="14"/>
      <c r="AJ80" s="14"/>
      <c r="AK80" s="14"/>
      <c r="AL80" s="14"/>
      <c r="AM80" s="14"/>
      <c r="AN80" s="14"/>
      <c r="AO80" s="14"/>
      <c r="AP80" s="14"/>
      <c r="AQ80" s="14"/>
      <c r="AR80" s="14"/>
      <c r="AS80" s="14"/>
      <c r="AT80" s="14"/>
      <c r="AU80" s="14"/>
      <c r="AV80" s="14"/>
      <c r="AW80" s="14"/>
      <c r="AX80" s="14"/>
    </row>
    <row r="81" spans="1:50" ht="15.75" customHeight="1">
      <c r="A81" s="24" t="s">
        <v>88</v>
      </c>
      <c r="B81" s="25" t="str">
        <f t="shared" si="2"/>
        <v>C2C_100nm_tile1_3_</v>
      </c>
      <c r="C81" s="24" t="s">
        <v>1575</v>
      </c>
      <c r="D81" s="74" t="str">
        <f t="shared" si="3"/>
        <v>bossdb://lee2022/C2C_100nm_tile1_3_/</v>
      </c>
      <c r="E81" s="24" t="s">
        <v>2</v>
      </c>
      <c r="F81" s="5" t="s">
        <v>1013</v>
      </c>
      <c r="G81" s="5" t="s">
        <v>865</v>
      </c>
      <c r="H81" s="24" t="s">
        <v>1491</v>
      </c>
      <c r="I81" s="24" t="s">
        <v>1575</v>
      </c>
      <c r="J81" s="24" t="s">
        <v>1492</v>
      </c>
      <c r="K81" s="24" t="s">
        <v>867</v>
      </c>
      <c r="L81" s="24" t="s">
        <v>853</v>
      </c>
      <c r="M81" s="24" t="s">
        <v>962</v>
      </c>
      <c r="N81" s="24" t="s">
        <v>0</v>
      </c>
      <c r="O81" s="24" t="s">
        <v>1572</v>
      </c>
      <c r="P81" s="24" t="s">
        <v>848</v>
      </c>
      <c r="Q81" s="24" t="s">
        <v>848</v>
      </c>
      <c r="R81" s="24">
        <v>3</v>
      </c>
      <c r="S81" s="24" t="s">
        <v>1494</v>
      </c>
      <c r="T81" s="24" t="s">
        <v>962</v>
      </c>
      <c r="U81" s="24" t="s">
        <v>856</v>
      </c>
      <c r="V81" s="32" t="s">
        <v>857</v>
      </c>
      <c r="W81" s="14" t="b">
        <v>1</v>
      </c>
      <c r="X81" s="5" t="s">
        <v>409</v>
      </c>
      <c r="Y81" s="28"/>
      <c r="Z81" s="5" t="s">
        <v>858</v>
      </c>
      <c r="AA81" s="5" t="s">
        <v>858</v>
      </c>
      <c r="AB81" s="24" t="s">
        <v>413</v>
      </c>
      <c r="AC81" s="14"/>
      <c r="AD81" s="14"/>
      <c r="AE81" s="14">
        <v>1</v>
      </c>
      <c r="AF81" s="14"/>
      <c r="AG81" s="14"/>
      <c r="AH81" s="14"/>
      <c r="AI81" s="14"/>
      <c r="AJ81" s="14"/>
      <c r="AK81" s="14"/>
      <c r="AL81" s="14"/>
      <c r="AM81" s="14"/>
      <c r="AN81" s="14"/>
      <c r="AO81" s="14"/>
      <c r="AP81" s="14"/>
      <c r="AQ81" s="14"/>
      <c r="AR81" s="14"/>
      <c r="AS81" s="14"/>
      <c r="AT81" s="14"/>
      <c r="AU81" s="14"/>
      <c r="AV81" s="14"/>
      <c r="AW81" s="14"/>
      <c r="AX81" s="14"/>
    </row>
    <row r="82" spans="1:50" ht="15.75" customHeight="1">
      <c r="A82" s="24" t="s">
        <v>90</v>
      </c>
      <c r="B82" s="25" t="str">
        <f t="shared" si="2"/>
        <v>C2C_100nm_tile1_4_</v>
      </c>
      <c r="C82" s="24" t="s">
        <v>1576</v>
      </c>
      <c r="D82" s="74" t="str">
        <f t="shared" si="3"/>
        <v>bossdb://lee2022/C2C_100nm_tile1_4_/</v>
      </c>
      <c r="E82" s="24" t="s">
        <v>2</v>
      </c>
      <c r="F82" s="5" t="s">
        <v>1013</v>
      </c>
      <c r="G82" s="5" t="s">
        <v>865</v>
      </c>
      <c r="H82" s="24" t="s">
        <v>1491</v>
      </c>
      <c r="I82" s="24" t="s">
        <v>1576</v>
      </c>
      <c r="J82" s="24" t="s">
        <v>1492</v>
      </c>
      <c r="K82" s="24" t="s">
        <v>867</v>
      </c>
      <c r="L82" s="24" t="s">
        <v>853</v>
      </c>
      <c r="M82" s="24" t="s">
        <v>962</v>
      </c>
      <c r="N82" s="24" t="s">
        <v>0</v>
      </c>
      <c r="O82" s="24" t="s">
        <v>1573</v>
      </c>
      <c r="P82" s="24" t="s">
        <v>848</v>
      </c>
      <c r="Q82" s="24" t="s">
        <v>848</v>
      </c>
      <c r="R82" s="24">
        <v>3</v>
      </c>
      <c r="S82" s="24" t="s">
        <v>1494</v>
      </c>
      <c r="T82" s="24" t="s">
        <v>962</v>
      </c>
      <c r="U82" s="24" t="s">
        <v>856</v>
      </c>
      <c r="V82" s="32" t="s">
        <v>857</v>
      </c>
      <c r="W82" s="14" t="b">
        <v>1</v>
      </c>
      <c r="X82" s="5" t="s">
        <v>409</v>
      </c>
      <c r="Y82" s="28"/>
      <c r="Z82" s="5" t="s">
        <v>858</v>
      </c>
      <c r="AA82" s="5" t="s">
        <v>858</v>
      </c>
      <c r="AB82" s="24" t="s">
        <v>413</v>
      </c>
      <c r="AC82" s="14"/>
      <c r="AD82" s="14"/>
      <c r="AE82" s="14">
        <v>1</v>
      </c>
      <c r="AF82" s="14"/>
      <c r="AG82" s="14"/>
      <c r="AH82" s="14"/>
      <c r="AI82" s="14"/>
      <c r="AJ82" s="14"/>
      <c r="AK82" s="14"/>
      <c r="AL82" s="14"/>
      <c r="AM82" s="14"/>
      <c r="AN82" s="14"/>
      <c r="AO82" s="14"/>
      <c r="AP82" s="14"/>
      <c r="AQ82" s="14"/>
      <c r="AR82" s="14"/>
      <c r="AS82" s="14"/>
      <c r="AT82" s="14"/>
      <c r="AU82" s="14"/>
      <c r="AV82" s="14"/>
      <c r="AW82" s="14"/>
      <c r="AX82" s="14"/>
    </row>
    <row r="83" spans="1:50" ht="15.75" customHeight="1">
      <c r="A83" s="24" t="s">
        <v>92</v>
      </c>
      <c r="B83" s="25" t="str">
        <f t="shared" si="2"/>
        <v>C2C_100nm_tile2_</v>
      </c>
      <c r="C83" s="24" t="s">
        <v>1577</v>
      </c>
      <c r="D83" s="74" t="str">
        <f t="shared" si="3"/>
        <v>bossdb://lee2022/C2C_100nm_tile2_/</v>
      </c>
      <c r="E83" s="24" t="s">
        <v>2</v>
      </c>
      <c r="F83" s="5" t="s">
        <v>1013</v>
      </c>
      <c r="G83" s="5" t="s">
        <v>865</v>
      </c>
      <c r="H83" s="24" t="s">
        <v>1491</v>
      </c>
      <c r="I83" s="24" t="s">
        <v>1577</v>
      </c>
      <c r="J83" s="24" t="s">
        <v>1492</v>
      </c>
      <c r="K83" s="24" t="s">
        <v>867</v>
      </c>
      <c r="L83" s="24" t="s">
        <v>853</v>
      </c>
      <c r="M83" s="24" t="s">
        <v>962</v>
      </c>
      <c r="N83" s="24" t="s">
        <v>0</v>
      </c>
      <c r="O83" s="24" t="s">
        <v>1574</v>
      </c>
      <c r="P83" s="24" t="s">
        <v>848</v>
      </c>
      <c r="Q83" s="24" t="s">
        <v>848</v>
      </c>
      <c r="R83" s="24">
        <v>3</v>
      </c>
      <c r="S83" s="24" t="s">
        <v>1494</v>
      </c>
      <c r="T83" s="24" t="s">
        <v>962</v>
      </c>
      <c r="U83" s="24" t="s">
        <v>856</v>
      </c>
      <c r="V83" s="32" t="s">
        <v>857</v>
      </c>
      <c r="W83" s="14" t="b">
        <v>1</v>
      </c>
      <c r="X83" s="5" t="s">
        <v>409</v>
      </c>
      <c r="Y83" s="28"/>
      <c r="Z83" s="5" t="s">
        <v>858</v>
      </c>
      <c r="AA83" s="5" t="s">
        <v>858</v>
      </c>
      <c r="AB83" s="24" t="s">
        <v>413</v>
      </c>
      <c r="AC83" s="14"/>
      <c r="AD83" s="14"/>
      <c r="AE83" s="14">
        <v>1</v>
      </c>
      <c r="AF83" s="14"/>
      <c r="AG83" s="14"/>
      <c r="AH83" s="14"/>
      <c r="AI83" s="14"/>
      <c r="AJ83" s="14"/>
      <c r="AK83" s="14"/>
      <c r="AL83" s="14"/>
      <c r="AM83" s="14"/>
      <c r="AN83" s="14"/>
      <c r="AO83" s="14"/>
      <c r="AP83" s="14"/>
      <c r="AQ83" s="14"/>
      <c r="AR83" s="14"/>
      <c r="AS83" s="14"/>
      <c r="AT83" s="14"/>
      <c r="AU83" s="14"/>
      <c r="AV83" s="14"/>
      <c r="AW83" s="14"/>
      <c r="AX83" s="14"/>
    </row>
    <row r="84" spans="1:50" ht="15.75" customHeight="1">
      <c r="A84" s="24" t="s">
        <v>94</v>
      </c>
      <c r="B84" s="25" t="str">
        <f t="shared" si="2"/>
        <v>C2C_100nm_tile2_1_</v>
      </c>
      <c r="C84" s="24" t="s">
        <v>1578</v>
      </c>
      <c r="D84" s="74" t="str">
        <f t="shared" si="3"/>
        <v>bossdb://lee2022/C2C_100nm_tile2_1_/</v>
      </c>
      <c r="E84" s="24" t="s">
        <v>2</v>
      </c>
      <c r="F84" s="5" t="s">
        <v>1013</v>
      </c>
      <c r="G84" s="5" t="s">
        <v>865</v>
      </c>
      <c r="H84" s="24" t="s">
        <v>1491</v>
      </c>
      <c r="I84" s="24" t="s">
        <v>1578</v>
      </c>
      <c r="J84" s="24" t="s">
        <v>1492</v>
      </c>
      <c r="K84" s="24" t="s">
        <v>867</v>
      </c>
      <c r="L84" s="24" t="s">
        <v>853</v>
      </c>
      <c r="M84" s="24" t="s">
        <v>962</v>
      </c>
      <c r="N84" s="24" t="s">
        <v>0</v>
      </c>
      <c r="O84" s="24" t="s">
        <v>1575</v>
      </c>
      <c r="P84" s="24" t="s">
        <v>848</v>
      </c>
      <c r="Q84" s="24" t="s">
        <v>848</v>
      </c>
      <c r="R84" s="24">
        <v>3</v>
      </c>
      <c r="S84" s="24" t="s">
        <v>1494</v>
      </c>
      <c r="T84" s="24" t="s">
        <v>962</v>
      </c>
      <c r="U84" s="24" t="s">
        <v>856</v>
      </c>
      <c r="V84" s="32" t="s">
        <v>857</v>
      </c>
      <c r="W84" s="14" t="b">
        <v>1</v>
      </c>
      <c r="X84" s="5" t="s">
        <v>409</v>
      </c>
      <c r="Y84" s="28"/>
      <c r="Z84" s="5" t="s">
        <v>858</v>
      </c>
      <c r="AA84" s="5" t="s">
        <v>858</v>
      </c>
      <c r="AB84" s="24" t="s">
        <v>413</v>
      </c>
      <c r="AC84" s="14"/>
      <c r="AD84" s="14"/>
      <c r="AE84" s="14">
        <v>1</v>
      </c>
      <c r="AF84" s="14"/>
      <c r="AG84" s="14"/>
      <c r="AH84" s="14"/>
      <c r="AI84" s="14"/>
      <c r="AJ84" s="14"/>
      <c r="AK84" s="14"/>
      <c r="AL84" s="14"/>
      <c r="AM84" s="14"/>
      <c r="AN84" s="14"/>
      <c r="AO84" s="14"/>
      <c r="AP84" s="14"/>
      <c r="AQ84" s="14"/>
      <c r="AR84" s="14"/>
      <c r="AS84" s="14"/>
      <c r="AT84" s="14"/>
      <c r="AU84" s="14"/>
      <c r="AV84" s="14"/>
      <c r="AW84" s="14"/>
      <c r="AX84" s="14"/>
    </row>
    <row r="85" spans="1:50" ht="15.75" customHeight="1">
      <c r="A85" s="24" t="s">
        <v>96</v>
      </c>
      <c r="B85" s="25" t="str">
        <f t="shared" si="2"/>
        <v>C2C_100nm_tile2_2_</v>
      </c>
      <c r="C85" s="24" t="s">
        <v>1579</v>
      </c>
      <c r="D85" s="74" t="str">
        <f t="shared" si="3"/>
        <v>bossdb://lee2022/C2C_100nm_tile2_2_/</v>
      </c>
      <c r="E85" s="24" t="s">
        <v>2</v>
      </c>
      <c r="F85" s="5" t="s">
        <v>1013</v>
      </c>
      <c r="G85" s="5" t="s">
        <v>865</v>
      </c>
      <c r="H85" s="24" t="s">
        <v>1491</v>
      </c>
      <c r="I85" s="24" t="s">
        <v>1579</v>
      </c>
      <c r="J85" s="24" t="s">
        <v>1492</v>
      </c>
      <c r="K85" s="24" t="s">
        <v>867</v>
      </c>
      <c r="L85" s="24" t="s">
        <v>853</v>
      </c>
      <c r="M85" s="24" t="s">
        <v>962</v>
      </c>
      <c r="N85" s="24" t="s">
        <v>0</v>
      </c>
      <c r="O85" s="24" t="s">
        <v>1576</v>
      </c>
      <c r="P85" s="24" t="s">
        <v>848</v>
      </c>
      <c r="Q85" s="24" t="s">
        <v>848</v>
      </c>
      <c r="R85" s="24">
        <v>3</v>
      </c>
      <c r="S85" s="24" t="s">
        <v>1494</v>
      </c>
      <c r="T85" s="24" t="s">
        <v>962</v>
      </c>
      <c r="U85" s="24" t="s">
        <v>856</v>
      </c>
      <c r="V85" s="32" t="s">
        <v>857</v>
      </c>
      <c r="W85" s="14" t="b">
        <v>1</v>
      </c>
      <c r="X85" s="5" t="s">
        <v>409</v>
      </c>
      <c r="Y85" s="28"/>
      <c r="Z85" s="5" t="s">
        <v>858</v>
      </c>
      <c r="AA85" s="5" t="s">
        <v>858</v>
      </c>
      <c r="AB85" s="24" t="s">
        <v>413</v>
      </c>
      <c r="AC85" s="14"/>
      <c r="AD85" s="14"/>
      <c r="AE85" s="14">
        <v>1</v>
      </c>
      <c r="AF85" s="14"/>
      <c r="AG85" s="14"/>
      <c r="AH85" s="14"/>
      <c r="AI85" s="14"/>
      <c r="AJ85" s="14"/>
      <c r="AK85" s="14"/>
      <c r="AL85" s="14"/>
      <c r="AM85" s="14"/>
      <c r="AN85" s="14"/>
      <c r="AO85" s="14"/>
      <c r="AP85" s="14"/>
      <c r="AQ85" s="14"/>
      <c r="AR85" s="14"/>
      <c r="AS85" s="14"/>
      <c r="AT85" s="14"/>
      <c r="AU85" s="14"/>
      <c r="AV85" s="14"/>
      <c r="AW85" s="14"/>
      <c r="AX85" s="14"/>
    </row>
    <row r="86" spans="1:50" ht="15.75" customHeight="1">
      <c r="A86" s="24" t="s">
        <v>98</v>
      </c>
      <c r="B86" s="25" t="str">
        <f t="shared" si="2"/>
        <v>C2C_100nm_tile2_3_</v>
      </c>
      <c r="C86" s="24" t="s">
        <v>1580</v>
      </c>
      <c r="D86" s="74" t="str">
        <f t="shared" si="3"/>
        <v>bossdb://lee2022/C2C_100nm_tile2_3_/</v>
      </c>
      <c r="E86" s="24" t="s">
        <v>2</v>
      </c>
      <c r="F86" s="5" t="s">
        <v>1013</v>
      </c>
      <c r="G86" s="5" t="s">
        <v>865</v>
      </c>
      <c r="H86" s="24" t="s">
        <v>1491</v>
      </c>
      <c r="I86" s="24" t="s">
        <v>1580</v>
      </c>
      <c r="J86" s="24" t="s">
        <v>1492</v>
      </c>
      <c r="K86" s="24" t="s">
        <v>867</v>
      </c>
      <c r="L86" s="24" t="s">
        <v>853</v>
      </c>
      <c r="M86" s="24" t="s">
        <v>962</v>
      </c>
      <c r="N86" s="24" t="s">
        <v>0</v>
      </c>
      <c r="O86" s="24" t="s">
        <v>1577</v>
      </c>
      <c r="P86" s="24" t="s">
        <v>848</v>
      </c>
      <c r="Q86" s="24" t="s">
        <v>848</v>
      </c>
      <c r="R86" s="24">
        <v>3</v>
      </c>
      <c r="S86" s="24" t="s">
        <v>1494</v>
      </c>
      <c r="T86" s="24" t="s">
        <v>962</v>
      </c>
      <c r="U86" s="24" t="s">
        <v>856</v>
      </c>
      <c r="V86" s="32" t="s">
        <v>857</v>
      </c>
      <c r="W86" s="14" t="b">
        <v>1</v>
      </c>
      <c r="X86" s="5" t="s">
        <v>409</v>
      </c>
      <c r="Y86" s="28"/>
      <c r="Z86" s="5" t="s">
        <v>858</v>
      </c>
      <c r="AA86" s="5" t="s">
        <v>858</v>
      </c>
      <c r="AB86" s="24" t="s">
        <v>413</v>
      </c>
      <c r="AC86" s="14"/>
      <c r="AD86" s="14"/>
      <c r="AE86" s="14">
        <v>1</v>
      </c>
      <c r="AF86" s="14"/>
      <c r="AG86" s="14"/>
      <c r="AH86" s="14"/>
      <c r="AI86" s="14"/>
      <c r="AJ86" s="14"/>
      <c r="AK86" s="14"/>
      <c r="AL86" s="14"/>
      <c r="AM86" s="14"/>
      <c r="AN86" s="14"/>
      <c r="AO86" s="14"/>
      <c r="AP86" s="14"/>
      <c r="AQ86" s="14"/>
      <c r="AR86" s="14"/>
      <c r="AS86" s="14"/>
      <c r="AT86" s="14"/>
      <c r="AU86" s="14"/>
      <c r="AV86" s="14"/>
      <c r="AW86" s="14"/>
      <c r="AX86" s="14"/>
    </row>
    <row r="87" spans="1:50" ht="15.75" customHeight="1">
      <c r="A87" s="24" t="s">
        <v>100</v>
      </c>
      <c r="B87" s="25" t="str">
        <f t="shared" si="2"/>
        <v>C2C_100nm_tile2_4_</v>
      </c>
      <c r="C87" s="24" t="s">
        <v>1581</v>
      </c>
      <c r="D87" s="74" t="str">
        <f t="shared" si="3"/>
        <v>bossdb://lee2022/C2C_100nm_tile2_4_/</v>
      </c>
      <c r="E87" s="24" t="s">
        <v>2</v>
      </c>
      <c r="F87" s="5" t="s">
        <v>1013</v>
      </c>
      <c r="G87" s="5" t="s">
        <v>865</v>
      </c>
      <c r="H87" s="24" t="s">
        <v>1491</v>
      </c>
      <c r="I87" s="24" t="s">
        <v>1581</v>
      </c>
      <c r="J87" s="24" t="s">
        <v>1492</v>
      </c>
      <c r="K87" s="24" t="s">
        <v>867</v>
      </c>
      <c r="L87" s="24" t="s">
        <v>853</v>
      </c>
      <c r="M87" s="24" t="s">
        <v>962</v>
      </c>
      <c r="N87" s="24" t="s">
        <v>0</v>
      </c>
      <c r="O87" s="24" t="s">
        <v>1578</v>
      </c>
      <c r="P87" s="24" t="s">
        <v>848</v>
      </c>
      <c r="Q87" s="24" t="s">
        <v>848</v>
      </c>
      <c r="R87" s="24">
        <v>3</v>
      </c>
      <c r="S87" s="24" t="s">
        <v>1494</v>
      </c>
      <c r="T87" s="24" t="s">
        <v>962</v>
      </c>
      <c r="U87" s="24" t="s">
        <v>856</v>
      </c>
      <c r="V87" s="32" t="s">
        <v>857</v>
      </c>
      <c r="W87" s="14" t="b">
        <v>1</v>
      </c>
      <c r="X87" s="5" t="s">
        <v>409</v>
      </c>
      <c r="Y87" s="28"/>
      <c r="Z87" s="5" t="s">
        <v>858</v>
      </c>
      <c r="AA87" s="5" t="s">
        <v>858</v>
      </c>
      <c r="AB87" s="24" t="s">
        <v>413</v>
      </c>
      <c r="AC87" s="14"/>
      <c r="AD87" s="14"/>
      <c r="AE87" s="14">
        <v>1</v>
      </c>
      <c r="AF87" s="14"/>
      <c r="AG87" s="14"/>
      <c r="AH87" s="14"/>
      <c r="AI87" s="14"/>
      <c r="AJ87" s="14"/>
      <c r="AK87" s="14"/>
      <c r="AL87" s="14"/>
      <c r="AM87" s="14"/>
      <c r="AN87" s="14"/>
      <c r="AO87" s="14"/>
      <c r="AP87" s="14"/>
      <c r="AQ87" s="14"/>
      <c r="AR87" s="14"/>
      <c r="AS87" s="14"/>
      <c r="AT87" s="14"/>
      <c r="AU87" s="14"/>
      <c r="AV87" s="14"/>
      <c r="AW87" s="14"/>
      <c r="AX87" s="14"/>
    </row>
    <row r="88" spans="1:50" ht="15.75" customHeight="1">
      <c r="A88" s="24" t="s">
        <v>102</v>
      </c>
      <c r="B88" s="25" t="str">
        <f t="shared" si="2"/>
        <v>C2C_100nm_tile3_</v>
      </c>
      <c r="C88" s="24" t="s">
        <v>1582</v>
      </c>
      <c r="D88" s="74" t="str">
        <f t="shared" si="3"/>
        <v>bossdb://lee2022/C2C_100nm_tile3_/</v>
      </c>
      <c r="E88" s="24" t="s">
        <v>2</v>
      </c>
      <c r="F88" s="5" t="s">
        <v>1013</v>
      </c>
      <c r="G88" s="5" t="s">
        <v>865</v>
      </c>
      <c r="H88" s="24" t="s">
        <v>1491</v>
      </c>
      <c r="I88" s="24" t="s">
        <v>1582</v>
      </c>
      <c r="J88" s="24" t="s">
        <v>1492</v>
      </c>
      <c r="K88" s="24" t="s">
        <v>867</v>
      </c>
      <c r="L88" s="24" t="s">
        <v>853</v>
      </c>
      <c r="M88" s="24" t="s">
        <v>962</v>
      </c>
      <c r="N88" s="24" t="s">
        <v>0</v>
      </c>
      <c r="O88" s="24" t="s">
        <v>1579</v>
      </c>
      <c r="P88" s="24" t="s">
        <v>848</v>
      </c>
      <c r="Q88" s="24" t="s">
        <v>848</v>
      </c>
      <c r="R88" s="24">
        <v>3</v>
      </c>
      <c r="S88" s="24" t="s">
        <v>1494</v>
      </c>
      <c r="T88" s="24" t="s">
        <v>962</v>
      </c>
      <c r="U88" s="24" t="s">
        <v>856</v>
      </c>
      <c r="V88" s="32" t="s">
        <v>857</v>
      </c>
      <c r="W88" s="14" t="b">
        <v>1</v>
      </c>
      <c r="X88" s="5" t="s">
        <v>409</v>
      </c>
      <c r="Y88" s="28"/>
      <c r="Z88" s="5" t="s">
        <v>858</v>
      </c>
      <c r="AA88" s="5" t="s">
        <v>858</v>
      </c>
      <c r="AB88" s="24" t="s">
        <v>413</v>
      </c>
      <c r="AC88" s="14"/>
      <c r="AD88" s="14"/>
      <c r="AE88" s="14">
        <v>1</v>
      </c>
      <c r="AF88" s="14"/>
      <c r="AG88" s="14"/>
      <c r="AH88" s="14"/>
      <c r="AI88" s="14"/>
      <c r="AJ88" s="14"/>
      <c r="AK88" s="14"/>
      <c r="AL88" s="14"/>
      <c r="AM88" s="14"/>
      <c r="AN88" s="14"/>
      <c r="AO88" s="14"/>
      <c r="AP88" s="14"/>
      <c r="AQ88" s="14"/>
      <c r="AR88" s="14"/>
      <c r="AS88" s="14"/>
      <c r="AT88" s="14"/>
      <c r="AU88" s="14"/>
      <c r="AV88" s="14"/>
      <c r="AW88" s="14"/>
      <c r="AX88" s="14"/>
    </row>
    <row r="89" spans="1:50" ht="15.75" customHeight="1">
      <c r="A89" s="24" t="s">
        <v>104</v>
      </c>
      <c r="B89" s="25" t="str">
        <f t="shared" si="2"/>
        <v>C2C_100nm_tile3_1_</v>
      </c>
      <c r="C89" s="24" t="s">
        <v>1583</v>
      </c>
      <c r="D89" s="74" t="str">
        <f t="shared" si="3"/>
        <v>bossdb://lee2022/C2C_100nm_tile3_1_/</v>
      </c>
      <c r="E89" s="24" t="s">
        <v>2</v>
      </c>
      <c r="F89" s="5" t="s">
        <v>1013</v>
      </c>
      <c r="G89" s="5" t="s">
        <v>865</v>
      </c>
      <c r="H89" s="24" t="s">
        <v>1491</v>
      </c>
      <c r="I89" s="24" t="s">
        <v>1583</v>
      </c>
      <c r="J89" s="24" t="s">
        <v>1492</v>
      </c>
      <c r="K89" s="24" t="s">
        <v>867</v>
      </c>
      <c r="L89" s="24" t="s">
        <v>853</v>
      </c>
      <c r="M89" s="24" t="s">
        <v>962</v>
      </c>
      <c r="N89" s="24" t="s">
        <v>0</v>
      </c>
      <c r="O89" s="24" t="s">
        <v>1580</v>
      </c>
      <c r="P89" s="24" t="s">
        <v>848</v>
      </c>
      <c r="Q89" s="24" t="s">
        <v>848</v>
      </c>
      <c r="R89" s="24">
        <v>3</v>
      </c>
      <c r="S89" s="24" t="s">
        <v>1494</v>
      </c>
      <c r="T89" s="24" t="s">
        <v>962</v>
      </c>
      <c r="U89" s="24" t="s">
        <v>856</v>
      </c>
      <c r="V89" s="32" t="s">
        <v>857</v>
      </c>
      <c r="W89" s="14" t="b">
        <v>1</v>
      </c>
      <c r="X89" s="5" t="s">
        <v>409</v>
      </c>
      <c r="Y89" s="28"/>
      <c r="Z89" s="5" t="s">
        <v>858</v>
      </c>
      <c r="AA89" s="5" t="s">
        <v>858</v>
      </c>
      <c r="AB89" s="24" t="s">
        <v>413</v>
      </c>
      <c r="AC89" s="14"/>
      <c r="AD89" s="14"/>
      <c r="AE89" s="14">
        <v>1</v>
      </c>
      <c r="AF89" s="14"/>
      <c r="AG89" s="14"/>
      <c r="AH89" s="14"/>
      <c r="AI89" s="14"/>
      <c r="AJ89" s="14"/>
      <c r="AK89" s="14"/>
      <c r="AL89" s="14"/>
      <c r="AM89" s="14"/>
      <c r="AN89" s="14"/>
      <c r="AO89" s="14"/>
      <c r="AP89" s="14"/>
      <c r="AQ89" s="14"/>
      <c r="AR89" s="14"/>
      <c r="AS89" s="14"/>
      <c r="AT89" s="14"/>
      <c r="AU89" s="14"/>
      <c r="AV89" s="14"/>
      <c r="AW89" s="14"/>
      <c r="AX89" s="14"/>
    </row>
    <row r="90" spans="1:50" ht="15.75" customHeight="1">
      <c r="A90" s="24" t="s">
        <v>106</v>
      </c>
      <c r="B90" s="25" t="str">
        <f t="shared" si="2"/>
        <v>C2C_100nm_tile3_2_</v>
      </c>
      <c r="C90" s="24" t="s">
        <v>1584</v>
      </c>
      <c r="D90" s="74" t="str">
        <f t="shared" si="3"/>
        <v>bossdb://lee2022/C2C_100nm_tile3_2_/</v>
      </c>
      <c r="E90" s="24" t="s">
        <v>2</v>
      </c>
      <c r="F90" s="5" t="s">
        <v>1013</v>
      </c>
      <c r="G90" s="5" t="s">
        <v>865</v>
      </c>
      <c r="H90" s="24" t="s">
        <v>1491</v>
      </c>
      <c r="I90" s="24" t="s">
        <v>1584</v>
      </c>
      <c r="J90" s="24" t="s">
        <v>1492</v>
      </c>
      <c r="K90" s="24" t="s">
        <v>867</v>
      </c>
      <c r="L90" s="24" t="s">
        <v>853</v>
      </c>
      <c r="M90" s="24" t="s">
        <v>962</v>
      </c>
      <c r="N90" s="24" t="s">
        <v>0</v>
      </c>
      <c r="O90" s="24" t="s">
        <v>1581</v>
      </c>
      <c r="P90" s="24" t="s">
        <v>848</v>
      </c>
      <c r="Q90" s="24" t="s">
        <v>848</v>
      </c>
      <c r="R90" s="24">
        <v>3</v>
      </c>
      <c r="S90" s="24" t="s">
        <v>1494</v>
      </c>
      <c r="T90" s="24" t="s">
        <v>962</v>
      </c>
      <c r="U90" s="24" t="s">
        <v>856</v>
      </c>
      <c r="V90" s="32" t="s">
        <v>857</v>
      </c>
      <c r="W90" s="14" t="b">
        <v>1</v>
      </c>
      <c r="X90" s="5" t="s">
        <v>409</v>
      </c>
      <c r="Y90" s="28"/>
      <c r="Z90" s="5" t="s">
        <v>858</v>
      </c>
      <c r="AA90" s="5" t="s">
        <v>858</v>
      </c>
      <c r="AB90" s="24" t="s">
        <v>413</v>
      </c>
      <c r="AC90" s="14"/>
      <c r="AD90" s="14"/>
      <c r="AE90" s="14">
        <v>1</v>
      </c>
      <c r="AF90" s="14"/>
      <c r="AG90" s="14"/>
      <c r="AH90" s="14"/>
      <c r="AI90" s="14"/>
      <c r="AJ90" s="14"/>
      <c r="AK90" s="14"/>
      <c r="AL90" s="14"/>
      <c r="AM90" s="14"/>
      <c r="AN90" s="14"/>
      <c r="AO90" s="14"/>
      <c r="AP90" s="14"/>
      <c r="AQ90" s="14"/>
      <c r="AR90" s="14"/>
      <c r="AS90" s="14"/>
      <c r="AT90" s="14"/>
      <c r="AU90" s="14"/>
      <c r="AV90" s="14"/>
      <c r="AW90" s="14"/>
      <c r="AX90" s="14"/>
    </row>
    <row r="91" spans="1:50" ht="15.75" customHeight="1">
      <c r="A91" s="24" t="s">
        <v>108</v>
      </c>
      <c r="B91" s="25" t="str">
        <f t="shared" si="2"/>
        <v>C2C_100nm_tile3_3_</v>
      </c>
      <c r="C91" s="24" t="s">
        <v>1585</v>
      </c>
      <c r="D91" s="74" t="str">
        <f t="shared" si="3"/>
        <v>bossdb://lee2022/C2C_100nm_tile3_3_/</v>
      </c>
      <c r="E91" s="24" t="s">
        <v>2</v>
      </c>
      <c r="F91" s="5" t="s">
        <v>1013</v>
      </c>
      <c r="G91" s="5" t="s">
        <v>865</v>
      </c>
      <c r="H91" s="24" t="s">
        <v>1491</v>
      </c>
      <c r="I91" s="24" t="s">
        <v>1585</v>
      </c>
      <c r="J91" s="24" t="s">
        <v>1492</v>
      </c>
      <c r="K91" s="24" t="s">
        <v>867</v>
      </c>
      <c r="L91" s="24" t="s">
        <v>853</v>
      </c>
      <c r="M91" s="24" t="s">
        <v>962</v>
      </c>
      <c r="N91" s="24" t="s">
        <v>0</v>
      </c>
      <c r="O91" s="24" t="s">
        <v>1582</v>
      </c>
      <c r="P91" s="24" t="s">
        <v>848</v>
      </c>
      <c r="Q91" s="24" t="s">
        <v>848</v>
      </c>
      <c r="R91" s="24">
        <v>3</v>
      </c>
      <c r="S91" s="24" t="s">
        <v>1494</v>
      </c>
      <c r="T91" s="24" t="s">
        <v>962</v>
      </c>
      <c r="U91" s="24" t="s">
        <v>856</v>
      </c>
      <c r="V91" s="32" t="s">
        <v>857</v>
      </c>
      <c r="W91" s="14" t="b">
        <v>1</v>
      </c>
      <c r="X91" s="5" t="s">
        <v>409</v>
      </c>
      <c r="Y91" s="28"/>
      <c r="Z91" s="5" t="s">
        <v>858</v>
      </c>
      <c r="AA91" s="5" t="s">
        <v>858</v>
      </c>
      <c r="AB91" s="24" t="s">
        <v>413</v>
      </c>
      <c r="AC91" s="14"/>
      <c r="AD91" s="14"/>
      <c r="AE91" s="14">
        <v>1</v>
      </c>
      <c r="AF91" s="14"/>
      <c r="AG91" s="14"/>
      <c r="AH91" s="14"/>
      <c r="AI91" s="14"/>
      <c r="AJ91" s="14"/>
      <c r="AK91" s="14"/>
      <c r="AL91" s="14"/>
      <c r="AM91" s="14"/>
      <c r="AN91" s="14"/>
      <c r="AO91" s="14"/>
      <c r="AP91" s="14"/>
      <c r="AQ91" s="14"/>
      <c r="AR91" s="14"/>
      <c r="AS91" s="14"/>
      <c r="AT91" s="14"/>
      <c r="AU91" s="14"/>
      <c r="AV91" s="14"/>
      <c r="AW91" s="14"/>
      <c r="AX91" s="14"/>
    </row>
    <row r="92" spans="1:50" ht="15.75" customHeight="1">
      <c r="A92" s="24" t="s">
        <v>110</v>
      </c>
      <c r="B92" s="25" t="str">
        <f t="shared" si="2"/>
        <v>C2C_100nm_tile3_4_</v>
      </c>
      <c r="C92" s="24" t="s">
        <v>1586</v>
      </c>
      <c r="D92" s="74" t="str">
        <f t="shared" si="3"/>
        <v>bossdb://lee2022/C2C_100nm_tile3_4_/</v>
      </c>
      <c r="E92" s="24" t="s">
        <v>2</v>
      </c>
      <c r="F92" s="5" t="s">
        <v>1013</v>
      </c>
      <c r="G92" s="5" t="s">
        <v>865</v>
      </c>
      <c r="H92" s="24" t="s">
        <v>1491</v>
      </c>
      <c r="I92" s="24" t="s">
        <v>1586</v>
      </c>
      <c r="J92" s="24" t="s">
        <v>1492</v>
      </c>
      <c r="K92" s="24" t="s">
        <v>867</v>
      </c>
      <c r="L92" s="24" t="s">
        <v>853</v>
      </c>
      <c r="M92" s="24" t="s">
        <v>962</v>
      </c>
      <c r="N92" s="24" t="s">
        <v>0</v>
      </c>
      <c r="O92" s="24" t="s">
        <v>1583</v>
      </c>
      <c r="P92" s="24" t="s">
        <v>848</v>
      </c>
      <c r="Q92" s="24" t="s">
        <v>848</v>
      </c>
      <c r="R92" s="24">
        <v>3</v>
      </c>
      <c r="S92" s="24" t="s">
        <v>1494</v>
      </c>
      <c r="T92" s="24" t="s">
        <v>962</v>
      </c>
      <c r="U92" s="24" t="s">
        <v>856</v>
      </c>
      <c r="V92" s="32" t="s">
        <v>857</v>
      </c>
      <c r="W92" s="14" t="b">
        <v>1</v>
      </c>
      <c r="X92" s="5" t="s">
        <v>409</v>
      </c>
      <c r="Y92" s="28"/>
      <c r="Z92" s="5" t="s">
        <v>858</v>
      </c>
      <c r="AA92" s="5" t="s">
        <v>858</v>
      </c>
      <c r="AB92" s="24" t="s">
        <v>413</v>
      </c>
      <c r="AC92" s="14"/>
      <c r="AD92" s="14"/>
      <c r="AE92" s="14">
        <v>1</v>
      </c>
      <c r="AF92" s="14"/>
      <c r="AG92" s="14"/>
      <c r="AH92" s="14"/>
      <c r="AI92" s="14"/>
      <c r="AJ92" s="14"/>
      <c r="AK92" s="14"/>
      <c r="AL92" s="14"/>
      <c r="AM92" s="14"/>
      <c r="AN92" s="14"/>
      <c r="AO92" s="14"/>
      <c r="AP92" s="14"/>
      <c r="AQ92" s="14"/>
      <c r="AR92" s="14"/>
      <c r="AS92" s="14"/>
      <c r="AT92" s="14"/>
      <c r="AU92" s="14"/>
      <c r="AV92" s="14"/>
      <c r="AW92" s="14"/>
      <c r="AX92" s="14"/>
    </row>
    <row r="93" spans="1:50" ht="15.75" customHeight="1">
      <c r="A93" s="24" t="s">
        <v>112</v>
      </c>
      <c r="B93" s="25" t="str">
        <f t="shared" si="2"/>
        <v>C2C_ovw_150nm_sz1p1_</v>
      </c>
      <c r="C93" s="24" t="s">
        <v>1587</v>
      </c>
      <c r="D93" s="74" t="str">
        <f t="shared" si="3"/>
        <v>bossdb://lee2022/C2C_ovw_150nm_sz1p1_/</v>
      </c>
      <c r="E93" s="24" t="s">
        <v>2</v>
      </c>
      <c r="F93" s="5" t="s">
        <v>1013</v>
      </c>
      <c r="G93" s="5" t="s">
        <v>865</v>
      </c>
      <c r="H93" s="24" t="s">
        <v>1491</v>
      </c>
      <c r="I93" s="24" t="s">
        <v>1587</v>
      </c>
      <c r="J93" s="24" t="s">
        <v>1492</v>
      </c>
      <c r="K93" s="24" t="s">
        <v>867</v>
      </c>
      <c r="L93" s="24" t="s">
        <v>853</v>
      </c>
      <c r="M93" s="24" t="s">
        <v>962</v>
      </c>
      <c r="N93" s="24" t="s">
        <v>0</v>
      </c>
      <c r="O93" s="24" t="s">
        <v>1584</v>
      </c>
      <c r="P93" s="24" t="s">
        <v>848</v>
      </c>
      <c r="Q93" s="24" t="s">
        <v>848</v>
      </c>
      <c r="R93" s="24">
        <v>3</v>
      </c>
      <c r="S93" s="24" t="s">
        <v>1494</v>
      </c>
      <c r="T93" s="24" t="s">
        <v>962</v>
      </c>
      <c r="U93" s="24" t="s">
        <v>856</v>
      </c>
      <c r="V93" s="32" t="s">
        <v>857</v>
      </c>
      <c r="W93" s="14" t="b">
        <v>1</v>
      </c>
      <c r="X93" s="5" t="s">
        <v>409</v>
      </c>
      <c r="Y93" s="28"/>
      <c r="Z93" s="5" t="s">
        <v>858</v>
      </c>
      <c r="AA93" s="5" t="s">
        <v>858</v>
      </c>
      <c r="AB93" s="24" t="s">
        <v>413</v>
      </c>
      <c r="AC93" s="14"/>
      <c r="AD93" s="14"/>
      <c r="AE93" s="14">
        <v>1</v>
      </c>
      <c r="AF93" s="14"/>
      <c r="AG93" s="14"/>
      <c r="AH93" s="14"/>
      <c r="AI93" s="14"/>
      <c r="AJ93" s="14"/>
      <c r="AK93" s="14"/>
      <c r="AL93" s="14"/>
      <c r="AM93" s="14"/>
      <c r="AN93" s="14"/>
      <c r="AO93" s="14"/>
      <c r="AP93" s="14"/>
      <c r="AQ93" s="14"/>
      <c r="AR93" s="14"/>
      <c r="AS93" s="14"/>
      <c r="AT93" s="14"/>
      <c r="AU93" s="14"/>
      <c r="AV93" s="14"/>
      <c r="AW93" s="14"/>
      <c r="AX93" s="14"/>
    </row>
    <row r="94" spans="1:50" ht="15.75" customHeight="1">
      <c r="A94" s="24" t="s">
        <v>114</v>
      </c>
      <c r="B94" s="25" t="str">
        <f t="shared" si="2"/>
        <v>C2C_ovw_150nm_sz1p1_1_</v>
      </c>
      <c r="C94" s="24" t="s">
        <v>1588</v>
      </c>
      <c r="D94" s="74" t="str">
        <f t="shared" si="3"/>
        <v>bossdb://lee2022/C2C_ovw_150nm_sz1p1_1_/</v>
      </c>
      <c r="E94" s="24" t="s">
        <v>2</v>
      </c>
      <c r="F94" s="5" t="s">
        <v>1013</v>
      </c>
      <c r="G94" s="5" t="s">
        <v>865</v>
      </c>
      <c r="H94" s="24" t="s">
        <v>1491</v>
      </c>
      <c r="I94" s="24" t="s">
        <v>1588</v>
      </c>
      <c r="J94" s="24" t="s">
        <v>1492</v>
      </c>
      <c r="K94" s="24" t="s">
        <v>867</v>
      </c>
      <c r="L94" s="24" t="s">
        <v>853</v>
      </c>
      <c r="M94" s="24" t="s">
        <v>962</v>
      </c>
      <c r="N94" s="24" t="s">
        <v>0</v>
      </c>
      <c r="O94" s="24" t="s">
        <v>1585</v>
      </c>
      <c r="P94" s="24" t="s">
        <v>848</v>
      </c>
      <c r="Q94" s="24" t="s">
        <v>848</v>
      </c>
      <c r="R94" s="24">
        <v>3</v>
      </c>
      <c r="S94" s="24" t="s">
        <v>1494</v>
      </c>
      <c r="T94" s="24" t="s">
        <v>962</v>
      </c>
      <c r="U94" s="24" t="s">
        <v>856</v>
      </c>
      <c r="V94" s="32" t="s">
        <v>857</v>
      </c>
      <c r="W94" s="14" t="b">
        <v>1</v>
      </c>
      <c r="X94" s="5" t="s">
        <v>409</v>
      </c>
      <c r="Y94" s="28"/>
      <c r="Z94" s="5" t="s">
        <v>858</v>
      </c>
      <c r="AA94" s="5" t="s">
        <v>858</v>
      </c>
      <c r="AB94" s="24" t="s">
        <v>413</v>
      </c>
      <c r="AC94" s="14"/>
      <c r="AD94" s="14"/>
      <c r="AE94" s="14">
        <v>1</v>
      </c>
      <c r="AF94" s="14"/>
      <c r="AG94" s="14"/>
      <c r="AH94" s="14"/>
      <c r="AI94" s="14"/>
      <c r="AJ94" s="14"/>
      <c r="AK94" s="14"/>
      <c r="AL94" s="14"/>
      <c r="AM94" s="14"/>
      <c r="AN94" s="14"/>
      <c r="AO94" s="14"/>
      <c r="AP94" s="14"/>
      <c r="AQ94" s="14"/>
      <c r="AR94" s="14"/>
      <c r="AS94" s="14"/>
      <c r="AT94" s="14"/>
      <c r="AU94" s="14"/>
      <c r="AV94" s="14"/>
      <c r="AW94" s="14"/>
      <c r="AX94" s="14"/>
    </row>
    <row r="95" spans="1:50" ht="15.75" customHeight="1">
      <c r="A95" s="24" t="s">
        <v>116</v>
      </c>
      <c r="B95" s="25" t="str">
        <f t="shared" si="2"/>
        <v>C2C_ovw_150nm_sz1p4_</v>
      </c>
      <c r="C95" s="24" t="s">
        <v>1589</v>
      </c>
      <c r="D95" s="74" t="str">
        <f t="shared" si="3"/>
        <v>bossdb://lee2022/C2C_ovw_150nm_sz1p4_/</v>
      </c>
      <c r="E95" s="24" t="s">
        <v>2</v>
      </c>
      <c r="F95" s="5" t="s">
        <v>1013</v>
      </c>
      <c r="G95" s="5" t="s">
        <v>865</v>
      </c>
      <c r="H95" s="24" t="s">
        <v>1491</v>
      </c>
      <c r="I95" s="24" t="s">
        <v>1589</v>
      </c>
      <c r="J95" s="24" t="s">
        <v>1492</v>
      </c>
      <c r="K95" s="24" t="s">
        <v>867</v>
      </c>
      <c r="L95" s="24" t="s">
        <v>853</v>
      </c>
      <c r="M95" s="24" t="s">
        <v>962</v>
      </c>
      <c r="N95" s="24" t="s">
        <v>0</v>
      </c>
      <c r="O95" s="24" t="s">
        <v>1586</v>
      </c>
      <c r="P95" s="24" t="s">
        <v>848</v>
      </c>
      <c r="Q95" s="24" t="s">
        <v>848</v>
      </c>
      <c r="R95" s="24">
        <v>3</v>
      </c>
      <c r="S95" s="24" t="s">
        <v>1494</v>
      </c>
      <c r="T95" s="24" t="s">
        <v>962</v>
      </c>
      <c r="U95" s="24" t="s">
        <v>856</v>
      </c>
      <c r="V95" s="32" t="s">
        <v>857</v>
      </c>
      <c r="W95" s="14" t="b">
        <v>1</v>
      </c>
      <c r="X95" s="5" t="s">
        <v>409</v>
      </c>
      <c r="Y95" s="28"/>
      <c r="Z95" s="5" t="s">
        <v>858</v>
      </c>
      <c r="AA95" s="5" t="s">
        <v>858</v>
      </c>
      <c r="AB95" s="24" t="s">
        <v>413</v>
      </c>
      <c r="AC95" s="14"/>
      <c r="AD95" s="14"/>
      <c r="AE95" s="14">
        <v>1</v>
      </c>
      <c r="AF95" s="14"/>
      <c r="AG95" s="14"/>
      <c r="AH95" s="14"/>
      <c r="AI95" s="14"/>
      <c r="AJ95" s="14"/>
      <c r="AK95" s="14"/>
      <c r="AL95" s="14"/>
      <c r="AM95" s="14"/>
      <c r="AN95" s="14"/>
      <c r="AO95" s="14"/>
      <c r="AP95" s="14"/>
      <c r="AQ95" s="14"/>
      <c r="AR95" s="14"/>
      <c r="AS95" s="14"/>
      <c r="AT95" s="14"/>
      <c r="AU95" s="14"/>
      <c r="AV95" s="14"/>
      <c r="AW95" s="14"/>
      <c r="AX95" s="14"/>
    </row>
    <row r="96" spans="1:50" ht="15.75" customHeight="1">
      <c r="A96" s="24" t="s">
        <v>118</v>
      </c>
      <c r="B96" s="25" t="str">
        <f t="shared" si="2"/>
        <v>C2C_ovw_150nm_sz1p4_1_</v>
      </c>
      <c r="C96" s="24" t="s">
        <v>1590</v>
      </c>
      <c r="D96" s="74" t="str">
        <f t="shared" si="3"/>
        <v>bossdb://lee2022/C2C_ovw_150nm_sz1p4_1_/</v>
      </c>
      <c r="E96" s="24" t="s">
        <v>2</v>
      </c>
      <c r="F96" s="5" t="s">
        <v>1013</v>
      </c>
      <c r="G96" s="5" t="s">
        <v>865</v>
      </c>
      <c r="H96" s="24" t="s">
        <v>1491</v>
      </c>
      <c r="I96" s="24" t="s">
        <v>1590</v>
      </c>
      <c r="J96" s="24" t="s">
        <v>1492</v>
      </c>
      <c r="K96" s="24" t="s">
        <v>867</v>
      </c>
      <c r="L96" s="24" t="s">
        <v>853</v>
      </c>
      <c r="M96" s="24" t="s">
        <v>962</v>
      </c>
      <c r="N96" s="24" t="s">
        <v>0</v>
      </c>
      <c r="O96" s="24" t="s">
        <v>1587</v>
      </c>
      <c r="P96" s="24" t="s">
        <v>848</v>
      </c>
      <c r="Q96" s="24" t="s">
        <v>848</v>
      </c>
      <c r="R96" s="24">
        <v>3</v>
      </c>
      <c r="S96" s="24" t="s">
        <v>1494</v>
      </c>
      <c r="T96" s="24" t="s">
        <v>962</v>
      </c>
      <c r="U96" s="24" t="s">
        <v>856</v>
      </c>
      <c r="V96" s="32" t="s">
        <v>857</v>
      </c>
      <c r="W96" s="14" t="b">
        <v>1</v>
      </c>
      <c r="X96" s="5" t="s">
        <v>409</v>
      </c>
      <c r="Y96" s="28"/>
      <c r="Z96" s="5" t="s">
        <v>858</v>
      </c>
      <c r="AA96" s="5" t="s">
        <v>858</v>
      </c>
      <c r="AB96" s="24" t="s">
        <v>413</v>
      </c>
      <c r="AC96" s="14"/>
      <c r="AD96" s="14"/>
      <c r="AE96" s="14">
        <v>1</v>
      </c>
      <c r="AF96" s="14"/>
      <c r="AG96" s="14"/>
      <c r="AH96" s="14"/>
      <c r="AI96" s="14"/>
      <c r="AJ96" s="14"/>
      <c r="AK96" s="14"/>
      <c r="AL96" s="14"/>
      <c r="AM96" s="14"/>
      <c r="AN96" s="14"/>
      <c r="AO96" s="14"/>
      <c r="AP96" s="14"/>
      <c r="AQ96" s="14"/>
      <c r="AR96" s="14"/>
      <c r="AS96" s="14"/>
      <c r="AT96" s="14"/>
      <c r="AU96" s="14"/>
      <c r="AV96" s="14"/>
      <c r="AW96" s="14"/>
      <c r="AX96" s="14"/>
    </row>
    <row r="97" spans="1:50" ht="15.75" customHeight="1">
      <c r="A97" s="24" t="s">
        <v>120</v>
      </c>
      <c r="B97" s="25" t="str">
        <f t="shared" si="2"/>
        <v>C2D_060nm_tile1_</v>
      </c>
      <c r="C97" s="24" t="s">
        <v>1591</v>
      </c>
      <c r="D97" s="74" t="str">
        <f t="shared" si="3"/>
        <v>bossdb://lee2022/C2D_060nm_tile1_/</v>
      </c>
      <c r="E97" s="24" t="s">
        <v>2</v>
      </c>
      <c r="F97" s="5" t="s">
        <v>1013</v>
      </c>
      <c r="G97" s="5" t="s">
        <v>865</v>
      </c>
      <c r="H97" s="24" t="s">
        <v>1491</v>
      </c>
      <c r="I97" s="24" t="s">
        <v>1591</v>
      </c>
      <c r="J97" s="24" t="s">
        <v>1492</v>
      </c>
      <c r="K97" s="24" t="s">
        <v>867</v>
      </c>
      <c r="L97" s="24" t="s">
        <v>853</v>
      </c>
      <c r="M97" s="24" t="s">
        <v>962</v>
      </c>
      <c r="N97" s="24" t="s">
        <v>0</v>
      </c>
      <c r="O97" s="24" t="s">
        <v>1588</v>
      </c>
      <c r="P97" s="24" t="s">
        <v>848</v>
      </c>
      <c r="Q97" s="24" t="s">
        <v>848</v>
      </c>
      <c r="R97" s="24">
        <v>3</v>
      </c>
      <c r="S97" s="24" t="s">
        <v>1494</v>
      </c>
      <c r="T97" s="24" t="s">
        <v>962</v>
      </c>
      <c r="U97" s="24" t="s">
        <v>856</v>
      </c>
      <c r="V97" s="32" t="s">
        <v>857</v>
      </c>
      <c r="W97" s="14" t="b">
        <v>1</v>
      </c>
      <c r="X97" s="5" t="s">
        <v>409</v>
      </c>
      <c r="Y97" s="28"/>
      <c r="Z97" s="5" t="s">
        <v>858</v>
      </c>
      <c r="AA97" s="5" t="s">
        <v>858</v>
      </c>
      <c r="AB97" s="24" t="s">
        <v>413</v>
      </c>
      <c r="AC97" s="14"/>
      <c r="AD97" s="14"/>
      <c r="AE97" s="14">
        <v>1</v>
      </c>
      <c r="AF97" s="14"/>
      <c r="AG97" s="14"/>
      <c r="AH97" s="14"/>
      <c r="AI97" s="14"/>
      <c r="AJ97" s="14"/>
      <c r="AK97" s="14"/>
      <c r="AL97" s="14"/>
      <c r="AM97" s="14"/>
      <c r="AN97" s="14"/>
      <c r="AO97" s="14"/>
      <c r="AP97" s="14"/>
      <c r="AQ97" s="14"/>
      <c r="AR97" s="14"/>
      <c r="AS97" s="14"/>
      <c r="AT97" s="14"/>
      <c r="AU97" s="14"/>
      <c r="AV97" s="14"/>
      <c r="AW97" s="14"/>
      <c r="AX97" s="14"/>
    </row>
    <row r="98" spans="1:50" ht="15.75" customHeight="1">
      <c r="A98" s="24" t="s">
        <v>122</v>
      </c>
      <c r="B98" s="25" t="str">
        <f t="shared" si="2"/>
        <v>C2D_060nm_tile1_1_</v>
      </c>
      <c r="C98" s="24" t="s">
        <v>1592</v>
      </c>
      <c r="D98" s="74" t="str">
        <f t="shared" si="3"/>
        <v>bossdb://lee2022/C2D_060nm_tile1_1_/</v>
      </c>
      <c r="E98" s="24" t="s">
        <v>2</v>
      </c>
      <c r="F98" s="5" t="s">
        <v>1013</v>
      </c>
      <c r="G98" s="5" t="s">
        <v>865</v>
      </c>
      <c r="H98" s="24" t="s">
        <v>1491</v>
      </c>
      <c r="I98" s="24" t="s">
        <v>1592</v>
      </c>
      <c r="J98" s="24" t="s">
        <v>1492</v>
      </c>
      <c r="K98" s="24" t="s">
        <v>867</v>
      </c>
      <c r="L98" s="24" t="s">
        <v>853</v>
      </c>
      <c r="M98" s="24" t="s">
        <v>962</v>
      </c>
      <c r="N98" s="24" t="s">
        <v>0</v>
      </c>
      <c r="O98" s="24" t="s">
        <v>1589</v>
      </c>
      <c r="P98" s="24" t="s">
        <v>848</v>
      </c>
      <c r="Q98" s="24" t="s">
        <v>848</v>
      </c>
      <c r="R98" s="24">
        <v>3</v>
      </c>
      <c r="S98" s="24" t="s">
        <v>1494</v>
      </c>
      <c r="T98" s="24" t="s">
        <v>962</v>
      </c>
      <c r="U98" s="24" t="s">
        <v>856</v>
      </c>
      <c r="V98" s="32" t="s">
        <v>857</v>
      </c>
      <c r="W98" s="14" t="b">
        <v>1</v>
      </c>
      <c r="X98" s="5" t="s">
        <v>409</v>
      </c>
      <c r="Y98" s="28"/>
      <c r="Z98" s="5" t="s">
        <v>858</v>
      </c>
      <c r="AA98" s="5" t="s">
        <v>858</v>
      </c>
      <c r="AB98" s="24" t="s">
        <v>413</v>
      </c>
      <c r="AC98" s="14"/>
      <c r="AD98" s="14"/>
      <c r="AE98" s="14">
        <v>1</v>
      </c>
      <c r="AF98" s="14"/>
      <c r="AG98" s="14"/>
      <c r="AH98" s="14"/>
      <c r="AI98" s="14"/>
      <c r="AJ98" s="14"/>
      <c r="AK98" s="14"/>
      <c r="AL98" s="14"/>
      <c r="AM98" s="14"/>
      <c r="AN98" s="14"/>
      <c r="AO98" s="14"/>
      <c r="AP98" s="14"/>
      <c r="AQ98" s="14"/>
      <c r="AR98" s="14"/>
      <c r="AS98" s="14"/>
      <c r="AT98" s="14"/>
      <c r="AU98" s="14"/>
      <c r="AV98" s="14"/>
      <c r="AW98" s="14"/>
      <c r="AX98" s="14"/>
    </row>
    <row r="99" spans="1:50" ht="15.75" customHeight="1">
      <c r="A99" s="24" t="s">
        <v>124</v>
      </c>
      <c r="B99" s="25" t="str">
        <f t="shared" si="2"/>
        <v>C2D_060nm_tile1_2_</v>
      </c>
      <c r="C99" s="24" t="s">
        <v>1593</v>
      </c>
      <c r="D99" s="74" t="str">
        <f t="shared" si="3"/>
        <v>bossdb://lee2022/C2D_060nm_tile1_2_/</v>
      </c>
      <c r="E99" s="24" t="s">
        <v>2</v>
      </c>
      <c r="F99" s="5" t="s">
        <v>1013</v>
      </c>
      <c r="G99" s="5" t="s">
        <v>865</v>
      </c>
      <c r="H99" s="24" t="s">
        <v>1491</v>
      </c>
      <c r="I99" s="24" t="s">
        <v>1593</v>
      </c>
      <c r="J99" s="24" t="s">
        <v>1492</v>
      </c>
      <c r="K99" s="24" t="s">
        <v>867</v>
      </c>
      <c r="L99" s="24" t="s">
        <v>853</v>
      </c>
      <c r="M99" s="24" t="s">
        <v>962</v>
      </c>
      <c r="N99" s="24" t="s">
        <v>0</v>
      </c>
      <c r="O99" s="24" t="s">
        <v>1590</v>
      </c>
      <c r="P99" s="24" t="s">
        <v>848</v>
      </c>
      <c r="Q99" s="24" t="s">
        <v>848</v>
      </c>
      <c r="R99" s="24">
        <v>3</v>
      </c>
      <c r="S99" s="24" t="s">
        <v>1494</v>
      </c>
      <c r="T99" s="24" t="s">
        <v>962</v>
      </c>
      <c r="U99" s="24" t="s">
        <v>856</v>
      </c>
      <c r="V99" s="32" t="s">
        <v>857</v>
      </c>
      <c r="W99" s="14" t="b">
        <v>1</v>
      </c>
      <c r="X99" s="5" t="s">
        <v>409</v>
      </c>
      <c r="Y99" s="28"/>
      <c r="Z99" s="5" t="s">
        <v>858</v>
      </c>
      <c r="AA99" s="5" t="s">
        <v>858</v>
      </c>
      <c r="AB99" s="24" t="s">
        <v>413</v>
      </c>
      <c r="AC99" s="14"/>
      <c r="AD99" s="14"/>
      <c r="AE99" s="14">
        <v>1</v>
      </c>
      <c r="AF99" s="14"/>
      <c r="AG99" s="14"/>
      <c r="AH99" s="14"/>
      <c r="AI99" s="14"/>
      <c r="AJ99" s="14"/>
      <c r="AK99" s="14"/>
      <c r="AL99" s="14"/>
      <c r="AM99" s="14"/>
      <c r="AN99" s="14"/>
      <c r="AO99" s="14"/>
      <c r="AP99" s="14"/>
      <c r="AQ99" s="14"/>
      <c r="AR99" s="14"/>
      <c r="AS99" s="14"/>
      <c r="AT99" s="14"/>
      <c r="AU99" s="14"/>
      <c r="AV99" s="14"/>
      <c r="AW99" s="14"/>
      <c r="AX99" s="14"/>
    </row>
    <row r="100" spans="1:50" ht="15.75" customHeight="1">
      <c r="A100" s="24" t="s">
        <v>126</v>
      </c>
      <c r="B100" s="25" t="str">
        <f t="shared" si="2"/>
        <v>C2D_060nm_tile1_3_</v>
      </c>
      <c r="C100" s="24" t="s">
        <v>1594</v>
      </c>
      <c r="D100" s="74" t="str">
        <f t="shared" si="3"/>
        <v>bossdb://lee2022/C2D_060nm_tile1_3_/</v>
      </c>
      <c r="E100" s="24" t="s">
        <v>2</v>
      </c>
      <c r="F100" s="5" t="s">
        <v>1013</v>
      </c>
      <c r="G100" s="5" t="s">
        <v>865</v>
      </c>
      <c r="H100" s="24" t="s">
        <v>1491</v>
      </c>
      <c r="I100" s="24" t="s">
        <v>1594</v>
      </c>
      <c r="J100" s="24" t="s">
        <v>1492</v>
      </c>
      <c r="K100" s="24" t="s">
        <v>867</v>
      </c>
      <c r="L100" s="24" t="s">
        <v>853</v>
      </c>
      <c r="M100" s="24" t="s">
        <v>962</v>
      </c>
      <c r="N100" s="24" t="s">
        <v>0</v>
      </c>
      <c r="O100" s="24" t="s">
        <v>1591</v>
      </c>
      <c r="P100" s="24" t="s">
        <v>848</v>
      </c>
      <c r="Q100" s="24" t="s">
        <v>848</v>
      </c>
      <c r="R100" s="24">
        <v>3</v>
      </c>
      <c r="S100" s="24" t="s">
        <v>1494</v>
      </c>
      <c r="T100" s="24" t="s">
        <v>962</v>
      </c>
      <c r="U100" s="24" t="s">
        <v>856</v>
      </c>
      <c r="V100" s="32" t="s">
        <v>857</v>
      </c>
      <c r="W100" s="14" t="b">
        <v>1</v>
      </c>
      <c r="X100" s="5" t="s">
        <v>409</v>
      </c>
      <c r="Y100" s="28"/>
      <c r="Z100" s="5" t="s">
        <v>858</v>
      </c>
      <c r="AA100" s="5" t="s">
        <v>858</v>
      </c>
      <c r="AB100" s="24" t="s">
        <v>413</v>
      </c>
      <c r="AC100" s="14"/>
      <c r="AD100" s="14"/>
      <c r="AE100" s="14">
        <v>1</v>
      </c>
      <c r="AF100" s="14"/>
      <c r="AG100" s="14"/>
      <c r="AH100" s="14"/>
      <c r="AI100" s="14"/>
      <c r="AJ100" s="14"/>
      <c r="AK100" s="14"/>
      <c r="AL100" s="14"/>
      <c r="AM100" s="14"/>
      <c r="AN100" s="14"/>
      <c r="AO100" s="14"/>
      <c r="AP100" s="14"/>
      <c r="AQ100" s="14"/>
      <c r="AR100" s="14"/>
      <c r="AS100" s="14"/>
      <c r="AT100" s="14"/>
      <c r="AU100" s="14"/>
      <c r="AV100" s="14"/>
      <c r="AW100" s="14"/>
      <c r="AX100" s="14"/>
    </row>
    <row r="101" spans="1:50" ht="15.75" customHeight="1">
      <c r="A101" s="24" t="s">
        <v>128</v>
      </c>
      <c r="B101" s="25" t="str">
        <f t="shared" si="2"/>
        <v>C2D_060nm_tile1_4_</v>
      </c>
      <c r="C101" s="24" t="s">
        <v>1595</v>
      </c>
      <c r="D101" s="74" t="str">
        <f t="shared" si="3"/>
        <v>bossdb://lee2022/C2D_060nm_tile1_4_/</v>
      </c>
      <c r="E101" s="24" t="s">
        <v>2</v>
      </c>
      <c r="F101" s="5" t="s">
        <v>1013</v>
      </c>
      <c r="G101" s="5" t="s">
        <v>865</v>
      </c>
      <c r="H101" s="24" t="s">
        <v>1491</v>
      </c>
      <c r="I101" s="24" t="s">
        <v>1595</v>
      </c>
      <c r="J101" s="24" t="s">
        <v>1492</v>
      </c>
      <c r="K101" s="24" t="s">
        <v>867</v>
      </c>
      <c r="L101" s="24" t="s">
        <v>853</v>
      </c>
      <c r="M101" s="24" t="s">
        <v>962</v>
      </c>
      <c r="N101" s="24" t="s">
        <v>0</v>
      </c>
      <c r="O101" s="24" t="s">
        <v>1592</v>
      </c>
      <c r="P101" s="24" t="s">
        <v>848</v>
      </c>
      <c r="Q101" s="24" t="s">
        <v>848</v>
      </c>
      <c r="R101" s="24">
        <v>3</v>
      </c>
      <c r="S101" s="24" t="s">
        <v>1494</v>
      </c>
      <c r="T101" s="24" t="s">
        <v>962</v>
      </c>
      <c r="U101" s="24" t="s">
        <v>856</v>
      </c>
      <c r="V101" s="32" t="s">
        <v>857</v>
      </c>
      <c r="W101" s="14" t="b">
        <v>1</v>
      </c>
      <c r="X101" s="5" t="s">
        <v>409</v>
      </c>
      <c r="Y101" s="28"/>
      <c r="Z101" s="5" t="s">
        <v>858</v>
      </c>
      <c r="AA101" s="5" t="s">
        <v>858</v>
      </c>
      <c r="AB101" s="24" t="s">
        <v>413</v>
      </c>
      <c r="AC101" s="14"/>
      <c r="AD101" s="14"/>
      <c r="AE101" s="14">
        <v>1</v>
      </c>
      <c r="AF101" s="14"/>
      <c r="AG101" s="14"/>
      <c r="AH101" s="14"/>
      <c r="AI101" s="14"/>
      <c r="AJ101" s="14"/>
      <c r="AK101" s="14"/>
      <c r="AL101" s="14"/>
      <c r="AM101" s="14"/>
      <c r="AN101" s="14"/>
      <c r="AO101" s="14"/>
      <c r="AP101" s="14"/>
      <c r="AQ101" s="14"/>
      <c r="AR101" s="14"/>
      <c r="AS101" s="14"/>
      <c r="AT101" s="14"/>
      <c r="AU101" s="14"/>
      <c r="AV101" s="14"/>
      <c r="AW101" s="14"/>
      <c r="AX101" s="14"/>
    </row>
    <row r="102" spans="1:50" ht="15.75" customHeight="1">
      <c r="A102" s="24" t="s">
        <v>130</v>
      </c>
      <c r="B102" s="25" t="str">
        <f t="shared" si="2"/>
        <v>C2D_100nm_tile1_</v>
      </c>
      <c r="C102" s="24" t="s">
        <v>1596</v>
      </c>
      <c r="D102" s="74" t="str">
        <f t="shared" si="3"/>
        <v>bossdb://lee2022/C2D_100nm_tile1_/</v>
      </c>
      <c r="E102" s="24" t="s">
        <v>2</v>
      </c>
      <c r="F102" s="5" t="s">
        <v>1013</v>
      </c>
      <c r="G102" s="5" t="s">
        <v>865</v>
      </c>
      <c r="H102" s="24" t="s">
        <v>1491</v>
      </c>
      <c r="I102" s="24" t="s">
        <v>1596</v>
      </c>
      <c r="J102" s="24" t="s">
        <v>1492</v>
      </c>
      <c r="K102" s="24" t="s">
        <v>867</v>
      </c>
      <c r="L102" s="24" t="s">
        <v>853</v>
      </c>
      <c r="M102" s="24" t="s">
        <v>962</v>
      </c>
      <c r="N102" s="24" t="s">
        <v>0</v>
      </c>
      <c r="O102" s="24" t="s">
        <v>1593</v>
      </c>
      <c r="P102" s="24" t="s">
        <v>848</v>
      </c>
      <c r="Q102" s="24" t="s">
        <v>848</v>
      </c>
      <c r="R102" s="24">
        <v>3</v>
      </c>
      <c r="S102" s="24" t="s">
        <v>1494</v>
      </c>
      <c r="T102" s="24" t="s">
        <v>962</v>
      </c>
      <c r="U102" s="24" t="s">
        <v>856</v>
      </c>
      <c r="V102" s="32" t="s">
        <v>857</v>
      </c>
      <c r="W102" s="14" t="b">
        <v>1</v>
      </c>
      <c r="X102" s="5" t="s">
        <v>409</v>
      </c>
      <c r="Y102" s="28"/>
      <c r="Z102" s="5" t="s">
        <v>858</v>
      </c>
      <c r="AA102" s="5" t="s">
        <v>858</v>
      </c>
      <c r="AB102" s="24" t="s">
        <v>413</v>
      </c>
      <c r="AC102" s="14"/>
      <c r="AD102" s="14"/>
      <c r="AE102" s="14">
        <v>1</v>
      </c>
      <c r="AF102" s="14"/>
      <c r="AG102" s="14"/>
      <c r="AH102" s="14"/>
      <c r="AI102" s="14"/>
      <c r="AJ102" s="14"/>
      <c r="AK102" s="14"/>
      <c r="AL102" s="14"/>
      <c r="AM102" s="14"/>
      <c r="AN102" s="14"/>
      <c r="AO102" s="14"/>
      <c r="AP102" s="14"/>
      <c r="AQ102" s="14"/>
      <c r="AR102" s="14"/>
      <c r="AS102" s="14"/>
      <c r="AT102" s="14"/>
      <c r="AU102" s="14"/>
      <c r="AV102" s="14"/>
      <c r="AW102" s="14"/>
      <c r="AX102" s="14"/>
    </row>
    <row r="103" spans="1:50" ht="15.75" customHeight="1">
      <c r="A103" s="24" t="s">
        <v>132</v>
      </c>
      <c r="B103" s="25" t="str">
        <f t="shared" si="2"/>
        <v>C2D_100nm_tile1_1_</v>
      </c>
      <c r="C103" s="24" t="s">
        <v>1597</v>
      </c>
      <c r="D103" s="74" t="str">
        <f t="shared" si="3"/>
        <v>bossdb://lee2022/C2D_100nm_tile1_1_/</v>
      </c>
      <c r="E103" s="24" t="s">
        <v>2</v>
      </c>
      <c r="F103" s="5" t="s">
        <v>1013</v>
      </c>
      <c r="G103" s="5" t="s">
        <v>865</v>
      </c>
      <c r="H103" s="24" t="s">
        <v>1491</v>
      </c>
      <c r="I103" s="24" t="s">
        <v>1597</v>
      </c>
      <c r="J103" s="24" t="s">
        <v>1492</v>
      </c>
      <c r="K103" s="24" t="s">
        <v>867</v>
      </c>
      <c r="L103" s="24" t="s">
        <v>853</v>
      </c>
      <c r="M103" s="24" t="s">
        <v>962</v>
      </c>
      <c r="N103" s="24" t="s">
        <v>0</v>
      </c>
      <c r="O103" s="24" t="s">
        <v>1594</v>
      </c>
      <c r="P103" s="24" t="s">
        <v>848</v>
      </c>
      <c r="Q103" s="24" t="s">
        <v>848</v>
      </c>
      <c r="R103" s="24">
        <v>3</v>
      </c>
      <c r="S103" s="24" t="s">
        <v>1494</v>
      </c>
      <c r="T103" s="24" t="s">
        <v>962</v>
      </c>
      <c r="U103" s="24" t="s">
        <v>856</v>
      </c>
      <c r="V103" s="32" t="s">
        <v>857</v>
      </c>
      <c r="W103" s="14" t="b">
        <v>1</v>
      </c>
      <c r="X103" s="5" t="s">
        <v>409</v>
      </c>
      <c r="Y103" s="28"/>
      <c r="Z103" s="5" t="s">
        <v>858</v>
      </c>
      <c r="AA103" s="5" t="s">
        <v>858</v>
      </c>
      <c r="AB103" s="24" t="s">
        <v>413</v>
      </c>
      <c r="AC103" s="14"/>
      <c r="AD103" s="14"/>
      <c r="AE103" s="14">
        <v>1</v>
      </c>
      <c r="AF103" s="14"/>
      <c r="AG103" s="14"/>
      <c r="AH103" s="14"/>
      <c r="AI103" s="14"/>
      <c r="AJ103" s="14"/>
      <c r="AK103" s="14"/>
      <c r="AL103" s="14"/>
      <c r="AM103" s="14"/>
      <c r="AN103" s="14"/>
      <c r="AO103" s="14"/>
      <c r="AP103" s="14"/>
      <c r="AQ103" s="14"/>
      <c r="AR103" s="14"/>
      <c r="AS103" s="14"/>
      <c r="AT103" s="14"/>
      <c r="AU103" s="14"/>
      <c r="AV103" s="14"/>
      <c r="AW103" s="14"/>
      <c r="AX103" s="14"/>
    </row>
    <row r="104" spans="1:50" ht="15.75" customHeight="1">
      <c r="A104" s="24" t="s">
        <v>134</v>
      </c>
      <c r="B104" s="25" t="str">
        <f t="shared" si="2"/>
        <v>C2D_100nm_tile1_2_</v>
      </c>
      <c r="C104" s="24" t="s">
        <v>1598</v>
      </c>
      <c r="D104" s="74" t="str">
        <f t="shared" si="3"/>
        <v>bossdb://lee2022/C2D_100nm_tile1_2_/</v>
      </c>
      <c r="E104" s="24" t="s">
        <v>2</v>
      </c>
      <c r="F104" s="5" t="s">
        <v>1013</v>
      </c>
      <c r="G104" s="5" t="s">
        <v>865</v>
      </c>
      <c r="H104" s="24" t="s">
        <v>1491</v>
      </c>
      <c r="I104" s="24" t="s">
        <v>1598</v>
      </c>
      <c r="J104" s="24" t="s">
        <v>1492</v>
      </c>
      <c r="K104" s="24" t="s">
        <v>867</v>
      </c>
      <c r="L104" s="24" t="s">
        <v>853</v>
      </c>
      <c r="M104" s="24" t="s">
        <v>962</v>
      </c>
      <c r="N104" s="24" t="s">
        <v>0</v>
      </c>
      <c r="O104" s="24" t="s">
        <v>1595</v>
      </c>
      <c r="P104" s="24" t="s">
        <v>848</v>
      </c>
      <c r="Q104" s="24" t="s">
        <v>848</v>
      </c>
      <c r="R104" s="24">
        <v>3</v>
      </c>
      <c r="S104" s="24" t="s">
        <v>1494</v>
      </c>
      <c r="T104" s="24" t="s">
        <v>962</v>
      </c>
      <c r="U104" s="24" t="s">
        <v>856</v>
      </c>
      <c r="V104" s="32" t="s">
        <v>857</v>
      </c>
      <c r="W104" s="14" t="b">
        <v>1</v>
      </c>
      <c r="X104" s="5" t="s">
        <v>409</v>
      </c>
      <c r="Y104" s="28"/>
      <c r="Z104" s="5" t="s">
        <v>858</v>
      </c>
      <c r="AA104" s="5" t="s">
        <v>858</v>
      </c>
      <c r="AB104" s="24" t="s">
        <v>413</v>
      </c>
      <c r="AC104" s="14"/>
      <c r="AD104" s="14"/>
      <c r="AE104" s="14">
        <v>1</v>
      </c>
      <c r="AF104" s="14"/>
      <c r="AG104" s="14"/>
      <c r="AH104" s="14"/>
      <c r="AI104" s="14"/>
      <c r="AJ104" s="14"/>
      <c r="AK104" s="14"/>
      <c r="AL104" s="14"/>
      <c r="AM104" s="14"/>
      <c r="AN104" s="14"/>
      <c r="AO104" s="14"/>
      <c r="AP104" s="14"/>
      <c r="AQ104" s="14"/>
      <c r="AR104" s="14"/>
      <c r="AS104" s="14"/>
      <c r="AT104" s="14"/>
      <c r="AU104" s="14"/>
      <c r="AV104" s="14"/>
      <c r="AW104" s="14"/>
      <c r="AX104" s="14"/>
    </row>
    <row r="105" spans="1:50" ht="15.75" customHeight="1">
      <c r="A105" s="24" t="s">
        <v>136</v>
      </c>
      <c r="B105" s="25" t="str">
        <f t="shared" si="2"/>
        <v>C2D_100nm_tile1_3_</v>
      </c>
      <c r="C105" s="24" t="s">
        <v>1599</v>
      </c>
      <c r="D105" s="74" t="str">
        <f t="shared" si="3"/>
        <v>bossdb://lee2022/C2D_100nm_tile1_3_/</v>
      </c>
      <c r="E105" s="24" t="s">
        <v>2</v>
      </c>
      <c r="F105" s="5" t="s">
        <v>1013</v>
      </c>
      <c r="G105" s="5" t="s">
        <v>865</v>
      </c>
      <c r="H105" s="24" t="s">
        <v>1491</v>
      </c>
      <c r="I105" s="24" t="s">
        <v>1599</v>
      </c>
      <c r="J105" s="24" t="s">
        <v>1492</v>
      </c>
      <c r="K105" s="24" t="s">
        <v>867</v>
      </c>
      <c r="L105" s="24" t="s">
        <v>853</v>
      </c>
      <c r="M105" s="24" t="s">
        <v>962</v>
      </c>
      <c r="N105" s="24" t="s">
        <v>0</v>
      </c>
      <c r="O105" s="24" t="s">
        <v>1596</v>
      </c>
      <c r="P105" s="24" t="s">
        <v>848</v>
      </c>
      <c r="Q105" s="24" t="s">
        <v>848</v>
      </c>
      <c r="R105" s="24">
        <v>3</v>
      </c>
      <c r="S105" s="24" t="s">
        <v>1494</v>
      </c>
      <c r="T105" s="24" t="s">
        <v>962</v>
      </c>
      <c r="U105" s="24" t="s">
        <v>856</v>
      </c>
      <c r="V105" s="32" t="s">
        <v>857</v>
      </c>
      <c r="W105" s="14" t="b">
        <v>1</v>
      </c>
      <c r="X105" s="5" t="s">
        <v>409</v>
      </c>
      <c r="Y105" s="28"/>
      <c r="Z105" s="5" t="s">
        <v>858</v>
      </c>
      <c r="AA105" s="5" t="s">
        <v>858</v>
      </c>
      <c r="AB105" s="24" t="s">
        <v>413</v>
      </c>
      <c r="AC105" s="14"/>
      <c r="AD105" s="14"/>
      <c r="AE105" s="14">
        <v>1</v>
      </c>
      <c r="AF105" s="14"/>
      <c r="AG105" s="14"/>
      <c r="AH105" s="14"/>
      <c r="AI105" s="14"/>
      <c r="AJ105" s="14"/>
      <c r="AK105" s="14"/>
      <c r="AL105" s="14"/>
      <c r="AM105" s="14"/>
      <c r="AN105" s="14"/>
      <c r="AO105" s="14"/>
      <c r="AP105" s="14"/>
      <c r="AQ105" s="14"/>
      <c r="AR105" s="14"/>
      <c r="AS105" s="14"/>
      <c r="AT105" s="14"/>
      <c r="AU105" s="14"/>
      <c r="AV105" s="14"/>
      <c r="AW105" s="14"/>
      <c r="AX105" s="14"/>
    </row>
    <row r="106" spans="1:50" ht="15.75" customHeight="1">
      <c r="A106" s="24" t="s">
        <v>138</v>
      </c>
      <c r="B106" s="25" t="str">
        <f t="shared" si="2"/>
        <v>C2D_100nm_tile1_4_</v>
      </c>
      <c r="C106" s="24" t="s">
        <v>1600</v>
      </c>
      <c r="D106" s="74" t="str">
        <f t="shared" si="3"/>
        <v>bossdb://lee2022/C2D_100nm_tile1_4_/</v>
      </c>
      <c r="E106" s="24" t="s">
        <v>2</v>
      </c>
      <c r="F106" s="5" t="s">
        <v>1013</v>
      </c>
      <c r="G106" s="5" t="s">
        <v>865</v>
      </c>
      <c r="H106" s="24" t="s">
        <v>1491</v>
      </c>
      <c r="I106" s="24" t="s">
        <v>1600</v>
      </c>
      <c r="J106" s="24" t="s">
        <v>1492</v>
      </c>
      <c r="K106" s="24" t="s">
        <v>867</v>
      </c>
      <c r="L106" s="24" t="s">
        <v>853</v>
      </c>
      <c r="M106" s="24" t="s">
        <v>962</v>
      </c>
      <c r="N106" s="24" t="s">
        <v>0</v>
      </c>
      <c r="O106" s="24" t="s">
        <v>1597</v>
      </c>
      <c r="P106" s="24" t="s">
        <v>848</v>
      </c>
      <c r="Q106" s="24" t="s">
        <v>848</v>
      </c>
      <c r="R106" s="24">
        <v>3</v>
      </c>
      <c r="S106" s="24" t="s">
        <v>1494</v>
      </c>
      <c r="T106" s="24" t="s">
        <v>962</v>
      </c>
      <c r="U106" s="24" t="s">
        <v>856</v>
      </c>
      <c r="V106" s="32" t="s">
        <v>857</v>
      </c>
      <c r="W106" s="14" t="b">
        <v>1</v>
      </c>
      <c r="X106" s="5" t="s">
        <v>409</v>
      </c>
      <c r="Y106" s="28"/>
      <c r="Z106" s="5" t="s">
        <v>858</v>
      </c>
      <c r="AA106" s="5" t="s">
        <v>858</v>
      </c>
      <c r="AB106" s="24" t="s">
        <v>413</v>
      </c>
      <c r="AC106" s="14"/>
      <c r="AD106" s="14"/>
      <c r="AE106" s="14">
        <v>1</v>
      </c>
      <c r="AF106" s="14"/>
      <c r="AG106" s="14"/>
      <c r="AH106" s="14"/>
      <c r="AI106" s="14"/>
      <c r="AJ106" s="14"/>
      <c r="AK106" s="14"/>
      <c r="AL106" s="14"/>
      <c r="AM106" s="14"/>
      <c r="AN106" s="14"/>
      <c r="AO106" s="14"/>
      <c r="AP106" s="14"/>
      <c r="AQ106" s="14"/>
      <c r="AR106" s="14"/>
      <c r="AS106" s="14"/>
      <c r="AT106" s="14"/>
      <c r="AU106" s="14"/>
      <c r="AV106" s="14"/>
      <c r="AW106" s="14"/>
      <c r="AX106" s="14"/>
    </row>
    <row r="107" spans="1:50" ht="15.75" customHeight="1">
      <c r="A107" s="24" t="s">
        <v>140</v>
      </c>
      <c r="B107" s="25" t="str">
        <f t="shared" si="2"/>
        <v>C2D_100nm_tile2_</v>
      </c>
      <c r="C107" s="24" t="s">
        <v>1601</v>
      </c>
      <c r="D107" s="74" t="str">
        <f t="shared" si="3"/>
        <v>bossdb://lee2022/C2D_100nm_tile2_/</v>
      </c>
      <c r="E107" s="24" t="s">
        <v>2</v>
      </c>
      <c r="F107" s="5" t="s">
        <v>1013</v>
      </c>
      <c r="G107" s="5" t="s">
        <v>865</v>
      </c>
      <c r="H107" s="24" t="s">
        <v>1491</v>
      </c>
      <c r="I107" s="24" t="s">
        <v>1601</v>
      </c>
      <c r="J107" s="24" t="s">
        <v>1492</v>
      </c>
      <c r="K107" s="24" t="s">
        <v>867</v>
      </c>
      <c r="L107" s="24" t="s">
        <v>853</v>
      </c>
      <c r="M107" s="24" t="s">
        <v>962</v>
      </c>
      <c r="N107" s="24" t="s">
        <v>0</v>
      </c>
      <c r="O107" s="24" t="s">
        <v>1598</v>
      </c>
      <c r="P107" s="24" t="s">
        <v>848</v>
      </c>
      <c r="Q107" s="24" t="s">
        <v>848</v>
      </c>
      <c r="R107" s="24">
        <v>3</v>
      </c>
      <c r="S107" s="24" t="s">
        <v>1494</v>
      </c>
      <c r="T107" s="24" t="s">
        <v>962</v>
      </c>
      <c r="U107" s="24" t="s">
        <v>856</v>
      </c>
      <c r="V107" s="32" t="s">
        <v>857</v>
      </c>
      <c r="W107" s="14" t="b">
        <v>1</v>
      </c>
      <c r="X107" s="5" t="s">
        <v>409</v>
      </c>
      <c r="Y107" s="28"/>
      <c r="Z107" s="5" t="s">
        <v>858</v>
      </c>
      <c r="AA107" s="5" t="s">
        <v>858</v>
      </c>
      <c r="AB107" s="24" t="s">
        <v>413</v>
      </c>
      <c r="AC107" s="14"/>
      <c r="AD107" s="14"/>
      <c r="AE107" s="14">
        <v>1</v>
      </c>
      <c r="AF107" s="14"/>
      <c r="AG107" s="14"/>
      <c r="AH107" s="14"/>
      <c r="AI107" s="14"/>
      <c r="AJ107" s="14"/>
      <c r="AK107" s="14"/>
      <c r="AL107" s="14"/>
      <c r="AM107" s="14"/>
      <c r="AN107" s="14"/>
      <c r="AO107" s="14"/>
      <c r="AP107" s="14"/>
      <c r="AQ107" s="14"/>
      <c r="AR107" s="14"/>
      <c r="AS107" s="14"/>
      <c r="AT107" s="14"/>
      <c r="AU107" s="14"/>
      <c r="AV107" s="14"/>
      <c r="AW107" s="14"/>
      <c r="AX107" s="14"/>
    </row>
    <row r="108" spans="1:50" ht="15.75" customHeight="1">
      <c r="A108" s="24" t="s">
        <v>142</v>
      </c>
      <c r="B108" s="25" t="str">
        <f t="shared" si="2"/>
        <v>C2D_100nm_tile2_1_</v>
      </c>
      <c r="C108" s="24" t="s">
        <v>1602</v>
      </c>
      <c r="D108" s="74" t="str">
        <f t="shared" si="3"/>
        <v>bossdb://lee2022/C2D_100nm_tile2_1_/</v>
      </c>
      <c r="E108" s="24" t="s">
        <v>2</v>
      </c>
      <c r="F108" s="5" t="s">
        <v>1013</v>
      </c>
      <c r="G108" s="5" t="s">
        <v>865</v>
      </c>
      <c r="H108" s="24" t="s">
        <v>1491</v>
      </c>
      <c r="I108" s="24" t="s">
        <v>1602</v>
      </c>
      <c r="J108" s="24" t="s">
        <v>1492</v>
      </c>
      <c r="K108" s="24" t="s">
        <v>867</v>
      </c>
      <c r="L108" s="24" t="s">
        <v>853</v>
      </c>
      <c r="M108" s="24" t="s">
        <v>962</v>
      </c>
      <c r="N108" s="24" t="s">
        <v>0</v>
      </c>
      <c r="O108" s="24" t="s">
        <v>1599</v>
      </c>
      <c r="P108" s="24" t="s">
        <v>848</v>
      </c>
      <c r="Q108" s="24" t="s">
        <v>848</v>
      </c>
      <c r="R108" s="24">
        <v>3</v>
      </c>
      <c r="S108" s="24" t="s">
        <v>1494</v>
      </c>
      <c r="T108" s="24" t="s">
        <v>962</v>
      </c>
      <c r="U108" s="24" t="s">
        <v>856</v>
      </c>
      <c r="V108" s="32" t="s">
        <v>857</v>
      </c>
      <c r="W108" s="14" t="b">
        <v>1</v>
      </c>
      <c r="X108" s="5" t="s">
        <v>409</v>
      </c>
      <c r="Y108" s="28"/>
      <c r="Z108" s="5" t="s">
        <v>858</v>
      </c>
      <c r="AA108" s="5" t="s">
        <v>858</v>
      </c>
      <c r="AB108" s="24" t="s">
        <v>413</v>
      </c>
      <c r="AC108" s="14"/>
      <c r="AD108" s="14"/>
      <c r="AE108" s="14">
        <v>1</v>
      </c>
      <c r="AF108" s="14"/>
      <c r="AG108" s="14"/>
      <c r="AH108" s="14"/>
      <c r="AI108" s="14"/>
      <c r="AJ108" s="14"/>
      <c r="AK108" s="14"/>
      <c r="AL108" s="14"/>
      <c r="AM108" s="14"/>
      <c r="AN108" s="14"/>
      <c r="AO108" s="14"/>
      <c r="AP108" s="14"/>
      <c r="AQ108" s="14"/>
      <c r="AR108" s="14"/>
      <c r="AS108" s="14"/>
      <c r="AT108" s="14"/>
      <c r="AU108" s="14"/>
      <c r="AV108" s="14"/>
      <c r="AW108" s="14"/>
      <c r="AX108" s="14"/>
    </row>
    <row r="109" spans="1:50" ht="15.75" customHeight="1">
      <c r="A109" s="24" t="s">
        <v>144</v>
      </c>
      <c r="B109" s="25" t="str">
        <f t="shared" si="2"/>
        <v>C2D_100nm_tile2_2_</v>
      </c>
      <c r="C109" s="24" t="s">
        <v>1603</v>
      </c>
      <c r="D109" s="74" t="str">
        <f t="shared" si="3"/>
        <v>bossdb://lee2022/C2D_100nm_tile2_2_/</v>
      </c>
      <c r="E109" s="24" t="s">
        <v>2</v>
      </c>
      <c r="F109" s="5" t="s">
        <v>1013</v>
      </c>
      <c r="G109" s="5" t="s">
        <v>865</v>
      </c>
      <c r="H109" s="24" t="s">
        <v>1491</v>
      </c>
      <c r="I109" s="24" t="s">
        <v>1603</v>
      </c>
      <c r="J109" s="24" t="s">
        <v>1492</v>
      </c>
      <c r="K109" s="24" t="s">
        <v>867</v>
      </c>
      <c r="L109" s="24" t="s">
        <v>853</v>
      </c>
      <c r="M109" s="24" t="s">
        <v>962</v>
      </c>
      <c r="N109" s="24" t="s">
        <v>0</v>
      </c>
      <c r="O109" s="24" t="s">
        <v>1600</v>
      </c>
      <c r="P109" s="24" t="s">
        <v>848</v>
      </c>
      <c r="Q109" s="24" t="s">
        <v>848</v>
      </c>
      <c r="R109" s="24">
        <v>3</v>
      </c>
      <c r="S109" s="24" t="s">
        <v>1494</v>
      </c>
      <c r="T109" s="24" t="s">
        <v>962</v>
      </c>
      <c r="U109" s="24" t="s">
        <v>856</v>
      </c>
      <c r="V109" s="32" t="s">
        <v>857</v>
      </c>
      <c r="W109" s="14" t="b">
        <v>1</v>
      </c>
      <c r="X109" s="5" t="s">
        <v>409</v>
      </c>
      <c r="Y109" s="28"/>
      <c r="Z109" s="5" t="s">
        <v>858</v>
      </c>
      <c r="AA109" s="5" t="s">
        <v>858</v>
      </c>
      <c r="AB109" s="24" t="s">
        <v>413</v>
      </c>
      <c r="AC109" s="14"/>
      <c r="AD109" s="14"/>
      <c r="AE109" s="14">
        <v>1</v>
      </c>
      <c r="AF109" s="14"/>
      <c r="AG109" s="14"/>
      <c r="AH109" s="14"/>
      <c r="AI109" s="14"/>
      <c r="AJ109" s="14"/>
      <c r="AK109" s="14"/>
      <c r="AL109" s="14"/>
      <c r="AM109" s="14"/>
      <c r="AN109" s="14"/>
      <c r="AO109" s="14"/>
      <c r="AP109" s="14"/>
      <c r="AQ109" s="14"/>
      <c r="AR109" s="14"/>
      <c r="AS109" s="14"/>
      <c r="AT109" s="14"/>
      <c r="AU109" s="14"/>
      <c r="AV109" s="14"/>
      <c r="AW109" s="14"/>
      <c r="AX109" s="14"/>
    </row>
    <row r="110" spans="1:50" ht="15.75" customHeight="1">
      <c r="A110" s="24" t="s">
        <v>146</v>
      </c>
      <c r="B110" s="25" t="str">
        <f t="shared" si="2"/>
        <v>C2D_100nm_tile2_3_</v>
      </c>
      <c r="C110" s="24" t="s">
        <v>1604</v>
      </c>
      <c r="D110" s="74" t="str">
        <f t="shared" si="3"/>
        <v>bossdb://lee2022/C2D_100nm_tile2_3_/</v>
      </c>
      <c r="E110" s="24" t="s">
        <v>2</v>
      </c>
      <c r="F110" s="5" t="s">
        <v>1013</v>
      </c>
      <c r="G110" s="5" t="s">
        <v>865</v>
      </c>
      <c r="H110" s="24" t="s">
        <v>1491</v>
      </c>
      <c r="I110" s="24" t="s">
        <v>1604</v>
      </c>
      <c r="J110" s="24" t="s">
        <v>1492</v>
      </c>
      <c r="K110" s="24" t="s">
        <v>867</v>
      </c>
      <c r="L110" s="24" t="s">
        <v>853</v>
      </c>
      <c r="M110" s="24" t="s">
        <v>962</v>
      </c>
      <c r="N110" s="24" t="s">
        <v>0</v>
      </c>
      <c r="O110" s="24" t="s">
        <v>1601</v>
      </c>
      <c r="P110" s="24" t="s">
        <v>848</v>
      </c>
      <c r="Q110" s="24" t="s">
        <v>848</v>
      </c>
      <c r="R110" s="24">
        <v>3</v>
      </c>
      <c r="S110" s="24" t="s">
        <v>1494</v>
      </c>
      <c r="T110" s="24" t="s">
        <v>962</v>
      </c>
      <c r="U110" s="24" t="s">
        <v>856</v>
      </c>
      <c r="V110" s="32" t="s">
        <v>857</v>
      </c>
      <c r="W110" s="14" t="b">
        <v>1</v>
      </c>
      <c r="X110" s="5" t="s">
        <v>409</v>
      </c>
      <c r="Y110" s="28"/>
      <c r="Z110" s="5" t="s">
        <v>858</v>
      </c>
      <c r="AA110" s="5" t="s">
        <v>858</v>
      </c>
      <c r="AB110" s="24" t="s">
        <v>413</v>
      </c>
      <c r="AC110" s="14"/>
      <c r="AD110" s="14"/>
      <c r="AE110" s="14">
        <v>1</v>
      </c>
      <c r="AF110" s="14"/>
      <c r="AG110" s="14"/>
      <c r="AH110" s="14"/>
      <c r="AI110" s="14"/>
      <c r="AJ110" s="14"/>
      <c r="AK110" s="14"/>
      <c r="AL110" s="14"/>
      <c r="AM110" s="14"/>
      <c r="AN110" s="14"/>
      <c r="AO110" s="14"/>
      <c r="AP110" s="14"/>
      <c r="AQ110" s="14"/>
      <c r="AR110" s="14"/>
      <c r="AS110" s="14"/>
      <c r="AT110" s="14"/>
      <c r="AU110" s="14"/>
      <c r="AV110" s="14"/>
      <c r="AW110" s="14"/>
      <c r="AX110" s="14"/>
    </row>
    <row r="111" spans="1:50" ht="15.75" customHeight="1">
      <c r="A111" s="24" t="s">
        <v>148</v>
      </c>
      <c r="B111" s="25" t="str">
        <f t="shared" si="2"/>
        <v>C2D_100nm_tile2_4_</v>
      </c>
      <c r="C111" s="24" t="s">
        <v>1605</v>
      </c>
      <c r="D111" s="74" t="str">
        <f t="shared" si="3"/>
        <v>bossdb://lee2022/C2D_100nm_tile2_4_/</v>
      </c>
      <c r="E111" s="24" t="s">
        <v>2</v>
      </c>
      <c r="F111" s="5" t="s">
        <v>1013</v>
      </c>
      <c r="G111" s="5" t="s">
        <v>865</v>
      </c>
      <c r="H111" s="24" t="s">
        <v>1491</v>
      </c>
      <c r="I111" s="24" t="s">
        <v>1605</v>
      </c>
      <c r="J111" s="24" t="s">
        <v>1492</v>
      </c>
      <c r="K111" s="24" t="s">
        <v>867</v>
      </c>
      <c r="L111" s="24" t="s">
        <v>853</v>
      </c>
      <c r="M111" s="24" t="s">
        <v>962</v>
      </c>
      <c r="N111" s="24" t="s">
        <v>0</v>
      </c>
      <c r="O111" s="24" t="s">
        <v>1602</v>
      </c>
      <c r="P111" s="24" t="s">
        <v>848</v>
      </c>
      <c r="Q111" s="24" t="s">
        <v>848</v>
      </c>
      <c r="R111" s="24">
        <v>3</v>
      </c>
      <c r="S111" s="24" t="s">
        <v>1494</v>
      </c>
      <c r="T111" s="24" t="s">
        <v>962</v>
      </c>
      <c r="U111" s="24" t="s">
        <v>856</v>
      </c>
      <c r="V111" s="32" t="s">
        <v>857</v>
      </c>
      <c r="W111" s="14" t="b">
        <v>1</v>
      </c>
      <c r="X111" s="5" t="s">
        <v>409</v>
      </c>
      <c r="Y111" s="28"/>
      <c r="Z111" s="5" t="s">
        <v>858</v>
      </c>
      <c r="AA111" s="5" t="s">
        <v>858</v>
      </c>
      <c r="AB111" s="24" t="s">
        <v>413</v>
      </c>
      <c r="AC111" s="14"/>
      <c r="AD111" s="14"/>
      <c r="AE111" s="14">
        <v>1</v>
      </c>
      <c r="AF111" s="14"/>
      <c r="AG111" s="14"/>
      <c r="AH111" s="14"/>
      <c r="AI111" s="14"/>
      <c r="AJ111" s="14"/>
      <c r="AK111" s="14"/>
      <c r="AL111" s="14"/>
      <c r="AM111" s="14"/>
      <c r="AN111" s="14"/>
      <c r="AO111" s="14"/>
      <c r="AP111" s="14"/>
      <c r="AQ111" s="14"/>
      <c r="AR111" s="14"/>
      <c r="AS111" s="14"/>
      <c r="AT111" s="14"/>
      <c r="AU111" s="14"/>
      <c r="AV111" s="14"/>
      <c r="AW111" s="14"/>
      <c r="AX111" s="14"/>
    </row>
    <row r="112" spans="1:50" ht="15.75" customHeight="1">
      <c r="A112" s="24" t="s">
        <v>150</v>
      </c>
      <c r="B112" s="25" t="str">
        <f t="shared" si="2"/>
        <v>C2D_100nm_tile3_</v>
      </c>
      <c r="C112" s="24" t="s">
        <v>1606</v>
      </c>
      <c r="D112" s="74" t="str">
        <f t="shared" si="3"/>
        <v>bossdb://lee2022/C2D_100nm_tile3_/</v>
      </c>
      <c r="E112" s="24" t="s">
        <v>2</v>
      </c>
      <c r="F112" s="5" t="s">
        <v>1013</v>
      </c>
      <c r="G112" s="5" t="s">
        <v>865</v>
      </c>
      <c r="H112" s="24" t="s">
        <v>1491</v>
      </c>
      <c r="I112" s="24" t="s">
        <v>1606</v>
      </c>
      <c r="J112" s="24" t="s">
        <v>1492</v>
      </c>
      <c r="K112" s="24" t="s">
        <v>867</v>
      </c>
      <c r="L112" s="24" t="s">
        <v>853</v>
      </c>
      <c r="M112" s="24" t="s">
        <v>962</v>
      </c>
      <c r="N112" s="24" t="s">
        <v>0</v>
      </c>
      <c r="O112" s="24" t="s">
        <v>1603</v>
      </c>
      <c r="P112" s="24" t="s">
        <v>848</v>
      </c>
      <c r="Q112" s="24" t="s">
        <v>848</v>
      </c>
      <c r="R112" s="24">
        <v>3</v>
      </c>
      <c r="S112" s="24" t="s">
        <v>1494</v>
      </c>
      <c r="T112" s="24" t="s">
        <v>962</v>
      </c>
      <c r="U112" s="24" t="s">
        <v>856</v>
      </c>
      <c r="V112" s="32" t="s">
        <v>857</v>
      </c>
      <c r="W112" s="14" t="b">
        <v>1</v>
      </c>
      <c r="X112" s="5" t="s">
        <v>409</v>
      </c>
      <c r="Y112" s="28"/>
      <c r="Z112" s="5" t="s">
        <v>858</v>
      </c>
      <c r="AA112" s="5" t="s">
        <v>858</v>
      </c>
      <c r="AB112" s="24" t="s">
        <v>413</v>
      </c>
      <c r="AC112" s="14"/>
      <c r="AD112" s="14"/>
      <c r="AE112" s="14">
        <v>1</v>
      </c>
      <c r="AF112" s="14"/>
      <c r="AG112" s="14"/>
      <c r="AH112" s="14"/>
      <c r="AI112" s="14"/>
      <c r="AJ112" s="14"/>
      <c r="AK112" s="14"/>
      <c r="AL112" s="14"/>
      <c r="AM112" s="14"/>
      <c r="AN112" s="14"/>
      <c r="AO112" s="14"/>
      <c r="AP112" s="14"/>
      <c r="AQ112" s="14"/>
      <c r="AR112" s="14"/>
      <c r="AS112" s="14"/>
      <c r="AT112" s="14"/>
      <c r="AU112" s="14"/>
      <c r="AV112" s="14"/>
      <c r="AW112" s="14"/>
      <c r="AX112" s="14"/>
    </row>
    <row r="113" spans="1:50" ht="15.75" customHeight="1">
      <c r="A113" s="24" t="s">
        <v>152</v>
      </c>
      <c r="B113" s="25" t="str">
        <f t="shared" si="2"/>
        <v>C2D_100nm_tile3_1_</v>
      </c>
      <c r="C113" s="24" t="s">
        <v>1607</v>
      </c>
      <c r="D113" s="74" t="str">
        <f t="shared" si="3"/>
        <v>bossdb://lee2022/C2D_100nm_tile3_1_/</v>
      </c>
      <c r="E113" s="24" t="s">
        <v>2</v>
      </c>
      <c r="F113" s="5" t="s">
        <v>1013</v>
      </c>
      <c r="G113" s="5" t="s">
        <v>865</v>
      </c>
      <c r="H113" s="24" t="s">
        <v>1491</v>
      </c>
      <c r="I113" s="24" t="s">
        <v>1607</v>
      </c>
      <c r="J113" s="24" t="s">
        <v>1492</v>
      </c>
      <c r="K113" s="24" t="s">
        <v>867</v>
      </c>
      <c r="L113" s="24" t="s">
        <v>853</v>
      </c>
      <c r="M113" s="24" t="s">
        <v>962</v>
      </c>
      <c r="N113" s="24" t="s">
        <v>0</v>
      </c>
      <c r="O113" s="24" t="s">
        <v>1604</v>
      </c>
      <c r="P113" s="24" t="s">
        <v>848</v>
      </c>
      <c r="Q113" s="24" t="s">
        <v>848</v>
      </c>
      <c r="R113" s="24">
        <v>3</v>
      </c>
      <c r="S113" s="24" t="s">
        <v>1494</v>
      </c>
      <c r="T113" s="24" t="s">
        <v>962</v>
      </c>
      <c r="U113" s="24" t="s">
        <v>856</v>
      </c>
      <c r="V113" s="32" t="s">
        <v>857</v>
      </c>
      <c r="W113" s="14" t="b">
        <v>1</v>
      </c>
      <c r="X113" s="5" t="s">
        <v>409</v>
      </c>
      <c r="Y113" s="28"/>
      <c r="Z113" s="5" t="s">
        <v>858</v>
      </c>
      <c r="AA113" s="5" t="s">
        <v>858</v>
      </c>
      <c r="AB113" s="24" t="s">
        <v>413</v>
      </c>
      <c r="AC113" s="14"/>
      <c r="AD113" s="14"/>
      <c r="AE113" s="14">
        <v>1</v>
      </c>
      <c r="AF113" s="14"/>
      <c r="AG113" s="14"/>
      <c r="AH113" s="14"/>
      <c r="AI113" s="14"/>
      <c r="AJ113" s="14"/>
      <c r="AK113" s="14"/>
      <c r="AL113" s="14"/>
      <c r="AM113" s="14"/>
      <c r="AN113" s="14"/>
      <c r="AO113" s="14"/>
      <c r="AP113" s="14"/>
      <c r="AQ113" s="14"/>
      <c r="AR113" s="14"/>
      <c r="AS113" s="14"/>
      <c r="AT113" s="14"/>
      <c r="AU113" s="14"/>
      <c r="AV113" s="14"/>
      <c r="AW113" s="14"/>
      <c r="AX113" s="14"/>
    </row>
    <row r="114" spans="1:50" ht="15.75" customHeight="1">
      <c r="A114" s="24" t="s">
        <v>154</v>
      </c>
      <c r="B114" s="25" t="str">
        <f t="shared" si="2"/>
        <v>C2D_100nm_tile3_2_</v>
      </c>
      <c r="C114" s="24" t="s">
        <v>1608</v>
      </c>
      <c r="D114" s="74" t="str">
        <f t="shared" si="3"/>
        <v>bossdb://lee2022/C2D_100nm_tile3_2_/</v>
      </c>
      <c r="E114" s="24" t="s">
        <v>2</v>
      </c>
      <c r="F114" s="5" t="s">
        <v>1013</v>
      </c>
      <c r="G114" s="5" t="s">
        <v>865</v>
      </c>
      <c r="H114" s="24" t="s">
        <v>1491</v>
      </c>
      <c r="I114" s="24" t="s">
        <v>1608</v>
      </c>
      <c r="J114" s="24" t="s">
        <v>1492</v>
      </c>
      <c r="K114" s="24" t="s">
        <v>867</v>
      </c>
      <c r="L114" s="24" t="s">
        <v>853</v>
      </c>
      <c r="M114" s="24" t="s">
        <v>962</v>
      </c>
      <c r="N114" s="24" t="s">
        <v>0</v>
      </c>
      <c r="O114" s="24" t="s">
        <v>1605</v>
      </c>
      <c r="P114" s="24" t="s">
        <v>848</v>
      </c>
      <c r="Q114" s="24" t="s">
        <v>848</v>
      </c>
      <c r="R114" s="24">
        <v>3</v>
      </c>
      <c r="S114" s="24" t="s">
        <v>1494</v>
      </c>
      <c r="T114" s="24" t="s">
        <v>962</v>
      </c>
      <c r="U114" s="24" t="s">
        <v>856</v>
      </c>
      <c r="V114" s="32" t="s">
        <v>857</v>
      </c>
      <c r="W114" s="14" t="b">
        <v>1</v>
      </c>
      <c r="X114" s="5" t="s">
        <v>409</v>
      </c>
      <c r="Y114" s="28"/>
      <c r="Z114" s="5" t="s">
        <v>858</v>
      </c>
      <c r="AA114" s="5" t="s">
        <v>858</v>
      </c>
      <c r="AB114" s="24" t="s">
        <v>413</v>
      </c>
      <c r="AC114" s="14"/>
      <c r="AD114" s="14"/>
      <c r="AE114" s="14">
        <v>1</v>
      </c>
      <c r="AF114" s="14"/>
      <c r="AG114" s="14"/>
      <c r="AH114" s="14"/>
      <c r="AI114" s="14"/>
      <c r="AJ114" s="14"/>
      <c r="AK114" s="14"/>
      <c r="AL114" s="14"/>
      <c r="AM114" s="14"/>
      <c r="AN114" s="14"/>
      <c r="AO114" s="14"/>
      <c r="AP114" s="14"/>
      <c r="AQ114" s="14"/>
      <c r="AR114" s="14"/>
      <c r="AS114" s="14"/>
      <c r="AT114" s="14"/>
      <c r="AU114" s="14"/>
      <c r="AV114" s="14"/>
      <c r="AW114" s="14"/>
      <c r="AX114" s="14"/>
    </row>
    <row r="115" spans="1:50" ht="15.75" customHeight="1">
      <c r="A115" s="24" t="s">
        <v>156</v>
      </c>
      <c r="B115" s="25" t="str">
        <f t="shared" si="2"/>
        <v>C2D_100nm_tile3_3_</v>
      </c>
      <c r="C115" s="24" t="s">
        <v>1609</v>
      </c>
      <c r="D115" s="74" t="str">
        <f t="shared" si="3"/>
        <v>bossdb://lee2022/C2D_100nm_tile3_3_/</v>
      </c>
      <c r="E115" s="24" t="s">
        <v>2</v>
      </c>
      <c r="F115" s="5" t="s">
        <v>1013</v>
      </c>
      <c r="G115" s="5" t="s">
        <v>865</v>
      </c>
      <c r="H115" s="24" t="s">
        <v>1491</v>
      </c>
      <c r="I115" s="24" t="s">
        <v>1609</v>
      </c>
      <c r="J115" s="24" t="s">
        <v>1492</v>
      </c>
      <c r="K115" s="24" t="s">
        <v>867</v>
      </c>
      <c r="L115" s="24" t="s">
        <v>853</v>
      </c>
      <c r="M115" s="24" t="s">
        <v>962</v>
      </c>
      <c r="N115" s="24" t="s">
        <v>0</v>
      </c>
      <c r="O115" s="24" t="s">
        <v>1606</v>
      </c>
      <c r="P115" s="24" t="s">
        <v>848</v>
      </c>
      <c r="Q115" s="24" t="s">
        <v>848</v>
      </c>
      <c r="R115" s="24">
        <v>3</v>
      </c>
      <c r="S115" s="24" t="s">
        <v>1494</v>
      </c>
      <c r="T115" s="24" t="s">
        <v>962</v>
      </c>
      <c r="U115" s="24" t="s">
        <v>856</v>
      </c>
      <c r="V115" s="32" t="s">
        <v>857</v>
      </c>
      <c r="W115" s="14" t="b">
        <v>1</v>
      </c>
      <c r="X115" s="5" t="s">
        <v>409</v>
      </c>
      <c r="Y115" s="28"/>
      <c r="Z115" s="5" t="s">
        <v>858</v>
      </c>
      <c r="AA115" s="5" t="s">
        <v>858</v>
      </c>
      <c r="AB115" s="24" t="s">
        <v>413</v>
      </c>
      <c r="AC115" s="14"/>
      <c r="AD115" s="14"/>
      <c r="AE115" s="14">
        <v>1</v>
      </c>
      <c r="AF115" s="14"/>
      <c r="AG115" s="14"/>
      <c r="AH115" s="14"/>
      <c r="AI115" s="14"/>
      <c r="AJ115" s="14"/>
      <c r="AK115" s="14"/>
      <c r="AL115" s="14"/>
      <c r="AM115" s="14"/>
      <c r="AN115" s="14"/>
      <c r="AO115" s="14"/>
      <c r="AP115" s="14"/>
      <c r="AQ115" s="14"/>
      <c r="AR115" s="14"/>
      <c r="AS115" s="14"/>
      <c r="AT115" s="14"/>
      <c r="AU115" s="14"/>
      <c r="AV115" s="14"/>
      <c r="AW115" s="14"/>
      <c r="AX115" s="14"/>
    </row>
    <row r="116" spans="1:50" ht="15.75" customHeight="1">
      <c r="A116" s="24" t="s">
        <v>158</v>
      </c>
      <c r="B116" s="25" t="str">
        <f t="shared" si="2"/>
        <v>C2D_100nm_tile3_4_</v>
      </c>
      <c r="C116" s="24" t="s">
        <v>1610</v>
      </c>
      <c r="D116" s="74" t="str">
        <f t="shared" si="3"/>
        <v>bossdb://lee2022/C2D_100nm_tile3_4_/</v>
      </c>
      <c r="E116" s="24" t="s">
        <v>2</v>
      </c>
      <c r="F116" s="5" t="s">
        <v>1013</v>
      </c>
      <c r="G116" s="5" t="s">
        <v>865</v>
      </c>
      <c r="H116" s="24" t="s">
        <v>1491</v>
      </c>
      <c r="I116" s="24" t="s">
        <v>1610</v>
      </c>
      <c r="J116" s="24" t="s">
        <v>1492</v>
      </c>
      <c r="K116" s="24" t="s">
        <v>867</v>
      </c>
      <c r="L116" s="24" t="s">
        <v>853</v>
      </c>
      <c r="M116" s="24" t="s">
        <v>962</v>
      </c>
      <c r="N116" s="24" t="s">
        <v>0</v>
      </c>
      <c r="O116" s="24" t="s">
        <v>1607</v>
      </c>
      <c r="P116" s="24" t="s">
        <v>848</v>
      </c>
      <c r="Q116" s="24" t="s">
        <v>848</v>
      </c>
      <c r="R116" s="24">
        <v>3</v>
      </c>
      <c r="S116" s="24" t="s">
        <v>1494</v>
      </c>
      <c r="T116" s="24" t="s">
        <v>962</v>
      </c>
      <c r="U116" s="24" t="s">
        <v>856</v>
      </c>
      <c r="V116" s="32" t="s">
        <v>857</v>
      </c>
      <c r="W116" s="14" t="b">
        <v>1</v>
      </c>
      <c r="X116" s="5" t="s">
        <v>409</v>
      </c>
      <c r="Y116" s="28"/>
      <c r="Z116" s="5" t="s">
        <v>858</v>
      </c>
      <c r="AA116" s="5" t="s">
        <v>858</v>
      </c>
      <c r="AB116" s="24" t="s">
        <v>413</v>
      </c>
      <c r="AC116" s="14"/>
      <c r="AD116" s="14"/>
      <c r="AE116" s="14">
        <v>1</v>
      </c>
      <c r="AF116" s="14"/>
      <c r="AG116" s="14"/>
      <c r="AH116" s="14"/>
      <c r="AI116" s="14"/>
      <c r="AJ116" s="14"/>
      <c r="AK116" s="14"/>
      <c r="AL116" s="14"/>
      <c r="AM116" s="14"/>
      <c r="AN116" s="14"/>
      <c r="AO116" s="14"/>
      <c r="AP116" s="14"/>
      <c r="AQ116" s="14"/>
      <c r="AR116" s="14"/>
      <c r="AS116" s="14"/>
      <c r="AT116" s="14"/>
      <c r="AU116" s="14"/>
      <c r="AV116" s="14"/>
      <c r="AW116" s="14"/>
      <c r="AX116" s="14"/>
    </row>
    <row r="117" spans="1:50" ht="15.75" customHeight="1">
      <c r="A117" s="24" t="s">
        <v>160</v>
      </c>
      <c r="B117" s="25" t="str">
        <f t="shared" si="2"/>
        <v>C2D_100nm_tile4_</v>
      </c>
      <c r="C117" s="24" t="s">
        <v>1611</v>
      </c>
      <c r="D117" s="74" t="str">
        <f t="shared" si="3"/>
        <v>bossdb://lee2022/C2D_100nm_tile4_/</v>
      </c>
      <c r="E117" s="24" t="s">
        <v>2</v>
      </c>
      <c r="F117" s="5" t="s">
        <v>1013</v>
      </c>
      <c r="G117" s="5" t="s">
        <v>865</v>
      </c>
      <c r="H117" s="24" t="s">
        <v>1491</v>
      </c>
      <c r="I117" s="24" t="s">
        <v>1611</v>
      </c>
      <c r="J117" s="24" t="s">
        <v>1492</v>
      </c>
      <c r="K117" s="24" t="s">
        <v>867</v>
      </c>
      <c r="L117" s="24" t="s">
        <v>853</v>
      </c>
      <c r="M117" s="24" t="s">
        <v>962</v>
      </c>
      <c r="N117" s="24" t="s">
        <v>0</v>
      </c>
      <c r="O117" s="24" t="s">
        <v>1608</v>
      </c>
      <c r="P117" s="24" t="s">
        <v>848</v>
      </c>
      <c r="Q117" s="24" t="s">
        <v>848</v>
      </c>
      <c r="R117" s="24">
        <v>3</v>
      </c>
      <c r="S117" s="24" t="s">
        <v>1494</v>
      </c>
      <c r="T117" s="24" t="s">
        <v>962</v>
      </c>
      <c r="U117" s="24" t="s">
        <v>856</v>
      </c>
      <c r="V117" s="32" t="s">
        <v>857</v>
      </c>
      <c r="W117" s="14" t="b">
        <v>1</v>
      </c>
      <c r="X117" s="5" t="s">
        <v>409</v>
      </c>
      <c r="Y117" s="28"/>
      <c r="Z117" s="5" t="s">
        <v>858</v>
      </c>
      <c r="AA117" s="5" t="s">
        <v>858</v>
      </c>
      <c r="AB117" s="24" t="s">
        <v>413</v>
      </c>
      <c r="AC117" s="14"/>
      <c r="AD117" s="14"/>
      <c r="AE117" s="14">
        <v>1</v>
      </c>
      <c r="AF117" s="14"/>
      <c r="AG117" s="14"/>
      <c r="AH117" s="14"/>
      <c r="AI117" s="14"/>
      <c r="AJ117" s="14"/>
      <c r="AK117" s="14"/>
      <c r="AL117" s="14"/>
      <c r="AM117" s="14"/>
      <c r="AN117" s="14"/>
      <c r="AO117" s="14"/>
      <c r="AP117" s="14"/>
      <c r="AQ117" s="14"/>
      <c r="AR117" s="14"/>
      <c r="AS117" s="14"/>
      <c r="AT117" s="14"/>
      <c r="AU117" s="14"/>
      <c r="AV117" s="14"/>
      <c r="AW117" s="14"/>
      <c r="AX117" s="14"/>
    </row>
    <row r="118" spans="1:50" ht="15.75" customHeight="1">
      <c r="A118" s="24" t="s">
        <v>162</v>
      </c>
      <c r="B118" s="25" t="str">
        <f t="shared" si="2"/>
        <v>C2D_100nm_tile4_1_</v>
      </c>
      <c r="C118" s="24" t="s">
        <v>1612</v>
      </c>
      <c r="D118" s="74" t="str">
        <f t="shared" si="3"/>
        <v>bossdb://lee2022/C2D_100nm_tile4_1_/</v>
      </c>
      <c r="E118" s="24" t="s">
        <v>2</v>
      </c>
      <c r="F118" s="5" t="s">
        <v>1013</v>
      </c>
      <c r="G118" s="5" t="s">
        <v>865</v>
      </c>
      <c r="H118" s="24" t="s">
        <v>1491</v>
      </c>
      <c r="I118" s="24" t="s">
        <v>1612</v>
      </c>
      <c r="J118" s="24" t="s">
        <v>1492</v>
      </c>
      <c r="K118" s="24" t="s">
        <v>867</v>
      </c>
      <c r="L118" s="24" t="s">
        <v>853</v>
      </c>
      <c r="M118" s="24" t="s">
        <v>962</v>
      </c>
      <c r="N118" s="24" t="s">
        <v>0</v>
      </c>
      <c r="O118" s="24" t="s">
        <v>1609</v>
      </c>
      <c r="P118" s="24" t="s">
        <v>848</v>
      </c>
      <c r="Q118" s="24" t="s">
        <v>848</v>
      </c>
      <c r="R118" s="24">
        <v>3</v>
      </c>
      <c r="S118" s="24" t="s">
        <v>1494</v>
      </c>
      <c r="T118" s="24" t="s">
        <v>962</v>
      </c>
      <c r="U118" s="24" t="s">
        <v>856</v>
      </c>
      <c r="V118" s="32" t="s">
        <v>857</v>
      </c>
      <c r="W118" s="14" t="b">
        <v>1</v>
      </c>
      <c r="X118" s="5" t="s">
        <v>409</v>
      </c>
      <c r="Y118" s="28"/>
      <c r="Z118" s="5" t="s">
        <v>858</v>
      </c>
      <c r="AA118" s="5" t="s">
        <v>858</v>
      </c>
      <c r="AB118" s="24" t="s">
        <v>413</v>
      </c>
      <c r="AC118" s="14"/>
      <c r="AD118" s="14"/>
      <c r="AE118" s="14">
        <v>1</v>
      </c>
      <c r="AF118" s="14"/>
      <c r="AG118" s="14"/>
      <c r="AH118" s="14"/>
      <c r="AI118" s="14"/>
      <c r="AJ118" s="14"/>
      <c r="AK118" s="14"/>
      <c r="AL118" s="14"/>
      <c r="AM118" s="14"/>
      <c r="AN118" s="14"/>
      <c r="AO118" s="14"/>
      <c r="AP118" s="14"/>
      <c r="AQ118" s="14"/>
      <c r="AR118" s="14"/>
      <c r="AS118" s="14"/>
      <c r="AT118" s="14"/>
      <c r="AU118" s="14"/>
      <c r="AV118" s="14"/>
      <c r="AW118" s="14"/>
      <c r="AX118" s="14"/>
    </row>
    <row r="119" spans="1:50" ht="15.75" customHeight="1">
      <c r="A119" s="24" t="s">
        <v>164</v>
      </c>
      <c r="B119" s="25" t="str">
        <f t="shared" si="2"/>
        <v>C2D_100nm_tile4_2_</v>
      </c>
      <c r="C119" s="24" t="s">
        <v>1613</v>
      </c>
      <c r="D119" s="74" t="str">
        <f t="shared" si="3"/>
        <v>bossdb://lee2022/C2D_100nm_tile4_2_/</v>
      </c>
      <c r="E119" s="24" t="s">
        <v>2</v>
      </c>
      <c r="F119" s="5" t="s">
        <v>1013</v>
      </c>
      <c r="G119" s="5" t="s">
        <v>865</v>
      </c>
      <c r="H119" s="24" t="s">
        <v>1491</v>
      </c>
      <c r="I119" s="24" t="s">
        <v>1613</v>
      </c>
      <c r="J119" s="24" t="s">
        <v>1492</v>
      </c>
      <c r="K119" s="24" t="s">
        <v>867</v>
      </c>
      <c r="L119" s="24" t="s">
        <v>853</v>
      </c>
      <c r="M119" s="24" t="s">
        <v>962</v>
      </c>
      <c r="N119" s="24" t="s">
        <v>0</v>
      </c>
      <c r="O119" s="24" t="s">
        <v>1610</v>
      </c>
      <c r="P119" s="24" t="s">
        <v>848</v>
      </c>
      <c r="Q119" s="24" t="s">
        <v>848</v>
      </c>
      <c r="R119" s="24">
        <v>3</v>
      </c>
      <c r="S119" s="24" t="s">
        <v>1494</v>
      </c>
      <c r="T119" s="24" t="s">
        <v>962</v>
      </c>
      <c r="U119" s="24" t="s">
        <v>856</v>
      </c>
      <c r="V119" s="32" t="s">
        <v>857</v>
      </c>
      <c r="W119" s="14" t="b">
        <v>1</v>
      </c>
      <c r="X119" s="5" t="s">
        <v>409</v>
      </c>
      <c r="Y119" s="28"/>
      <c r="Z119" s="5" t="s">
        <v>858</v>
      </c>
      <c r="AA119" s="5" t="s">
        <v>858</v>
      </c>
      <c r="AB119" s="24" t="s">
        <v>413</v>
      </c>
      <c r="AC119" s="14"/>
      <c r="AD119" s="14"/>
      <c r="AE119" s="14">
        <v>1</v>
      </c>
      <c r="AF119" s="14"/>
      <c r="AG119" s="14"/>
      <c r="AH119" s="14"/>
      <c r="AI119" s="14"/>
      <c r="AJ119" s="14"/>
      <c r="AK119" s="14"/>
      <c r="AL119" s="14"/>
      <c r="AM119" s="14"/>
      <c r="AN119" s="14"/>
      <c r="AO119" s="14"/>
      <c r="AP119" s="14"/>
      <c r="AQ119" s="14"/>
      <c r="AR119" s="14"/>
      <c r="AS119" s="14"/>
      <c r="AT119" s="14"/>
      <c r="AU119" s="14"/>
      <c r="AV119" s="14"/>
      <c r="AW119" s="14"/>
      <c r="AX119" s="14"/>
    </row>
    <row r="120" spans="1:50" ht="15.75" customHeight="1">
      <c r="A120" s="24" t="s">
        <v>166</v>
      </c>
      <c r="B120" s="25" t="str">
        <f t="shared" si="2"/>
        <v>C2D_100nm_tile4_3_</v>
      </c>
      <c r="C120" s="24" t="s">
        <v>1614</v>
      </c>
      <c r="D120" s="74" t="str">
        <f t="shared" si="3"/>
        <v>bossdb://lee2022/C2D_100nm_tile4_3_/</v>
      </c>
      <c r="E120" s="24" t="s">
        <v>2</v>
      </c>
      <c r="F120" s="5" t="s">
        <v>1013</v>
      </c>
      <c r="G120" s="5" t="s">
        <v>865</v>
      </c>
      <c r="H120" s="24" t="s">
        <v>1491</v>
      </c>
      <c r="I120" s="24" t="s">
        <v>1614</v>
      </c>
      <c r="J120" s="24" t="s">
        <v>1492</v>
      </c>
      <c r="K120" s="24" t="s">
        <v>867</v>
      </c>
      <c r="L120" s="24" t="s">
        <v>853</v>
      </c>
      <c r="M120" s="24" t="s">
        <v>962</v>
      </c>
      <c r="N120" s="24" t="s">
        <v>0</v>
      </c>
      <c r="O120" s="24" t="s">
        <v>1611</v>
      </c>
      <c r="P120" s="24" t="s">
        <v>848</v>
      </c>
      <c r="Q120" s="24" t="s">
        <v>848</v>
      </c>
      <c r="R120" s="24">
        <v>3</v>
      </c>
      <c r="S120" s="24" t="s">
        <v>1494</v>
      </c>
      <c r="T120" s="24" t="s">
        <v>962</v>
      </c>
      <c r="U120" s="24" t="s">
        <v>856</v>
      </c>
      <c r="V120" s="32" t="s">
        <v>857</v>
      </c>
      <c r="W120" s="14" t="b">
        <v>1</v>
      </c>
      <c r="X120" s="5" t="s">
        <v>409</v>
      </c>
      <c r="Y120" s="28"/>
      <c r="Z120" s="5" t="s">
        <v>858</v>
      </c>
      <c r="AA120" s="5" t="s">
        <v>858</v>
      </c>
      <c r="AB120" s="24" t="s">
        <v>413</v>
      </c>
      <c r="AC120" s="14"/>
      <c r="AD120" s="14"/>
      <c r="AE120" s="14">
        <v>1</v>
      </c>
      <c r="AF120" s="14"/>
      <c r="AG120" s="14"/>
      <c r="AH120" s="14"/>
      <c r="AI120" s="14"/>
      <c r="AJ120" s="14"/>
      <c r="AK120" s="14"/>
      <c r="AL120" s="14"/>
      <c r="AM120" s="14"/>
      <c r="AN120" s="14"/>
      <c r="AO120" s="14"/>
      <c r="AP120" s="14"/>
      <c r="AQ120" s="14"/>
      <c r="AR120" s="14"/>
      <c r="AS120" s="14"/>
      <c r="AT120" s="14"/>
      <c r="AU120" s="14"/>
      <c r="AV120" s="14"/>
      <c r="AW120" s="14"/>
      <c r="AX120" s="14"/>
    </row>
    <row r="121" spans="1:50" ht="15.75" customHeight="1">
      <c r="A121" s="24" t="s">
        <v>168</v>
      </c>
      <c r="B121" s="25" t="str">
        <f t="shared" si="2"/>
        <v>C2D_ovw_160nm_sz1_</v>
      </c>
      <c r="C121" s="24" t="s">
        <v>1615</v>
      </c>
      <c r="D121" s="74" t="str">
        <f t="shared" si="3"/>
        <v>bossdb://lee2022/C2D_ovw_160nm_sz1_/</v>
      </c>
      <c r="E121" s="24" t="s">
        <v>2</v>
      </c>
      <c r="F121" s="5" t="s">
        <v>1013</v>
      </c>
      <c r="G121" s="5" t="s">
        <v>865</v>
      </c>
      <c r="H121" s="24" t="s">
        <v>1491</v>
      </c>
      <c r="I121" s="24" t="s">
        <v>1615</v>
      </c>
      <c r="J121" s="24" t="s">
        <v>1492</v>
      </c>
      <c r="K121" s="24" t="s">
        <v>867</v>
      </c>
      <c r="L121" s="24" t="s">
        <v>853</v>
      </c>
      <c r="M121" s="24" t="s">
        <v>962</v>
      </c>
      <c r="N121" s="24" t="s">
        <v>0</v>
      </c>
      <c r="O121" s="24" t="s">
        <v>1612</v>
      </c>
      <c r="P121" s="24" t="s">
        <v>848</v>
      </c>
      <c r="Q121" s="24" t="s">
        <v>848</v>
      </c>
      <c r="R121" s="24">
        <v>3</v>
      </c>
      <c r="S121" s="24" t="s">
        <v>1494</v>
      </c>
      <c r="T121" s="24" t="s">
        <v>962</v>
      </c>
      <c r="U121" s="24" t="s">
        <v>856</v>
      </c>
      <c r="V121" s="32" t="s">
        <v>857</v>
      </c>
      <c r="W121" s="14" t="b">
        <v>1</v>
      </c>
      <c r="X121" s="5" t="s">
        <v>409</v>
      </c>
      <c r="Y121" s="28"/>
      <c r="Z121" s="5" t="s">
        <v>858</v>
      </c>
      <c r="AA121" s="5" t="s">
        <v>858</v>
      </c>
      <c r="AB121" s="24" t="s">
        <v>413</v>
      </c>
      <c r="AC121" s="14"/>
      <c r="AD121" s="14"/>
      <c r="AE121" s="14">
        <v>1</v>
      </c>
      <c r="AF121" s="14"/>
      <c r="AG121" s="14"/>
      <c r="AH121" s="14"/>
      <c r="AI121" s="14"/>
      <c r="AJ121" s="14"/>
      <c r="AK121" s="14"/>
      <c r="AL121" s="14"/>
      <c r="AM121" s="14"/>
      <c r="AN121" s="14"/>
      <c r="AO121" s="14"/>
      <c r="AP121" s="14"/>
      <c r="AQ121" s="14"/>
      <c r="AR121" s="14"/>
      <c r="AS121" s="14"/>
      <c r="AT121" s="14"/>
      <c r="AU121" s="14"/>
      <c r="AV121" s="14"/>
      <c r="AW121" s="14"/>
      <c r="AX121" s="14"/>
    </row>
    <row r="122" spans="1:50" ht="15.75" customHeight="1">
      <c r="A122" s="24" t="s">
        <v>170</v>
      </c>
      <c r="B122" s="25" t="str">
        <f t="shared" si="2"/>
        <v>C2D_ovw_160nm_sz1_1_</v>
      </c>
      <c r="C122" s="24" t="s">
        <v>1616</v>
      </c>
      <c r="D122" s="74" t="str">
        <f t="shared" si="3"/>
        <v>bossdb://lee2022/C2D_ovw_160nm_sz1_1_/</v>
      </c>
      <c r="E122" s="24" t="s">
        <v>2</v>
      </c>
      <c r="F122" s="5" t="s">
        <v>1013</v>
      </c>
      <c r="G122" s="5" t="s">
        <v>865</v>
      </c>
      <c r="H122" s="24" t="s">
        <v>1491</v>
      </c>
      <c r="I122" s="24" t="s">
        <v>1616</v>
      </c>
      <c r="J122" s="24" t="s">
        <v>1492</v>
      </c>
      <c r="K122" s="24" t="s">
        <v>867</v>
      </c>
      <c r="L122" s="24" t="s">
        <v>853</v>
      </c>
      <c r="M122" s="24" t="s">
        <v>962</v>
      </c>
      <c r="N122" s="24" t="s">
        <v>0</v>
      </c>
      <c r="O122" s="24" t="s">
        <v>1613</v>
      </c>
      <c r="P122" s="24" t="s">
        <v>848</v>
      </c>
      <c r="Q122" s="24" t="s">
        <v>848</v>
      </c>
      <c r="R122" s="24">
        <v>3</v>
      </c>
      <c r="S122" s="24" t="s">
        <v>1494</v>
      </c>
      <c r="T122" s="24" t="s">
        <v>962</v>
      </c>
      <c r="U122" s="24" t="s">
        <v>856</v>
      </c>
      <c r="V122" s="32" t="s">
        <v>857</v>
      </c>
      <c r="W122" s="14" t="b">
        <v>1</v>
      </c>
      <c r="X122" s="5" t="s">
        <v>409</v>
      </c>
      <c r="Y122" s="28"/>
      <c r="Z122" s="5" t="s">
        <v>858</v>
      </c>
      <c r="AA122" s="5" t="s">
        <v>858</v>
      </c>
      <c r="AB122" s="24" t="s">
        <v>413</v>
      </c>
      <c r="AC122" s="14"/>
      <c r="AD122" s="14"/>
      <c r="AE122" s="14">
        <v>1</v>
      </c>
      <c r="AF122" s="14"/>
      <c r="AG122" s="14"/>
      <c r="AH122" s="14"/>
      <c r="AI122" s="14"/>
      <c r="AJ122" s="14"/>
      <c r="AK122" s="14"/>
      <c r="AL122" s="14"/>
      <c r="AM122" s="14"/>
      <c r="AN122" s="14"/>
      <c r="AO122" s="14"/>
      <c r="AP122" s="14"/>
      <c r="AQ122" s="14"/>
      <c r="AR122" s="14"/>
      <c r="AS122" s="14"/>
      <c r="AT122" s="14"/>
      <c r="AU122" s="14"/>
      <c r="AV122" s="14"/>
      <c r="AW122" s="14"/>
      <c r="AX122" s="14"/>
    </row>
    <row r="123" spans="1:50" ht="15.75" customHeight="1">
      <c r="A123" s="24" t="s">
        <v>172</v>
      </c>
      <c r="B123" s="25" t="str">
        <f t="shared" si="2"/>
        <v>pfinAaron</v>
      </c>
      <c r="C123" s="24" t="s">
        <v>1617</v>
      </c>
      <c r="D123" s="74" t="str">
        <f t="shared" si="3"/>
        <v>bossdb://lee2022/pfinAaron/</v>
      </c>
      <c r="E123" s="24" t="s">
        <v>2</v>
      </c>
      <c r="F123" s="5" t="s">
        <v>1013</v>
      </c>
      <c r="G123" s="5" t="s">
        <v>865</v>
      </c>
      <c r="H123" s="24" t="s">
        <v>1491</v>
      </c>
      <c r="I123" s="24" t="s">
        <v>1617</v>
      </c>
      <c r="J123" s="24" t="s">
        <v>1492</v>
      </c>
      <c r="K123" s="24" t="s">
        <v>867</v>
      </c>
      <c r="L123" s="24" t="s">
        <v>853</v>
      </c>
      <c r="M123" s="24" t="s">
        <v>962</v>
      </c>
      <c r="N123" s="24" t="s">
        <v>0</v>
      </c>
      <c r="O123" s="24" t="s">
        <v>1614</v>
      </c>
      <c r="P123" s="24" t="s">
        <v>848</v>
      </c>
      <c r="Q123" s="24" t="s">
        <v>848</v>
      </c>
      <c r="R123" s="24">
        <v>3</v>
      </c>
      <c r="S123" s="24" t="s">
        <v>1494</v>
      </c>
      <c r="T123" s="24" t="s">
        <v>962</v>
      </c>
      <c r="U123" s="24" t="s">
        <v>856</v>
      </c>
      <c r="V123" s="32" t="s">
        <v>857</v>
      </c>
      <c r="W123" s="14" t="b">
        <v>1</v>
      </c>
      <c r="X123" s="5" t="s">
        <v>409</v>
      </c>
      <c r="Y123" s="28"/>
      <c r="Z123" s="5" t="s">
        <v>858</v>
      </c>
      <c r="AA123" s="5" t="s">
        <v>858</v>
      </c>
      <c r="AB123" s="24" t="s">
        <v>413</v>
      </c>
      <c r="AC123" s="14"/>
      <c r="AD123" s="14"/>
      <c r="AE123" s="14">
        <v>1</v>
      </c>
      <c r="AF123" s="14"/>
      <c r="AG123" s="14"/>
      <c r="AH123" s="14"/>
      <c r="AI123" s="14"/>
      <c r="AJ123" s="14"/>
      <c r="AK123" s="14"/>
      <c r="AL123" s="14"/>
      <c r="AM123" s="14"/>
      <c r="AN123" s="14"/>
      <c r="AO123" s="14"/>
      <c r="AP123" s="14"/>
      <c r="AQ123" s="14"/>
      <c r="AR123" s="14"/>
      <c r="AS123" s="14"/>
      <c r="AT123" s="14"/>
      <c r="AU123" s="14"/>
      <c r="AV123" s="14"/>
      <c r="AW123" s="14"/>
      <c r="AX123" s="14"/>
    </row>
    <row r="124" spans="1:50" ht="15.75" customHeight="1">
      <c r="A124" s="24" t="s">
        <v>174</v>
      </c>
      <c r="B124" s="25" t="str">
        <f t="shared" si="2"/>
        <v>pfinAaron_090nm_</v>
      </c>
      <c r="C124" s="24" t="s">
        <v>1618</v>
      </c>
      <c r="D124" s="74" t="str">
        <f t="shared" si="3"/>
        <v>bossdb://lee2022/pfinAaron_090nm_/</v>
      </c>
      <c r="E124" s="24" t="s">
        <v>2</v>
      </c>
      <c r="F124" s="5" t="s">
        <v>1013</v>
      </c>
      <c r="G124" s="5" t="s">
        <v>865</v>
      </c>
      <c r="H124" s="24" t="s">
        <v>1491</v>
      </c>
      <c r="I124" s="24" t="s">
        <v>1618</v>
      </c>
      <c r="J124" s="24" t="s">
        <v>1492</v>
      </c>
      <c r="K124" s="24" t="s">
        <v>867</v>
      </c>
      <c r="L124" s="24" t="s">
        <v>853</v>
      </c>
      <c r="M124" s="24" t="s">
        <v>962</v>
      </c>
      <c r="N124" s="24" t="s">
        <v>0</v>
      </c>
      <c r="O124" s="24" t="s">
        <v>1615</v>
      </c>
      <c r="P124" s="24" t="s">
        <v>848</v>
      </c>
      <c r="Q124" s="24" t="s">
        <v>848</v>
      </c>
      <c r="R124" s="24">
        <v>3</v>
      </c>
      <c r="S124" s="24" t="s">
        <v>1494</v>
      </c>
      <c r="T124" s="24" t="s">
        <v>962</v>
      </c>
      <c r="U124" s="24" t="s">
        <v>856</v>
      </c>
      <c r="V124" s="32" t="s">
        <v>857</v>
      </c>
      <c r="W124" s="14" t="b">
        <v>1</v>
      </c>
      <c r="X124" s="5" t="s">
        <v>409</v>
      </c>
      <c r="Y124" s="28"/>
      <c r="Z124" s="5" t="s">
        <v>858</v>
      </c>
      <c r="AA124" s="5" t="s">
        <v>858</v>
      </c>
      <c r="AB124" s="24" t="s">
        <v>413</v>
      </c>
      <c r="AC124" s="14"/>
      <c r="AD124" s="14"/>
      <c r="AE124" s="14">
        <v>1</v>
      </c>
      <c r="AF124" s="14"/>
      <c r="AG124" s="14"/>
      <c r="AH124" s="14"/>
      <c r="AI124" s="14"/>
      <c r="AJ124" s="14"/>
      <c r="AK124" s="14"/>
      <c r="AL124" s="14"/>
      <c r="AM124" s="14"/>
      <c r="AN124" s="14"/>
      <c r="AO124" s="14"/>
      <c r="AP124" s="14"/>
      <c r="AQ124" s="14"/>
      <c r="AR124" s="14"/>
      <c r="AS124" s="14"/>
      <c r="AT124" s="14"/>
      <c r="AU124" s="14"/>
      <c r="AV124" s="14"/>
      <c r="AW124" s="14"/>
      <c r="AX124" s="14"/>
    </row>
    <row r="125" spans="1:50" ht="15.75" customHeight="1">
      <c r="A125" s="24" t="s">
        <v>176</v>
      </c>
      <c r="B125" s="25" t="str">
        <f t="shared" si="2"/>
        <v>pfinAaron_090nm_1_</v>
      </c>
      <c r="C125" s="24" t="s">
        <v>1619</v>
      </c>
      <c r="D125" s="74" t="str">
        <f t="shared" si="3"/>
        <v>bossdb://lee2022/pfinAaron_090nm_1_/</v>
      </c>
      <c r="E125" s="24" t="s">
        <v>2</v>
      </c>
      <c r="F125" s="5" t="s">
        <v>1013</v>
      </c>
      <c r="G125" s="5" t="s">
        <v>865</v>
      </c>
      <c r="H125" s="24" t="s">
        <v>1491</v>
      </c>
      <c r="I125" s="24" t="s">
        <v>1619</v>
      </c>
      <c r="J125" s="24" t="s">
        <v>1492</v>
      </c>
      <c r="K125" s="24" t="s">
        <v>867</v>
      </c>
      <c r="L125" s="24" t="s">
        <v>853</v>
      </c>
      <c r="M125" s="24" t="s">
        <v>962</v>
      </c>
      <c r="N125" s="24" t="s">
        <v>0</v>
      </c>
      <c r="O125" s="24" t="s">
        <v>1616</v>
      </c>
      <c r="P125" s="24" t="s">
        <v>848</v>
      </c>
      <c r="Q125" s="24" t="s">
        <v>848</v>
      </c>
      <c r="R125" s="24">
        <v>3</v>
      </c>
      <c r="S125" s="24" t="s">
        <v>1494</v>
      </c>
      <c r="T125" s="24" t="s">
        <v>962</v>
      </c>
      <c r="U125" s="24" t="s">
        <v>856</v>
      </c>
      <c r="V125" s="32" t="s">
        <v>857</v>
      </c>
      <c r="W125" s="14" t="b">
        <v>1</v>
      </c>
      <c r="X125" s="5" t="s">
        <v>409</v>
      </c>
      <c r="Y125" s="28"/>
      <c r="Z125" s="5" t="s">
        <v>858</v>
      </c>
      <c r="AA125" s="5" t="s">
        <v>858</v>
      </c>
      <c r="AB125" s="24" t="s">
        <v>413</v>
      </c>
      <c r="AC125" s="14"/>
      <c r="AD125" s="14"/>
      <c r="AE125" s="14">
        <v>1</v>
      </c>
      <c r="AF125" s="14"/>
      <c r="AG125" s="14"/>
      <c r="AH125" s="14"/>
      <c r="AI125" s="14"/>
      <c r="AJ125" s="14"/>
      <c r="AK125" s="14"/>
      <c r="AL125" s="14"/>
      <c r="AM125" s="14"/>
      <c r="AN125" s="14"/>
      <c r="AO125" s="14"/>
      <c r="AP125" s="14"/>
      <c r="AQ125" s="14"/>
      <c r="AR125" s="14"/>
      <c r="AS125" s="14"/>
      <c r="AT125" s="14"/>
      <c r="AU125" s="14"/>
      <c r="AV125" s="14"/>
      <c r="AW125" s="14"/>
      <c r="AX125" s="14"/>
    </row>
    <row r="126" spans="1:50" ht="15.75" customHeight="1">
      <c r="A126" s="24" t="s">
        <v>178</v>
      </c>
      <c r="B126" s="25" t="str">
        <f t="shared" si="2"/>
        <v>pfinAaron_090nm_2_</v>
      </c>
      <c r="C126" s="24" t="s">
        <v>1620</v>
      </c>
      <c r="D126" s="74" t="str">
        <f t="shared" si="3"/>
        <v>bossdb://lee2022/pfinAaron_090nm_2_/</v>
      </c>
      <c r="E126" s="24" t="s">
        <v>2</v>
      </c>
      <c r="F126" s="5" t="s">
        <v>1013</v>
      </c>
      <c r="G126" s="5" t="s">
        <v>865</v>
      </c>
      <c r="H126" s="24" t="s">
        <v>1491</v>
      </c>
      <c r="I126" s="24" t="s">
        <v>1620</v>
      </c>
      <c r="J126" s="24" t="s">
        <v>1492</v>
      </c>
      <c r="K126" s="24" t="s">
        <v>867</v>
      </c>
      <c r="L126" s="24" t="s">
        <v>853</v>
      </c>
      <c r="M126" s="24" t="s">
        <v>962</v>
      </c>
      <c r="N126" s="24" t="s">
        <v>0</v>
      </c>
      <c r="O126" s="24" t="s">
        <v>1617</v>
      </c>
      <c r="P126" s="24" t="s">
        <v>848</v>
      </c>
      <c r="Q126" s="24" t="s">
        <v>848</v>
      </c>
      <c r="R126" s="24">
        <v>3</v>
      </c>
      <c r="S126" s="24" t="s">
        <v>1494</v>
      </c>
      <c r="T126" s="24" t="s">
        <v>962</v>
      </c>
      <c r="U126" s="24" t="s">
        <v>856</v>
      </c>
      <c r="V126" s="32" t="s">
        <v>857</v>
      </c>
      <c r="W126" s="14" t="b">
        <v>1</v>
      </c>
      <c r="X126" s="5" t="s">
        <v>409</v>
      </c>
      <c r="Y126" s="28"/>
      <c r="Z126" s="5" t="s">
        <v>858</v>
      </c>
      <c r="AA126" s="5" t="s">
        <v>858</v>
      </c>
      <c r="AB126" s="24" t="s">
        <v>413</v>
      </c>
      <c r="AC126" s="14"/>
      <c r="AD126" s="14"/>
      <c r="AE126" s="14">
        <v>1</v>
      </c>
      <c r="AF126" s="14"/>
      <c r="AG126" s="14"/>
      <c r="AH126" s="14"/>
      <c r="AI126" s="14"/>
      <c r="AJ126" s="14"/>
      <c r="AK126" s="14"/>
      <c r="AL126" s="14"/>
      <c r="AM126" s="14"/>
      <c r="AN126" s="14"/>
      <c r="AO126" s="14"/>
      <c r="AP126" s="14"/>
      <c r="AQ126" s="14"/>
      <c r="AR126" s="14"/>
      <c r="AS126" s="14"/>
      <c r="AT126" s="14"/>
      <c r="AU126" s="14"/>
      <c r="AV126" s="14"/>
      <c r="AW126" s="14"/>
      <c r="AX126" s="14"/>
    </row>
    <row r="127" spans="1:50" ht="15.75" customHeight="1">
      <c r="A127" s="24" t="s">
        <v>180</v>
      </c>
      <c r="B127" s="25" t="str">
        <f t="shared" si="2"/>
        <v>pfinAaron_090nm_3_</v>
      </c>
      <c r="C127" s="24" t="s">
        <v>1621</v>
      </c>
      <c r="D127" s="74" t="str">
        <f t="shared" si="3"/>
        <v>bossdb://lee2022/pfinAaron_090nm_3_/</v>
      </c>
      <c r="E127" s="24" t="s">
        <v>2</v>
      </c>
      <c r="F127" s="5" t="s">
        <v>1013</v>
      </c>
      <c r="G127" s="5" t="s">
        <v>865</v>
      </c>
      <c r="H127" s="24" t="s">
        <v>1491</v>
      </c>
      <c r="I127" s="24" t="s">
        <v>1621</v>
      </c>
      <c r="J127" s="24" t="s">
        <v>1492</v>
      </c>
      <c r="K127" s="24" t="s">
        <v>867</v>
      </c>
      <c r="L127" s="24" t="s">
        <v>853</v>
      </c>
      <c r="M127" s="24" t="s">
        <v>962</v>
      </c>
      <c r="N127" s="24" t="s">
        <v>0</v>
      </c>
      <c r="O127" s="24" t="s">
        <v>1618</v>
      </c>
      <c r="P127" s="24" t="s">
        <v>848</v>
      </c>
      <c r="Q127" s="24" t="s">
        <v>848</v>
      </c>
      <c r="R127" s="24">
        <v>3</v>
      </c>
      <c r="S127" s="24" t="s">
        <v>1494</v>
      </c>
      <c r="T127" s="24" t="s">
        <v>962</v>
      </c>
      <c r="U127" s="24" t="s">
        <v>856</v>
      </c>
      <c r="V127" s="32" t="s">
        <v>857</v>
      </c>
      <c r="W127" s="14" t="b">
        <v>1</v>
      </c>
      <c r="X127" s="5" t="s">
        <v>409</v>
      </c>
      <c r="Y127" s="28"/>
      <c r="Z127" s="5" t="s">
        <v>858</v>
      </c>
      <c r="AA127" s="5" t="s">
        <v>858</v>
      </c>
      <c r="AB127" s="24" t="s">
        <v>413</v>
      </c>
      <c r="AC127" s="14"/>
      <c r="AD127" s="14"/>
      <c r="AE127" s="14">
        <v>1</v>
      </c>
      <c r="AF127" s="14"/>
      <c r="AG127" s="14"/>
      <c r="AH127" s="14"/>
      <c r="AI127" s="14"/>
      <c r="AJ127" s="14"/>
      <c r="AK127" s="14"/>
      <c r="AL127" s="14"/>
      <c r="AM127" s="14"/>
      <c r="AN127" s="14"/>
      <c r="AO127" s="14"/>
      <c r="AP127" s="14"/>
      <c r="AQ127" s="14"/>
      <c r="AR127" s="14"/>
      <c r="AS127" s="14"/>
      <c r="AT127" s="14"/>
      <c r="AU127" s="14"/>
      <c r="AV127" s="14"/>
      <c r="AW127" s="14"/>
      <c r="AX127" s="14"/>
    </row>
    <row r="128" spans="1:50" ht="15.75" customHeight="1">
      <c r="A128" s="24" t="s">
        <v>182</v>
      </c>
      <c r="B128" s="25" t="str">
        <f t="shared" si="2"/>
        <v>pfinAaron_090nm_4_</v>
      </c>
      <c r="C128" s="24" t="s">
        <v>1622</v>
      </c>
      <c r="D128" s="74" t="str">
        <f t="shared" si="3"/>
        <v>bossdb://lee2022/pfinAaron_090nm_4_/</v>
      </c>
      <c r="E128" s="24" t="s">
        <v>2</v>
      </c>
      <c r="F128" s="5" t="s">
        <v>1013</v>
      </c>
      <c r="G128" s="5" t="s">
        <v>865</v>
      </c>
      <c r="H128" s="24" t="s">
        <v>1491</v>
      </c>
      <c r="I128" s="24" t="s">
        <v>1622</v>
      </c>
      <c r="J128" s="24" t="s">
        <v>1492</v>
      </c>
      <c r="K128" s="24" t="s">
        <v>867</v>
      </c>
      <c r="L128" s="24" t="s">
        <v>853</v>
      </c>
      <c r="M128" s="24" t="s">
        <v>962</v>
      </c>
      <c r="N128" s="24" t="s">
        <v>0</v>
      </c>
      <c r="O128" s="24" t="s">
        <v>1619</v>
      </c>
      <c r="P128" s="24" t="s">
        <v>848</v>
      </c>
      <c r="Q128" s="24" t="s">
        <v>848</v>
      </c>
      <c r="R128" s="24">
        <v>3</v>
      </c>
      <c r="S128" s="24" t="s">
        <v>1494</v>
      </c>
      <c r="T128" s="24" t="s">
        <v>962</v>
      </c>
      <c r="U128" s="24" t="s">
        <v>856</v>
      </c>
      <c r="V128" s="32" t="s">
        <v>857</v>
      </c>
      <c r="W128" s="14" t="b">
        <v>1</v>
      </c>
      <c r="X128" s="5" t="s">
        <v>409</v>
      </c>
      <c r="Y128" s="28"/>
      <c r="Z128" s="5" t="s">
        <v>858</v>
      </c>
      <c r="AA128" s="5" t="s">
        <v>858</v>
      </c>
      <c r="AB128" s="24" t="s">
        <v>413</v>
      </c>
      <c r="AC128" s="14"/>
      <c r="AD128" s="14"/>
      <c r="AE128" s="14">
        <v>1</v>
      </c>
      <c r="AF128" s="14"/>
      <c r="AG128" s="14"/>
      <c r="AH128" s="14"/>
      <c r="AI128" s="14"/>
      <c r="AJ128" s="14"/>
      <c r="AK128" s="14"/>
      <c r="AL128" s="14"/>
      <c r="AM128" s="14"/>
      <c r="AN128" s="14"/>
      <c r="AO128" s="14"/>
      <c r="AP128" s="14"/>
      <c r="AQ128" s="14"/>
      <c r="AR128" s="14"/>
      <c r="AS128" s="14"/>
      <c r="AT128" s="14"/>
      <c r="AU128" s="14"/>
      <c r="AV128" s="14"/>
      <c r="AW128" s="14"/>
      <c r="AX128" s="14"/>
    </row>
    <row r="129" spans="1:50" ht="15.75" customHeight="1">
      <c r="A129" s="24" t="s">
        <v>184</v>
      </c>
      <c r="B129" s="25" t="str">
        <f t="shared" si="2"/>
        <v>s21_WM_100nm_</v>
      </c>
      <c r="C129" s="24" t="s">
        <v>1623</v>
      </c>
      <c r="D129" s="74" t="str">
        <f t="shared" si="3"/>
        <v>bossdb://lee2022/s21_WM_100nm_/</v>
      </c>
      <c r="E129" s="24" t="s">
        <v>2</v>
      </c>
      <c r="F129" s="5" t="s">
        <v>1013</v>
      </c>
      <c r="G129" s="5" t="s">
        <v>865</v>
      </c>
      <c r="H129" s="24" t="s">
        <v>1491</v>
      </c>
      <c r="I129" s="24" t="s">
        <v>1623</v>
      </c>
      <c r="J129" s="24" t="s">
        <v>1492</v>
      </c>
      <c r="K129" s="24" t="s">
        <v>867</v>
      </c>
      <c r="L129" s="24" t="s">
        <v>853</v>
      </c>
      <c r="M129" s="24" t="s">
        <v>962</v>
      </c>
      <c r="N129" s="24" t="s">
        <v>0</v>
      </c>
      <c r="O129" s="24" t="s">
        <v>1620</v>
      </c>
      <c r="P129" s="24" t="s">
        <v>848</v>
      </c>
      <c r="Q129" s="24" t="s">
        <v>848</v>
      </c>
      <c r="R129" s="24">
        <v>3</v>
      </c>
      <c r="S129" s="24" t="s">
        <v>1494</v>
      </c>
      <c r="T129" s="24" t="s">
        <v>962</v>
      </c>
      <c r="U129" s="24" t="s">
        <v>856</v>
      </c>
      <c r="V129" s="32" t="s">
        <v>857</v>
      </c>
      <c r="W129" s="14" t="b">
        <v>1</v>
      </c>
      <c r="X129" s="5" t="s">
        <v>409</v>
      </c>
      <c r="Y129" s="28"/>
      <c r="Z129" s="5" t="s">
        <v>858</v>
      </c>
      <c r="AA129" s="5" t="s">
        <v>858</v>
      </c>
      <c r="AB129" s="24" t="s">
        <v>413</v>
      </c>
      <c r="AC129" s="14"/>
      <c r="AD129" s="14"/>
      <c r="AE129" s="14">
        <v>1</v>
      </c>
      <c r="AF129" s="14"/>
      <c r="AG129" s="14"/>
      <c r="AH129" s="14"/>
      <c r="AI129" s="14"/>
      <c r="AJ129" s="14"/>
      <c r="AK129" s="14"/>
      <c r="AL129" s="14"/>
      <c r="AM129" s="14"/>
      <c r="AN129" s="14"/>
      <c r="AO129" s="14"/>
      <c r="AP129" s="14"/>
      <c r="AQ129" s="14"/>
      <c r="AR129" s="14"/>
      <c r="AS129" s="14"/>
      <c r="AT129" s="14"/>
      <c r="AU129" s="14"/>
      <c r="AV129" s="14"/>
      <c r="AW129" s="14"/>
      <c r="AX129" s="14"/>
    </row>
    <row r="130" spans="1:50" ht="15.75" customHeight="1">
      <c r="A130" s="24" t="s">
        <v>186</v>
      </c>
      <c r="B130" s="25" t="str">
        <f t="shared" ref="B130:B193" si="4">A130</f>
        <v>s21_WM_100nm_1_</v>
      </c>
      <c r="C130" s="24" t="s">
        <v>1624</v>
      </c>
      <c r="D130" s="74" t="str">
        <f t="shared" ref="D130:D193" si="5">CONCATENATE("bossdb://lee2022/",A130,"/")</f>
        <v>bossdb://lee2022/s21_WM_100nm_1_/</v>
      </c>
      <c r="E130" s="24" t="s">
        <v>2</v>
      </c>
      <c r="F130" s="5" t="s">
        <v>1013</v>
      </c>
      <c r="G130" s="5" t="s">
        <v>865</v>
      </c>
      <c r="H130" s="24" t="s">
        <v>1491</v>
      </c>
      <c r="I130" s="24" t="s">
        <v>1624</v>
      </c>
      <c r="J130" s="24" t="s">
        <v>1492</v>
      </c>
      <c r="K130" s="24" t="s">
        <v>867</v>
      </c>
      <c r="L130" s="24" t="s">
        <v>853</v>
      </c>
      <c r="M130" s="24" t="s">
        <v>962</v>
      </c>
      <c r="N130" s="24" t="s">
        <v>0</v>
      </c>
      <c r="O130" s="24" t="s">
        <v>1621</v>
      </c>
      <c r="P130" s="24" t="s">
        <v>848</v>
      </c>
      <c r="Q130" s="24" t="s">
        <v>848</v>
      </c>
      <c r="R130" s="24">
        <v>3</v>
      </c>
      <c r="S130" s="24" t="s">
        <v>1494</v>
      </c>
      <c r="T130" s="24" t="s">
        <v>962</v>
      </c>
      <c r="U130" s="24" t="s">
        <v>856</v>
      </c>
      <c r="V130" s="32" t="s">
        <v>857</v>
      </c>
      <c r="W130" s="14" t="b">
        <v>1</v>
      </c>
      <c r="X130" s="5" t="s">
        <v>409</v>
      </c>
      <c r="Y130" s="28"/>
      <c r="Z130" s="5" t="s">
        <v>858</v>
      </c>
      <c r="AA130" s="5" t="s">
        <v>858</v>
      </c>
      <c r="AB130" s="24" t="s">
        <v>413</v>
      </c>
      <c r="AC130" s="14"/>
      <c r="AD130" s="14"/>
      <c r="AE130" s="14">
        <v>1</v>
      </c>
      <c r="AF130" s="14"/>
      <c r="AG130" s="14"/>
      <c r="AH130" s="14"/>
      <c r="AI130" s="14"/>
      <c r="AJ130" s="14"/>
      <c r="AK130" s="14"/>
      <c r="AL130" s="14"/>
      <c r="AM130" s="14"/>
      <c r="AN130" s="14"/>
      <c r="AO130" s="14"/>
      <c r="AP130" s="14"/>
      <c r="AQ130" s="14"/>
      <c r="AR130" s="14"/>
      <c r="AS130" s="14"/>
      <c r="AT130" s="14"/>
      <c r="AU130" s="14"/>
      <c r="AV130" s="14"/>
      <c r="AW130" s="14"/>
      <c r="AX130" s="14"/>
    </row>
    <row r="131" spans="1:50" ht="15.75" customHeight="1">
      <c r="A131" s="24" t="s">
        <v>188</v>
      </c>
      <c r="B131" s="25" t="str">
        <f t="shared" si="4"/>
        <v>s21_WM_100nm_2_</v>
      </c>
      <c r="C131" s="24" t="s">
        <v>1625</v>
      </c>
      <c r="D131" s="74" t="str">
        <f t="shared" si="5"/>
        <v>bossdb://lee2022/s21_WM_100nm_2_/</v>
      </c>
      <c r="E131" s="24" t="s">
        <v>2</v>
      </c>
      <c r="F131" s="5" t="s">
        <v>1013</v>
      </c>
      <c r="G131" s="5" t="s">
        <v>865</v>
      </c>
      <c r="H131" s="24" t="s">
        <v>1491</v>
      </c>
      <c r="I131" s="24" t="s">
        <v>1625</v>
      </c>
      <c r="J131" s="24" t="s">
        <v>1492</v>
      </c>
      <c r="K131" s="24" t="s">
        <v>867</v>
      </c>
      <c r="L131" s="24" t="s">
        <v>853</v>
      </c>
      <c r="M131" s="24" t="s">
        <v>962</v>
      </c>
      <c r="N131" s="24" t="s">
        <v>0</v>
      </c>
      <c r="O131" s="24" t="s">
        <v>1622</v>
      </c>
      <c r="P131" s="24" t="s">
        <v>848</v>
      </c>
      <c r="Q131" s="24" t="s">
        <v>848</v>
      </c>
      <c r="R131" s="24">
        <v>3</v>
      </c>
      <c r="S131" s="24" t="s">
        <v>1494</v>
      </c>
      <c r="T131" s="24" t="s">
        <v>962</v>
      </c>
      <c r="U131" s="24" t="s">
        <v>856</v>
      </c>
      <c r="V131" s="32" t="s">
        <v>857</v>
      </c>
      <c r="W131" s="14" t="b">
        <v>1</v>
      </c>
      <c r="X131" s="5" t="s">
        <v>409</v>
      </c>
      <c r="Y131" s="28"/>
      <c r="Z131" s="5" t="s">
        <v>858</v>
      </c>
      <c r="AA131" s="5" t="s">
        <v>858</v>
      </c>
      <c r="AB131" s="24" t="s">
        <v>413</v>
      </c>
      <c r="AC131" s="14"/>
      <c r="AD131" s="14"/>
      <c r="AE131" s="14">
        <v>1</v>
      </c>
      <c r="AF131" s="14"/>
      <c r="AG131" s="14"/>
      <c r="AH131" s="14"/>
      <c r="AI131" s="14"/>
      <c r="AJ131" s="14"/>
      <c r="AK131" s="14"/>
      <c r="AL131" s="14"/>
      <c r="AM131" s="14"/>
      <c r="AN131" s="14"/>
      <c r="AO131" s="14"/>
      <c r="AP131" s="14"/>
      <c r="AQ131" s="14"/>
      <c r="AR131" s="14"/>
      <c r="AS131" s="14"/>
      <c r="AT131" s="14"/>
      <c r="AU131" s="14"/>
      <c r="AV131" s="14"/>
      <c r="AW131" s="14"/>
      <c r="AX131" s="14"/>
    </row>
    <row r="132" spans="1:50" ht="15.75" customHeight="1">
      <c r="A132" s="24" t="s">
        <v>190</v>
      </c>
      <c r="B132" s="25" t="str">
        <f t="shared" si="4"/>
        <v>s21_WM_100nm_3_</v>
      </c>
      <c r="C132" s="24" t="s">
        <v>1626</v>
      </c>
      <c r="D132" s="74" t="str">
        <f t="shared" si="5"/>
        <v>bossdb://lee2022/s21_WM_100nm_3_/</v>
      </c>
      <c r="E132" s="24" t="s">
        <v>2</v>
      </c>
      <c r="F132" s="5" t="s">
        <v>1013</v>
      </c>
      <c r="G132" s="5" t="s">
        <v>865</v>
      </c>
      <c r="H132" s="24" t="s">
        <v>1491</v>
      </c>
      <c r="I132" s="24" t="s">
        <v>1626</v>
      </c>
      <c r="J132" s="24" t="s">
        <v>1492</v>
      </c>
      <c r="K132" s="24" t="s">
        <v>867</v>
      </c>
      <c r="L132" s="24" t="s">
        <v>853</v>
      </c>
      <c r="M132" s="24" t="s">
        <v>962</v>
      </c>
      <c r="N132" s="24" t="s">
        <v>0</v>
      </c>
      <c r="O132" s="24" t="s">
        <v>1623</v>
      </c>
      <c r="P132" s="24" t="s">
        <v>848</v>
      </c>
      <c r="Q132" s="24" t="s">
        <v>848</v>
      </c>
      <c r="R132" s="24">
        <v>3</v>
      </c>
      <c r="S132" s="24" t="s">
        <v>1494</v>
      </c>
      <c r="T132" s="24" t="s">
        <v>962</v>
      </c>
      <c r="U132" s="24" t="s">
        <v>856</v>
      </c>
      <c r="V132" s="32" t="s">
        <v>857</v>
      </c>
      <c r="W132" s="14" t="b">
        <v>1</v>
      </c>
      <c r="X132" s="5" t="s">
        <v>409</v>
      </c>
      <c r="Y132" s="28"/>
      <c r="Z132" s="5" t="s">
        <v>858</v>
      </c>
      <c r="AA132" s="5" t="s">
        <v>858</v>
      </c>
      <c r="AB132" s="24" t="s">
        <v>413</v>
      </c>
      <c r="AC132" s="14"/>
      <c r="AD132" s="14"/>
      <c r="AE132" s="14">
        <v>1</v>
      </c>
      <c r="AF132" s="14"/>
      <c r="AG132" s="14"/>
      <c r="AH132" s="14"/>
      <c r="AI132" s="14"/>
      <c r="AJ132" s="14"/>
      <c r="AK132" s="14"/>
      <c r="AL132" s="14"/>
      <c r="AM132" s="14"/>
      <c r="AN132" s="14"/>
      <c r="AO132" s="14"/>
      <c r="AP132" s="14"/>
      <c r="AQ132" s="14"/>
      <c r="AR132" s="14"/>
      <c r="AS132" s="14"/>
      <c r="AT132" s="14"/>
      <c r="AU132" s="14"/>
      <c r="AV132" s="14"/>
      <c r="AW132" s="14"/>
      <c r="AX132" s="14"/>
    </row>
    <row r="133" spans="1:50" ht="15.75" customHeight="1">
      <c r="A133" s="24" t="s">
        <v>192</v>
      </c>
      <c r="B133" s="25" t="str">
        <f t="shared" si="4"/>
        <v>s21_WM_100nm_4_</v>
      </c>
      <c r="C133" s="24" t="s">
        <v>1627</v>
      </c>
      <c r="D133" s="74" t="str">
        <f t="shared" si="5"/>
        <v>bossdb://lee2022/s21_WM_100nm_4_/</v>
      </c>
      <c r="E133" s="24" t="s">
        <v>2</v>
      </c>
      <c r="F133" s="5" t="s">
        <v>1013</v>
      </c>
      <c r="G133" s="5" t="s">
        <v>865</v>
      </c>
      <c r="H133" s="24" t="s">
        <v>1491</v>
      </c>
      <c r="I133" s="24" t="s">
        <v>1627</v>
      </c>
      <c r="J133" s="24" t="s">
        <v>1492</v>
      </c>
      <c r="K133" s="24" t="s">
        <v>867</v>
      </c>
      <c r="L133" s="24" t="s">
        <v>853</v>
      </c>
      <c r="M133" s="24" t="s">
        <v>962</v>
      </c>
      <c r="N133" s="24" t="s">
        <v>0</v>
      </c>
      <c r="O133" s="24" t="s">
        <v>1624</v>
      </c>
      <c r="P133" s="24" t="s">
        <v>848</v>
      </c>
      <c r="Q133" s="24" t="s">
        <v>848</v>
      </c>
      <c r="R133" s="24">
        <v>3</v>
      </c>
      <c r="S133" s="24" t="s">
        <v>1494</v>
      </c>
      <c r="T133" s="24" t="s">
        <v>962</v>
      </c>
      <c r="U133" s="24" t="s">
        <v>856</v>
      </c>
      <c r="V133" s="32" t="s">
        <v>857</v>
      </c>
      <c r="W133" s="14" t="b">
        <v>1</v>
      </c>
      <c r="X133" s="5" t="s">
        <v>409</v>
      </c>
      <c r="Y133" s="28"/>
      <c r="Z133" s="5" t="s">
        <v>858</v>
      </c>
      <c r="AA133" s="5" t="s">
        <v>858</v>
      </c>
      <c r="AB133" s="24" t="s">
        <v>413</v>
      </c>
      <c r="AC133" s="14"/>
      <c r="AD133" s="14"/>
      <c r="AE133" s="14">
        <v>1</v>
      </c>
      <c r="AF133" s="14"/>
      <c r="AG133" s="14"/>
      <c r="AH133" s="14"/>
      <c r="AI133" s="14"/>
      <c r="AJ133" s="14"/>
      <c r="AK133" s="14"/>
      <c r="AL133" s="14"/>
      <c r="AM133" s="14"/>
      <c r="AN133" s="14"/>
      <c r="AO133" s="14"/>
      <c r="AP133" s="14"/>
      <c r="AQ133" s="14"/>
      <c r="AR133" s="14"/>
      <c r="AS133" s="14"/>
      <c r="AT133" s="14"/>
      <c r="AU133" s="14"/>
      <c r="AV133" s="14"/>
      <c r="AW133" s="14"/>
      <c r="AX133" s="14"/>
    </row>
    <row r="134" spans="1:50" ht="15.75" customHeight="1">
      <c r="A134" s="24" t="s">
        <v>194</v>
      </c>
      <c r="B134" s="25" t="str">
        <f t="shared" si="4"/>
        <v>s21_fov4_hd_030nm_1_</v>
      </c>
      <c r="C134" s="24" t="s">
        <v>1628</v>
      </c>
      <c r="D134" s="74" t="str">
        <f t="shared" si="5"/>
        <v>bossdb://lee2022/s21_fov4_hd_030nm_1_/</v>
      </c>
      <c r="E134" s="24" t="s">
        <v>2</v>
      </c>
      <c r="F134" s="5" t="s">
        <v>1013</v>
      </c>
      <c r="G134" s="5" t="s">
        <v>865</v>
      </c>
      <c r="H134" s="24" t="s">
        <v>1491</v>
      </c>
      <c r="I134" s="24" t="s">
        <v>1628</v>
      </c>
      <c r="J134" s="24" t="s">
        <v>1492</v>
      </c>
      <c r="K134" s="24" t="s">
        <v>867</v>
      </c>
      <c r="L134" s="24" t="s">
        <v>853</v>
      </c>
      <c r="M134" s="24" t="s">
        <v>962</v>
      </c>
      <c r="N134" s="24" t="s">
        <v>0</v>
      </c>
      <c r="O134" s="24" t="s">
        <v>1625</v>
      </c>
      <c r="P134" s="24" t="s">
        <v>848</v>
      </c>
      <c r="Q134" s="24" t="s">
        <v>848</v>
      </c>
      <c r="R134" s="24">
        <v>3</v>
      </c>
      <c r="S134" s="24" t="s">
        <v>1494</v>
      </c>
      <c r="T134" s="24" t="s">
        <v>962</v>
      </c>
      <c r="U134" s="24" t="s">
        <v>856</v>
      </c>
      <c r="V134" s="32" t="s">
        <v>857</v>
      </c>
      <c r="W134" s="14" t="b">
        <v>1</v>
      </c>
      <c r="X134" s="5" t="s">
        <v>409</v>
      </c>
      <c r="Y134" s="28"/>
      <c r="Z134" s="5" t="s">
        <v>858</v>
      </c>
      <c r="AA134" s="5" t="s">
        <v>858</v>
      </c>
      <c r="AB134" s="24" t="s">
        <v>413</v>
      </c>
      <c r="AC134" s="14"/>
      <c r="AD134" s="14"/>
      <c r="AE134" s="14">
        <v>1</v>
      </c>
      <c r="AF134" s="14"/>
      <c r="AG134" s="14"/>
      <c r="AH134" s="14"/>
      <c r="AI134" s="14"/>
      <c r="AJ134" s="14"/>
      <c r="AK134" s="14"/>
      <c r="AL134" s="14"/>
      <c r="AM134" s="14"/>
      <c r="AN134" s="14"/>
      <c r="AO134" s="14"/>
      <c r="AP134" s="14"/>
      <c r="AQ134" s="14"/>
      <c r="AR134" s="14"/>
      <c r="AS134" s="14"/>
      <c r="AT134" s="14"/>
      <c r="AU134" s="14"/>
      <c r="AV134" s="14"/>
      <c r="AW134" s="14"/>
      <c r="AX134" s="14"/>
    </row>
    <row r="135" spans="1:50" ht="15.75" customHeight="1">
      <c r="A135" s="24" t="s">
        <v>196</v>
      </c>
      <c r="B135" s="25" t="str">
        <f t="shared" si="4"/>
        <v>s21_fov4_hd_030nm_2_</v>
      </c>
      <c r="C135" s="24" t="s">
        <v>1629</v>
      </c>
      <c r="D135" s="74" t="str">
        <f t="shared" si="5"/>
        <v>bossdb://lee2022/s21_fov4_hd_030nm_2_/</v>
      </c>
      <c r="E135" s="24" t="s">
        <v>2</v>
      </c>
      <c r="F135" s="5" t="s">
        <v>1013</v>
      </c>
      <c r="G135" s="5" t="s">
        <v>865</v>
      </c>
      <c r="H135" s="24" t="s">
        <v>1491</v>
      </c>
      <c r="I135" s="24" t="s">
        <v>1629</v>
      </c>
      <c r="J135" s="24" t="s">
        <v>1492</v>
      </c>
      <c r="K135" s="24" t="s">
        <v>867</v>
      </c>
      <c r="L135" s="24" t="s">
        <v>853</v>
      </c>
      <c r="M135" s="24" t="s">
        <v>962</v>
      </c>
      <c r="N135" s="24" t="s">
        <v>0</v>
      </c>
      <c r="O135" s="24" t="s">
        <v>1626</v>
      </c>
      <c r="P135" s="24" t="s">
        <v>848</v>
      </c>
      <c r="Q135" s="24" t="s">
        <v>848</v>
      </c>
      <c r="R135" s="24">
        <v>3</v>
      </c>
      <c r="S135" s="24" t="s">
        <v>1494</v>
      </c>
      <c r="T135" s="24" t="s">
        <v>962</v>
      </c>
      <c r="U135" s="24" t="s">
        <v>856</v>
      </c>
      <c r="V135" s="32" t="s">
        <v>857</v>
      </c>
      <c r="W135" s="14" t="b">
        <v>1</v>
      </c>
      <c r="X135" s="5" t="s">
        <v>409</v>
      </c>
      <c r="Y135" s="28"/>
      <c r="Z135" s="5" t="s">
        <v>858</v>
      </c>
      <c r="AA135" s="5" t="s">
        <v>858</v>
      </c>
      <c r="AB135" s="24" t="s">
        <v>413</v>
      </c>
      <c r="AC135" s="14"/>
      <c r="AD135" s="14"/>
      <c r="AE135" s="14">
        <v>1</v>
      </c>
      <c r="AF135" s="14"/>
      <c r="AG135" s="14"/>
      <c r="AH135" s="14"/>
      <c r="AI135" s="14"/>
      <c r="AJ135" s="14"/>
      <c r="AK135" s="14"/>
      <c r="AL135" s="14"/>
      <c r="AM135" s="14"/>
      <c r="AN135" s="14"/>
      <c r="AO135" s="14"/>
      <c r="AP135" s="14"/>
      <c r="AQ135" s="14"/>
      <c r="AR135" s="14"/>
      <c r="AS135" s="14"/>
      <c r="AT135" s="14"/>
      <c r="AU135" s="14"/>
      <c r="AV135" s="14"/>
      <c r="AW135" s="14"/>
      <c r="AX135" s="14"/>
    </row>
    <row r="136" spans="1:50" ht="15.75" customHeight="1">
      <c r="A136" s="24" t="s">
        <v>198</v>
      </c>
      <c r="B136" s="25" t="str">
        <f t="shared" si="4"/>
        <v>s21_fov4_hd_030nm_3_</v>
      </c>
      <c r="C136" s="24" t="s">
        <v>1630</v>
      </c>
      <c r="D136" s="74" t="str">
        <f t="shared" si="5"/>
        <v>bossdb://lee2022/s21_fov4_hd_030nm_3_/</v>
      </c>
      <c r="E136" s="24" t="s">
        <v>2</v>
      </c>
      <c r="F136" s="5" t="s">
        <v>1013</v>
      </c>
      <c r="G136" s="5" t="s">
        <v>865</v>
      </c>
      <c r="H136" s="24" t="s">
        <v>1491</v>
      </c>
      <c r="I136" s="24" t="s">
        <v>1630</v>
      </c>
      <c r="J136" s="24" t="s">
        <v>1492</v>
      </c>
      <c r="K136" s="24" t="s">
        <v>867</v>
      </c>
      <c r="L136" s="24" t="s">
        <v>853</v>
      </c>
      <c r="M136" s="24" t="s">
        <v>962</v>
      </c>
      <c r="N136" s="24" t="s">
        <v>0</v>
      </c>
      <c r="O136" s="24" t="s">
        <v>1627</v>
      </c>
      <c r="P136" s="24" t="s">
        <v>848</v>
      </c>
      <c r="Q136" s="24" t="s">
        <v>848</v>
      </c>
      <c r="R136" s="24">
        <v>3</v>
      </c>
      <c r="S136" s="24" t="s">
        <v>1494</v>
      </c>
      <c r="T136" s="24" t="s">
        <v>962</v>
      </c>
      <c r="U136" s="24" t="s">
        <v>856</v>
      </c>
      <c r="V136" s="32" t="s">
        <v>857</v>
      </c>
      <c r="W136" s="14" t="b">
        <v>1</v>
      </c>
      <c r="X136" s="5" t="s">
        <v>409</v>
      </c>
      <c r="Y136" s="28"/>
      <c r="Z136" s="5" t="s">
        <v>858</v>
      </c>
      <c r="AA136" s="5" t="s">
        <v>858</v>
      </c>
      <c r="AB136" s="24" t="s">
        <v>413</v>
      </c>
      <c r="AC136" s="14"/>
      <c r="AD136" s="14"/>
      <c r="AE136" s="14">
        <v>1</v>
      </c>
      <c r="AF136" s="14"/>
      <c r="AG136" s="14"/>
      <c r="AH136" s="14"/>
      <c r="AI136" s="14"/>
      <c r="AJ136" s="14"/>
      <c r="AK136" s="14"/>
      <c r="AL136" s="14"/>
      <c r="AM136" s="14"/>
      <c r="AN136" s="14"/>
      <c r="AO136" s="14"/>
      <c r="AP136" s="14"/>
      <c r="AQ136" s="14"/>
      <c r="AR136" s="14"/>
      <c r="AS136" s="14"/>
      <c r="AT136" s="14"/>
      <c r="AU136" s="14"/>
      <c r="AV136" s="14"/>
      <c r="AW136" s="14"/>
      <c r="AX136" s="14"/>
    </row>
    <row r="137" spans="1:50" ht="15.75" customHeight="1">
      <c r="A137" s="24" t="s">
        <v>200</v>
      </c>
      <c r="B137" s="25" t="str">
        <f t="shared" si="4"/>
        <v>s21_fov4_hd_030nm_4_</v>
      </c>
      <c r="C137" s="24" t="s">
        <v>1631</v>
      </c>
      <c r="D137" s="74" t="str">
        <f t="shared" si="5"/>
        <v>bossdb://lee2022/s21_fov4_hd_030nm_4_/</v>
      </c>
      <c r="E137" s="24" t="s">
        <v>2</v>
      </c>
      <c r="F137" s="5" t="s">
        <v>1013</v>
      </c>
      <c r="G137" s="5" t="s">
        <v>865</v>
      </c>
      <c r="H137" s="24" t="s">
        <v>1491</v>
      </c>
      <c r="I137" s="24" t="s">
        <v>1631</v>
      </c>
      <c r="J137" s="24" t="s">
        <v>1492</v>
      </c>
      <c r="K137" s="24" t="s">
        <v>867</v>
      </c>
      <c r="L137" s="24" t="s">
        <v>853</v>
      </c>
      <c r="M137" s="24" t="s">
        <v>962</v>
      </c>
      <c r="N137" s="24" t="s">
        <v>0</v>
      </c>
      <c r="O137" s="24" t="s">
        <v>1628</v>
      </c>
      <c r="P137" s="24" t="s">
        <v>848</v>
      </c>
      <c r="Q137" s="24" t="s">
        <v>848</v>
      </c>
      <c r="R137" s="24">
        <v>3</v>
      </c>
      <c r="S137" s="24" t="s">
        <v>1494</v>
      </c>
      <c r="T137" s="24" t="s">
        <v>962</v>
      </c>
      <c r="U137" s="24" t="s">
        <v>856</v>
      </c>
      <c r="V137" s="32" t="s">
        <v>857</v>
      </c>
      <c r="W137" s="14" t="b">
        <v>1</v>
      </c>
      <c r="X137" s="5" t="s">
        <v>409</v>
      </c>
      <c r="Y137" s="28"/>
      <c r="Z137" s="5" t="s">
        <v>858</v>
      </c>
      <c r="AA137" s="5" t="s">
        <v>858</v>
      </c>
      <c r="AB137" s="24" t="s">
        <v>413</v>
      </c>
      <c r="AC137" s="14"/>
      <c r="AD137" s="14"/>
      <c r="AE137" s="14">
        <v>1</v>
      </c>
      <c r="AF137" s="14"/>
      <c r="AG137" s="14"/>
      <c r="AH137" s="14"/>
      <c r="AI137" s="14"/>
      <c r="AJ137" s="14"/>
      <c r="AK137" s="14"/>
      <c r="AL137" s="14"/>
      <c r="AM137" s="14"/>
      <c r="AN137" s="14"/>
      <c r="AO137" s="14"/>
      <c r="AP137" s="14"/>
      <c r="AQ137" s="14"/>
      <c r="AR137" s="14"/>
      <c r="AS137" s="14"/>
      <c r="AT137" s="14"/>
      <c r="AU137" s="14"/>
      <c r="AV137" s="14"/>
      <c r="AW137" s="14"/>
      <c r="AX137" s="14"/>
    </row>
    <row r="138" spans="1:50" ht="15.75" customHeight="1">
      <c r="A138" s="24" t="s">
        <v>202</v>
      </c>
      <c r="B138" s="25" t="str">
        <f t="shared" si="4"/>
        <v>s21_l56_030nm_</v>
      </c>
      <c r="C138" s="24" t="s">
        <v>1632</v>
      </c>
      <c r="D138" s="74" t="str">
        <f t="shared" si="5"/>
        <v>bossdb://lee2022/s21_l56_030nm_/</v>
      </c>
      <c r="E138" s="24" t="s">
        <v>2</v>
      </c>
      <c r="F138" s="5" t="s">
        <v>1013</v>
      </c>
      <c r="G138" s="5" t="s">
        <v>865</v>
      </c>
      <c r="H138" s="24" t="s">
        <v>1491</v>
      </c>
      <c r="I138" s="24" t="s">
        <v>1632</v>
      </c>
      <c r="J138" s="24" t="s">
        <v>1492</v>
      </c>
      <c r="K138" s="24" t="s">
        <v>867</v>
      </c>
      <c r="L138" s="24" t="s">
        <v>853</v>
      </c>
      <c r="M138" s="24" t="s">
        <v>962</v>
      </c>
      <c r="N138" s="24" t="s">
        <v>0</v>
      </c>
      <c r="O138" s="24" t="s">
        <v>1629</v>
      </c>
      <c r="P138" s="24" t="s">
        <v>848</v>
      </c>
      <c r="Q138" s="24" t="s">
        <v>848</v>
      </c>
      <c r="R138" s="24">
        <v>3</v>
      </c>
      <c r="S138" s="24" t="s">
        <v>1494</v>
      </c>
      <c r="T138" s="24" t="s">
        <v>962</v>
      </c>
      <c r="U138" s="24" t="s">
        <v>856</v>
      </c>
      <c r="V138" s="32" t="s">
        <v>857</v>
      </c>
      <c r="W138" s="14" t="b">
        <v>1</v>
      </c>
      <c r="X138" s="5" t="s">
        <v>409</v>
      </c>
      <c r="Y138" s="28"/>
      <c r="Z138" s="5" t="s">
        <v>858</v>
      </c>
      <c r="AA138" s="5" t="s">
        <v>858</v>
      </c>
      <c r="AB138" s="24" t="s">
        <v>413</v>
      </c>
      <c r="AC138" s="14"/>
      <c r="AD138" s="14"/>
      <c r="AE138" s="14">
        <v>1</v>
      </c>
      <c r="AF138" s="14"/>
      <c r="AG138" s="14"/>
      <c r="AH138" s="14"/>
      <c r="AI138" s="14"/>
      <c r="AJ138" s="14"/>
      <c r="AK138" s="14"/>
      <c r="AL138" s="14"/>
      <c r="AM138" s="14"/>
      <c r="AN138" s="14"/>
      <c r="AO138" s="14"/>
      <c r="AP138" s="14"/>
      <c r="AQ138" s="14"/>
      <c r="AR138" s="14"/>
      <c r="AS138" s="14"/>
      <c r="AT138" s="14"/>
      <c r="AU138" s="14"/>
      <c r="AV138" s="14"/>
      <c r="AW138" s="14"/>
      <c r="AX138" s="14"/>
    </row>
    <row r="139" spans="1:50" ht="15.75" customHeight="1">
      <c r="A139" s="24" t="s">
        <v>204</v>
      </c>
      <c r="B139" s="25" t="str">
        <f t="shared" si="4"/>
        <v>s21_l56_030nm_1_</v>
      </c>
      <c r="C139" s="24" t="s">
        <v>1633</v>
      </c>
      <c r="D139" s="74" t="str">
        <f t="shared" si="5"/>
        <v>bossdb://lee2022/s21_l56_030nm_1_/</v>
      </c>
      <c r="E139" s="24" t="s">
        <v>2</v>
      </c>
      <c r="F139" s="5" t="s">
        <v>1013</v>
      </c>
      <c r="G139" s="5" t="s">
        <v>865</v>
      </c>
      <c r="H139" s="24" t="s">
        <v>1491</v>
      </c>
      <c r="I139" s="24" t="s">
        <v>1633</v>
      </c>
      <c r="J139" s="24" t="s">
        <v>1492</v>
      </c>
      <c r="K139" s="24" t="s">
        <v>867</v>
      </c>
      <c r="L139" s="24" t="s">
        <v>853</v>
      </c>
      <c r="M139" s="24" t="s">
        <v>962</v>
      </c>
      <c r="N139" s="24" t="s">
        <v>0</v>
      </c>
      <c r="O139" s="24" t="s">
        <v>1630</v>
      </c>
      <c r="P139" s="24" t="s">
        <v>848</v>
      </c>
      <c r="Q139" s="24" t="s">
        <v>848</v>
      </c>
      <c r="R139" s="24">
        <v>3</v>
      </c>
      <c r="S139" s="24" t="s">
        <v>1494</v>
      </c>
      <c r="T139" s="24" t="s">
        <v>962</v>
      </c>
      <c r="U139" s="24" t="s">
        <v>856</v>
      </c>
      <c r="V139" s="32" t="s">
        <v>857</v>
      </c>
      <c r="W139" s="14" t="b">
        <v>1</v>
      </c>
      <c r="X139" s="5" t="s">
        <v>409</v>
      </c>
      <c r="Y139" s="28"/>
      <c r="Z139" s="5" t="s">
        <v>858</v>
      </c>
      <c r="AA139" s="5" t="s">
        <v>858</v>
      </c>
      <c r="AB139" s="24" t="s">
        <v>413</v>
      </c>
      <c r="AC139" s="14"/>
      <c r="AD139" s="14"/>
      <c r="AE139" s="14">
        <v>1</v>
      </c>
      <c r="AF139" s="14"/>
      <c r="AG139" s="14"/>
      <c r="AH139" s="14"/>
      <c r="AI139" s="14"/>
      <c r="AJ139" s="14"/>
      <c r="AK139" s="14"/>
      <c r="AL139" s="14"/>
      <c r="AM139" s="14"/>
      <c r="AN139" s="14"/>
      <c r="AO139" s="14"/>
      <c r="AP139" s="14"/>
      <c r="AQ139" s="14"/>
      <c r="AR139" s="14"/>
      <c r="AS139" s="14"/>
      <c r="AT139" s="14"/>
      <c r="AU139" s="14"/>
      <c r="AV139" s="14"/>
      <c r="AW139" s="14"/>
      <c r="AX139" s="14"/>
    </row>
    <row r="140" spans="1:50" ht="15.75" customHeight="1">
      <c r="A140" s="24" t="s">
        <v>206</v>
      </c>
      <c r="B140" s="25" t="str">
        <f t="shared" si="4"/>
        <v>s21_l56_030nm_2_</v>
      </c>
      <c r="C140" s="24" t="s">
        <v>1634</v>
      </c>
      <c r="D140" s="74" t="str">
        <f t="shared" si="5"/>
        <v>bossdb://lee2022/s21_l56_030nm_2_/</v>
      </c>
      <c r="E140" s="24" t="s">
        <v>2</v>
      </c>
      <c r="F140" s="5" t="s">
        <v>1013</v>
      </c>
      <c r="G140" s="5" t="s">
        <v>865</v>
      </c>
      <c r="H140" s="24" t="s">
        <v>1491</v>
      </c>
      <c r="I140" s="24" t="s">
        <v>1634</v>
      </c>
      <c r="J140" s="24" t="s">
        <v>1492</v>
      </c>
      <c r="K140" s="24" t="s">
        <v>867</v>
      </c>
      <c r="L140" s="24" t="s">
        <v>853</v>
      </c>
      <c r="M140" s="24" t="s">
        <v>962</v>
      </c>
      <c r="N140" s="24" t="s">
        <v>0</v>
      </c>
      <c r="O140" s="24" t="s">
        <v>1631</v>
      </c>
      <c r="P140" s="24" t="s">
        <v>848</v>
      </c>
      <c r="Q140" s="24" t="s">
        <v>848</v>
      </c>
      <c r="R140" s="24">
        <v>3</v>
      </c>
      <c r="S140" s="24" t="s">
        <v>1494</v>
      </c>
      <c r="T140" s="24" t="s">
        <v>962</v>
      </c>
      <c r="U140" s="24" t="s">
        <v>856</v>
      </c>
      <c r="V140" s="32" t="s">
        <v>857</v>
      </c>
      <c r="W140" s="14" t="b">
        <v>1</v>
      </c>
      <c r="X140" s="5" t="s">
        <v>409</v>
      </c>
      <c r="Y140" s="28"/>
      <c r="Z140" s="5" t="s">
        <v>858</v>
      </c>
      <c r="AA140" s="5" t="s">
        <v>858</v>
      </c>
      <c r="AB140" s="24" t="s">
        <v>413</v>
      </c>
      <c r="AC140" s="14"/>
      <c r="AD140" s="14"/>
      <c r="AE140" s="14">
        <v>1</v>
      </c>
      <c r="AF140" s="14"/>
      <c r="AG140" s="14"/>
      <c r="AH140" s="14"/>
      <c r="AI140" s="14"/>
      <c r="AJ140" s="14"/>
      <c r="AK140" s="14"/>
      <c r="AL140" s="14"/>
      <c r="AM140" s="14"/>
      <c r="AN140" s="14"/>
      <c r="AO140" s="14"/>
      <c r="AP140" s="14"/>
      <c r="AQ140" s="14"/>
      <c r="AR140" s="14"/>
      <c r="AS140" s="14"/>
      <c r="AT140" s="14"/>
      <c r="AU140" s="14"/>
      <c r="AV140" s="14"/>
      <c r="AW140" s="14"/>
      <c r="AX140" s="14"/>
    </row>
    <row r="141" spans="1:50" ht="15.75" customHeight="1">
      <c r="A141" s="24" t="s">
        <v>208</v>
      </c>
      <c r="B141" s="25" t="str">
        <f t="shared" si="4"/>
        <v>s21_l56_030nm_3_</v>
      </c>
      <c r="C141" s="24" t="s">
        <v>1635</v>
      </c>
      <c r="D141" s="74" t="str">
        <f t="shared" si="5"/>
        <v>bossdb://lee2022/s21_l56_030nm_3_/</v>
      </c>
      <c r="E141" s="24" t="s">
        <v>2</v>
      </c>
      <c r="F141" s="5" t="s">
        <v>1013</v>
      </c>
      <c r="G141" s="5" t="s">
        <v>865</v>
      </c>
      <c r="H141" s="24" t="s">
        <v>1491</v>
      </c>
      <c r="I141" s="24" t="s">
        <v>1635</v>
      </c>
      <c r="J141" s="24" t="s">
        <v>1492</v>
      </c>
      <c r="K141" s="24" t="s">
        <v>867</v>
      </c>
      <c r="L141" s="24" t="s">
        <v>853</v>
      </c>
      <c r="M141" s="24" t="s">
        <v>962</v>
      </c>
      <c r="N141" s="24" t="s">
        <v>0</v>
      </c>
      <c r="O141" s="24" t="s">
        <v>1632</v>
      </c>
      <c r="P141" s="24" t="s">
        <v>848</v>
      </c>
      <c r="Q141" s="24" t="s">
        <v>848</v>
      </c>
      <c r="R141" s="24">
        <v>3</v>
      </c>
      <c r="S141" s="24" t="s">
        <v>1494</v>
      </c>
      <c r="T141" s="24" t="s">
        <v>962</v>
      </c>
      <c r="U141" s="24" t="s">
        <v>856</v>
      </c>
      <c r="V141" s="32" t="s">
        <v>857</v>
      </c>
      <c r="W141" s="14" t="b">
        <v>1</v>
      </c>
      <c r="X141" s="5" t="s">
        <v>409</v>
      </c>
      <c r="Y141" s="28"/>
      <c r="Z141" s="5" t="s">
        <v>858</v>
      </c>
      <c r="AA141" s="5" t="s">
        <v>858</v>
      </c>
      <c r="AB141" s="24" t="s">
        <v>413</v>
      </c>
      <c r="AC141" s="14"/>
      <c r="AD141" s="14"/>
      <c r="AE141" s="14">
        <v>1</v>
      </c>
      <c r="AF141" s="14"/>
      <c r="AG141" s="14"/>
      <c r="AH141" s="14"/>
      <c r="AI141" s="14"/>
      <c r="AJ141" s="14"/>
      <c r="AK141" s="14"/>
      <c r="AL141" s="14"/>
      <c r="AM141" s="14"/>
      <c r="AN141" s="14"/>
      <c r="AO141" s="14"/>
      <c r="AP141" s="14"/>
      <c r="AQ141" s="14"/>
      <c r="AR141" s="14"/>
      <c r="AS141" s="14"/>
      <c r="AT141" s="14"/>
      <c r="AU141" s="14"/>
      <c r="AV141" s="14"/>
      <c r="AW141" s="14"/>
      <c r="AX141" s="14"/>
    </row>
    <row r="142" spans="1:50" ht="15.75" customHeight="1">
      <c r="A142" s="24" t="s">
        <v>210</v>
      </c>
      <c r="B142" s="25" t="str">
        <f t="shared" si="4"/>
        <v>s21_l56_030nm_4_</v>
      </c>
      <c r="C142" s="24" t="s">
        <v>1636</v>
      </c>
      <c r="D142" s="74" t="str">
        <f t="shared" si="5"/>
        <v>bossdb://lee2022/s21_l56_030nm_4_/</v>
      </c>
      <c r="E142" s="24" t="s">
        <v>2</v>
      </c>
      <c r="F142" s="5" t="s">
        <v>1013</v>
      </c>
      <c r="G142" s="5" t="s">
        <v>865</v>
      </c>
      <c r="H142" s="24" t="s">
        <v>1491</v>
      </c>
      <c r="I142" s="24" t="s">
        <v>1636</v>
      </c>
      <c r="J142" s="24" t="s">
        <v>1492</v>
      </c>
      <c r="K142" s="24" t="s">
        <v>867</v>
      </c>
      <c r="L142" s="24" t="s">
        <v>853</v>
      </c>
      <c r="M142" s="24" t="s">
        <v>962</v>
      </c>
      <c r="N142" s="24" t="s">
        <v>0</v>
      </c>
      <c r="O142" s="24" t="s">
        <v>1633</v>
      </c>
      <c r="P142" s="24" t="s">
        <v>848</v>
      </c>
      <c r="Q142" s="24" t="s">
        <v>848</v>
      </c>
      <c r="R142" s="24">
        <v>3</v>
      </c>
      <c r="S142" s="24" t="s">
        <v>1494</v>
      </c>
      <c r="T142" s="24" t="s">
        <v>962</v>
      </c>
      <c r="U142" s="24" t="s">
        <v>856</v>
      </c>
      <c r="V142" s="32" t="s">
        <v>857</v>
      </c>
      <c r="W142" s="14" t="b">
        <v>1</v>
      </c>
      <c r="X142" s="5" t="s">
        <v>409</v>
      </c>
      <c r="Y142" s="28"/>
      <c r="Z142" s="5" t="s">
        <v>858</v>
      </c>
      <c r="AA142" s="5" t="s">
        <v>858</v>
      </c>
      <c r="AB142" s="24" t="s">
        <v>413</v>
      </c>
      <c r="AC142" s="14"/>
      <c r="AD142" s="14"/>
      <c r="AE142" s="14">
        <v>1</v>
      </c>
      <c r="AF142" s="14"/>
      <c r="AG142" s="14"/>
      <c r="AH142" s="14"/>
      <c r="AI142" s="14"/>
      <c r="AJ142" s="14"/>
      <c r="AK142" s="14"/>
      <c r="AL142" s="14"/>
      <c r="AM142" s="14"/>
      <c r="AN142" s="14"/>
      <c r="AO142" s="14"/>
      <c r="AP142" s="14"/>
      <c r="AQ142" s="14"/>
      <c r="AR142" s="14"/>
      <c r="AS142" s="14"/>
      <c r="AT142" s="14"/>
      <c r="AU142" s="14"/>
      <c r="AV142" s="14"/>
      <c r="AW142" s="14"/>
      <c r="AX142" s="14"/>
    </row>
    <row r="143" spans="1:50" ht="15.75" customHeight="1">
      <c r="A143" s="24" t="s">
        <v>212</v>
      </c>
      <c r="B143" s="25" t="str">
        <f t="shared" si="4"/>
        <v>s21_l56_100nm_1_</v>
      </c>
      <c r="C143" s="24" t="s">
        <v>1637</v>
      </c>
      <c r="D143" s="74" t="str">
        <f t="shared" si="5"/>
        <v>bossdb://lee2022/s21_l56_100nm_1_/</v>
      </c>
      <c r="E143" s="24" t="s">
        <v>2</v>
      </c>
      <c r="F143" s="5" t="s">
        <v>1013</v>
      </c>
      <c r="G143" s="5" t="s">
        <v>865</v>
      </c>
      <c r="H143" s="24" t="s">
        <v>1491</v>
      </c>
      <c r="I143" s="24" t="s">
        <v>1637</v>
      </c>
      <c r="J143" s="24" t="s">
        <v>1492</v>
      </c>
      <c r="K143" s="24" t="s">
        <v>867</v>
      </c>
      <c r="L143" s="24" t="s">
        <v>853</v>
      </c>
      <c r="M143" s="24" t="s">
        <v>962</v>
      </c>
      <c r="N143" s="24" t="s">
        <v>0</v>
      </c>
      <c r="O143" s="24" t="s">
        <v>1634</v>
      </c>
      <c r="P143" s="24" t="s">
        <v>848</v>
      </c>
      <c r="Q143" s="24" t="s">
        <v>848</v>
      </c>
      <c r="R143" s="24">
        <v>3</v>
      </c>
      <c r="S143" s="24" t="s">
        <v>1494</v>
      </c>
      <c r="T143" s="24" t="s">
        <v>962</v>
      </c>
      <c r="U143" s="24" t="s">
        <v>856</v>
      </c>
      <c r="V143" s="32" t="s">
        <v>857</v>
      </c>
      <c r="W143" s="14" t="b">
        <v>1</v>
      </c>
      <c r="X143" s="5" t="s">
        <v>409</v>
      </c>
      <c r="Y143" s="28"/>
      <c r="Z143" s="5" t="s">
        <v>858</v>
      </c>
      <c r="AA143" s="5" t="s">
        <v>858</v>
      </c>
      <c r="AB143" s="24" t="s">
        <v>413</v>
      </c>
      <c r="AC143" s="14"/>
      <c r="AD143" s="14"/>
      <c r="AE143" s="14">
        <v>1</v>
      </c>
      <c r="AF143" s="14"/>
      <c r="AG143" s="14"/>
      <c r="AH143" s="14"/>
      <c r="AI143" s="14"/>
      <c r="AJ143" s="14"/>
      <c r="AK143" s="14"/>
      <c r="AL143" s="14"/>
      <c r="AM143" s="14"/>
      <c r="AN143" s="14"/>
      <c r="AO143" s="14"/>
      <c r="AP143" s="14"/>
      <c r="AQ143" s="14"/>
      <c r="AR143" s="14"/>
      <c r="AS143" s="14"/>
      <c r="AT143" s="14"/>
      <c r="AU143" s="14"/>
      <c r="AV143" s="14"/>
      <c r="AW143" s="14"/>
      <c r="AX143" s="14"/>
    </row>
    <row r="144" spans="1:50" ht="15.75" customHeight="1">
      <c r="A144" s="24" t="s">
        <v>214</v>
      </c>
      <c r="B144" s="25" t="str">
        <f t="shared" si="4"/>
        <v>s21_l56_100nm_2_</v>
      </c>
      <c r="C144" s="24" t="s">
        <v>1638</v>
      </c>
      <c r="D144" s="74" t="str">
        <f t="shared" si="5"/>
        <v>bossdb://lee2022/s21_l56_100nm_2_/</v>
      </c>
      <c r="E144" s="24" t="s">
        <v>2</v>
      </c>
      <c r="F144" s="5" t="s">
        <v>1013</v>
      </c>
      <c r="G144" s="5" t="s">
        <v>865</v>
      </c>
      <c r="H144" s="24" t="s">
        <v>1491</v>
      </c>
      <c r="I144" s="24" t="s">
        <v>1638</v>
      </c>
      <c r="J144" s="24" t="s">
        <v>1492</v>
      </c>
      <c r="K144" s="24" t="s">
        <v>867</v>
      </c>
      <c r="L144" s="24" t="s">
        <v>853</v>
      </c>
      <c r="M144" s="24" t="s">
        <v>962</v>
      </c>
      <c r="N144" s="24" t="s">
        <v>0</v>
      </c>
      <c r="O144" s="24" t="s">
        <v>1635</v>
      </c>
      <c r="P144" s="24" t="s">
        <v>848</v>
      </c>
      <c r="Q144" s="24" t="s">
        <v>848</v>
      </c>
      <c r="R144" s="24">
        <v>3</v>
      </c>
      <c r="S144" s="24" t="s">
        <v>1494</v>
      </c>
      <c r="T144" s="24" t="s">
        <v>962</v>
      </c>
      <c r="U144" s="24" t="s">
        <v>856</v>
      </c>
      <c r="V144" s="32" t="s">
        <v>857</v>
      </c>
      <c r="W144" s="14" t="b">
        <v>1</v>
      </c>
      <c r="X144" s="5" t="s">
        <v>409</v>
      </c>
      <c r="Y144" s="28"/>
      <c r="Z144" s="5" t="s">
        <v>858</v>
      </c>
      <c r="AA144" s="5" t="s">
        <v>858</v>
      </c>
      <c r="AB144" s="24" t="s">
        <v>413</v>
      </c>
      <c r="AC144" s="14"/>
      <c r="AD144" s="14"/>
      <c r="AE144" s="14">
        <v>1</v>
      </c>
      <c r="AF144" s="14"/>
      <c r="AG144" s="14"/>
      <c r="AH144" s="14"/>
      <c r="AI144" s="14"/>
      <c r="AJ144" s="14"/>
      <c r="AK144" s="14"/>
      <c r="AL144" s="14"/>
      <c r="AM144" s="14"/>
      <c r="AN144" s="14"/>
      <c r="AO144" s="14"/>
      <c r="AP144" s="14"/>
      <c r="AQ144" s="14"/>
      <c r="AR144" s="14"/>
      <c r="AS144" s="14"/>
      <c r="AT144" s="14"/>
      <c r="AU144" s="14"/>
      <c r="AV144" s="14"/>
      <c r="AW144" s="14"/>
      <c r="AX144" s="14"/>
    </row>
    <row r="145" spans="1:50" ht="15.75" customHeight="1">
      <c r="A145" s="24" t="s">
        <v>216</v>
      </c>
      <c r="B145" s="25" t="str">
        <f t="shared" si="4"/>
        <v>s21_l56_100nm_3_</v>
      </c>
      <c r="C145" s="24" t="s">
        <v>1639</v>
      </c>
      <c r="D145" s="74" t="str">
        <f t="shared" si="5"/>
        <v>bossdb://lee2022/s21_l56_100nm_3_/</v>
      </c>
      <c r="E145" s="24" t="s">
        <v>2</v>
      </c>
      <c r="F145" s="5" t="s">
        <v>1013</v>
      </c>
      <c r="G145" s="5" t="s">
        <v>865</v>
      </c>
      <c r="H145" s="24" t="s">
        <v>1491</v>
      </c>
      <c r="I145" s="24" t="s">
        <v>1639</v>
      </c>
      <c r="J145" s="24" t="s">
        <v>1492</v>
      </c>
      <c r="K145" s="24" t="s">
        <v>867</v>
      </c>
      <c r="L145" s="24" t="s">
        <v>853</v>
      </c>
      <c r="M145" s="24" t="s">
        <v>962</v>
      </c>
      <c r="N145" s="24" t="s">
        <v>0</v>
      </c>
      <c r="O145" s="24" t="s">
        <v>1636</v>
      </c>
      <c r="P145" s="24" t="s">
        <v>848</v>
      </c>
      <c r="Q145" s="24" t="s">
        <v>848</v>
      </c>
      <c r="R145" s="24">
        <v>3</v>
      </c>
      <c r="S145" s="24" t="s">
        <v>1494</v>
      </c>
      <c r="T145" s="24" t="s">
        <v>962</v>
      </c>
      <c r="U145" s="24" t="s">
        <v>856</v>
      </c>
      <c r="V145" s="32" t="s">
        <v>857</v>
      </c>
      <c r="W145" s="14" t="b">
        <v>1</v>
      </c>
      <c r="X145" s="5" t="s">
        <v>409</v>
      </c>
      <c r="Y145" s="28"/>
      <c r="Z145" s="5" t="s">
        <v>858</v>
      </c>
      <c r="AA145" s="5" t="s">
        <v>858</v>
      </c>
      <c r="AB145" s="24" t="s">
        <v>413</v>
      </c>
      <c r="AC145" s="14"/>
      <c r="AD145" s="14"/>
      <c r="AE145" s="14">
        <v>1</v>
      </c>
      <c r="AF145" s="14"/>
      <c r="AG145" s="14"/>
      <c r="AH145" s="14"/>
      <c r="AI145" s="14"/>
      <c r="AJ145" s="14"/>
      <c r="AK145" s="14"/>
      <c r="AL145" s="14"/>
      <c r="AM145" s="14"/>
      <c r="AN145" s="14"/>
      <c r="AO145" s="14"/>
      <c r="AP145" s="14"/>
      <c r="AQ145" s="14"/>
      <c r="AR145" s="14"/>
      <c r="AS145" s="14"/>
      <c r="AT145" s="14"/>
      <c r="AU145" s="14"/>
      <c r="AV145" s="14"/>
      <c r="AW145" s="14"/>
      <c r="AX145" s="14"/>
    </row>
    <row r="146" spans="1:50" ht="15.75" customHeight="1">
      <c r="A146" s="24" t="s">
        <v>218</v>
      </c>
      <c r="B146" s="25" t="str">
        <f t="shared" si="4"/>
        <v>s21_l56_100nm_4_</v>
      </c>
      <c r="C146" s="24" t="s">
        <v>1640</v>
      </c>
      <c r="D146" s="74" t="str">
        <f t="shared" si="5"/>
        <v>bossdb://lee2022/s21_l56_100nm_4_/</v>
      </c>
      <c r="E146" s="24" t="s">
        <v>2</v>
      </c>
      <c r="F146" s="5" t="s">
        <v>1013</v>
      </c>
      <c r="G146" s="5" t="s">
        <v>865</v>
      </c>
      <c r="H146" s="24" t="s">
        <v>1491</v>
      </c>
      <c r="I146" s="24" t="s">
        <v>1640</v>
      </c>
      <c r="J146" s="24" t="s">
        <v>1492</v>
      </c>
      <c r="K146" s="24" t="s">
        <v>867</v>
      </c>
      <c r="L146" s="24" t="s">
        <v>853</v>
      </c>
      <c r="M146" s="24" t="s">
        <v>962</v>
      </c>
      <c r="N146" s="24" t="s">
        <v>0</v>
      </c>
      <c r="O146" s="24" t="s">
        <v>1637</v>
      </c>
      <c r="P146" s="24" t="s">
        <v>848</v>
      </c>
      <c r="Q146" s="24" t="s">
        <v>848</v>
      </c>
      <c r="R146" s="24">
        <v>3</v>
      </c>
      <c r="S146" s="24" t="s">
        <v>1494</v>
      </c>
      <c r="T146" s="24" t="s">
        <v>962</v>
      </c>
      <c r="U146" s="24" t="s">
        <v>856</v>
      </c>
      <c r="V146" s="32" t="s">
        <v>857</v>
      </c>
      <c r="W146" s="14" t="b">
        <v>1</v>
      </c>
      <c r="X146" s="5" t="s">
        <v>409</v>
      </c>
      <c r="Y146" s="28"/>
      <c r="Z146" s="5" t="s">
        <v>858</v>
      </c>
      <c r="AA146" s="5" t="s">
        <v>858</v>
      </c>
      <c r="AB146" s="24" t="s">
        <v>413</v>
      </c>
      <c r="AC146" s="14"/>
      <c r="AD146" s="14"/>
      <c r="AE146" s="14">
        <v>1</v>
      </c>
      <c r="AF146" s="14"/>
      <c r="AG146" s="14"/>
      <c r="AH146" s="14"/>
      <c r="AI146" s="14"/>
      <c r="AJ146" s="14"/>
      <c r="AK146" s="14"/>
      <c r="AL146" s="14"/>
      <c r="AM146" s="14"/>
      <c r="AN146" s="14"/>
      <c r="AO146" s="14"/>
      <c r="AP146" s="14"/>
      <c r="AQ146" s="14"/>
      <c r="AR146" s="14"/>
      <c r="AS146" s="14"/>
      <c r="AT146" s="14"/>
      <c r="AU146" s="14"/>
      <c r="AV146" s="14"/>
      <c r="AW146" s="14"/>
      <c r="AX146" s="14"/>
    </row>
    <row r="147" spans="1:50" ht="15.75" customHeight="1">
      <c r="A147" s="24" t="s">
        <v>220</v>
      </c>
      <c r="B147" s="25" t="str">
        <f t="shared" si="4"/>
        <v>s22_WM_100nm_</v>
      </c>
      <c r="C147" s="24" t="s">
        <v>1641</v>
      </c>
      <c r="D147" s="74" t="str">
        <f t="shared" si="5"/>
        <v>bossdb://lee2022/s22_WM_100nm_/</v>
      </c>
      <c r="E147" s="24" t="s">
        <v>2</v>
      </c>
      <c r="F147" s="5" t="s">
        <v>1013</v>
      </c>
      <c r="G147" s="5" t="s">
        <v>865</v>
      </c>
      <c r="H147" s="24" t="s">
        <v>1491</v>
      </c>
      <c r="I147" s="24" t="s">
        <v>1641</v>
      </c>
      <c r="J147" s="24" t="s">
        <v>1492</v>
      </c>
      <c r="K147" s="24" t="s">
        <v>867</v>
      </c>
      <c r="L147" s="24" t="s">
        <v>853</v>
      </c>
      <c r="M147" s="24" t="s">
        <v>962</v>
      </c>
      <c r="N147" s="24" t="s">
        <v>0</v>
      </c>
      <c r="O147" s="24" t="s">
        <v>1638</v>
      </c>
      <c r="P147" s="24" t="s">
        <v>848</v>
      </c>
      <c r="Q147" s="24" t="s">
        <v>848</v>
      </c>
      <c r="R147" s="24">
        <v>3</v>
      </c>
      <c r="S147" s="24" t="s">
        <v>1494</v>
      </c>
      <c r="T147" s="24" t="s">
        <v>962</v>
      </c>
      <c r="U147" s="24" t="s">
        <v>856</v>
      </c>
      <c r="V147" s="32" t="s">
        <v>857</v>
      </c>
      <c r="W147" s="14" t="b">
        <v>1</v>
      </c>
      <c r="X147" s="5" t="s">
        <v>409</v>
      </c>
      <c r="Y147" s="28"/>
      <c r="Z147" s="5" t="s">
        <v>858</v>
      </c>
      <c r="AA147" s="5" t="s">
        <v>858</v>
      </c>
      <c r="AB147" s="24" t="s">
        <v>413</v>
      </c>
      <c r="AC147" s="14"/>
      <c r="AD147" s="14"/>
      <c r="AE147" s="14">
        <v>1</v>
      </c>
      <c r="AF147" s="14"/>
      <c r="AG147" s="14"/>
      <c r="AH147" s="14"/>
      <c r="AI147" s="14"/>
      <c r="AJ147" s="14"/>
      <c r="AK147" s="14"/>
      <c r="AL147" s="14"/>
      <c r="AM147" s="14"/>
      <c r="AN147" s="14"/>
      <c r="AO147" s="14"/>
      <c r="AP147" s="14"/>
      <c r="AQ147" s="14"/>
      <c r="AR147" s="14"/>
      <c r="AS147" s="14"/>
      <c r="AT147" s="14"/>
      <c r="AU147" s="14"/>
      <c r="AV147" s="14"/>
      <c r="AW147" s="14"/>
      <c r="AX147" s="14"/>
    </row>
    <row r="148" spans="1:50" ht="15.75" customHeight="1">
      <c r="A148" s="24" t="s">
        <v>222</v>
      </c>
      <c r="B148" s="25" t="str">
        <f t="shared" si="4"/>
        <v>s22_WM_100nm_1_</v>
      </c>
      <c r="C148" s="24" t="s">
        <v>1642</v>
      </c>
      <c r="D148" s="74" t="str">
        <f t="shared" si="5"/>
        <v>bossdb://lee2022/s22_WM_100nm_1_/</v>
      </c>
      <c r="E148" s="24" t="s">
        <v>2</v>
      </c>
      <c r="F148" s="5" t="s">
        <v>1013</v>
      </c>
      <c r="G148" s="5" t="s">
        <v>865</v>
      </c>
      <c r="H148" s="24" t="s">
        <v>1491</v>
      </c>
      <c r="I148" s="24" t="s">
        <v>1642</v>
      </c>
      <c r="J148" s="24" t="s">
        <v>1492</v>
      </c>
      <c r="K148" s="24" t="s">
        <v>867</v>
      </c>
      <c r="L148" s="24" t="s">
        <v>853</v>
      </c>
      <c r="M148" s="24" t="s">
        <v>962</v>
      </c>
      <c r="N148" s="24" t="s">
        <v>0</v>
      </c>
      <c r="O148" s="24" t="s">
        <v>1639</v>
      </c>
      <c r="P148" s="24" t="s">
        <v>848</v>
      </c>
      <c r="Q148" s="24" t="s">
        <v>848</v>
      </c>
      <c r="R148" s="24">
        <v>3</v>
      </c>
      <c r="S148" s="24" t="s">
        <v>1494</v>
      </c>
      <c r="T148" s="24" t="s">
        <v>962</v>
      </c>
      <c r="U148" s="24" t="s">
        <v>856</v>
      </c>
      <c r="V148" s="32" t="s">
        <v>857</v>
      </c>
      <c r="W148" s="14" t="b">
        <v>1</v>
      </c>
      <c r="X148" s="5" t="s">
        <v>409</v>
      </c>
      <c r="Y148" s="28"/>
      <c r="Z148" s="5" t="s">
        <v>858</v>
      </c>
      <c r="AA148" s="5" t="s">
        <v>858</v>
      </c>
      <c r="AB148" s="24" t="s">
        <v>413</v>
      </c>
      <c r="AC148" s="14"/>
      <c r="AD148" s="14"/>
      <c r="AE148" s="14">
        <v>1</v>
      </c>
      <c r="AF148" s="14"/>
      <c r="AG148" s="14"/>
      <c r="AH148" s="14"/>
      <c r="AI148" s="14"/>
      <c r="AJ148" s="14"/>
      <c r="AK148" s="14"/>
      <c r="AL148" s="14"/>
      <c r="AM148" s="14"/>
      <c r="AN148" s="14"/>
      <c r="AO148" s="14"/>
      <c r="AP148" s="14"/>
      <c r="AQ148" s="14"/>
      <c r="AR148" s="14"/>
      <c r="AS148" s="14"/>
      <c r="AT148" s="14"/>
      <c r="AU148" s="14"/>
      <c r="AV148" s="14"/>
      <c r="AW148" s="14"/>
      <c r="AX148" s="14"/>
    </row>
    <row r="149" spans="1:50" ht="15.75" customHeight="1">
      <c r="A149" s="24" t="s">
        <v>224</v>
      </c>
      <c r="B149" s="25" t="str">
        <f t="shared" si="4"/>
        <v>s22_WM_100nm_2_</v>
      </c>
      <c r="C149" s="24" t="s">
        <v>1643</v>
      </c>
      <c r="D149" s="74" t="str">
        <f t="shared" si="5"/>
        <v>bossdb://lee2022/s22_WM_100nm_2_/</v>
      </c>
      <c r="E149" s="24" t="s">
        <v>2</v>
      </c>
      <c r="F149" s="5" t="s">
        <v>1013</v>
      </c>
      <c r="G149" s="5" t="s">
        <v>865</v>
      </c>
      <c r="H149" s="24" t="s">
        <v>1491</v>
      </c>
      <c r="I149" s="24" t="s">
        <v>1643</v>
      </c>
      <c r="J149" s="24" t="s">
        <v>1492</v>
      </c>
      <c r="K149" s="24" t="s">
        <v>867</v>
      </c>
      <c r="L149" s="24" t="s">
        <v>853</v>
      </c>
      <c r="M149" s="24" t="s">
        <v>962</v>
      </c>
      <c r="N149" s="24" t="s">
        <v>0</v>
      </c>
      <c r="O149" s="24" t="s">
        <v>1640</v>
      </c>
      <c r="P149" s="24" t="s">
        <v>848</v>
      </c>
      <c r="Q149" s="24" t="s">
        <v>848</v>
      </c>
      <c r="R149" s="24">
        <v>3</v>
      </c>
      <c r="S149" s="24" t="s">
        <v>1494</v>
      </c>
      <c r="T149" s="24" t="s">
        <v>962</v>
      </c>
      <c r="U149" s="24" t="s">
        <v>856</v>
      </c>
      <c r="V149" s="32" t="s">
        <v>857</v>
      </c>
      <c r="W149" s="14" t="b">
        <v>1</v>
      </c>
      <c r="X149" s="5" t="s">
        <v>409</v>
      </c>
      <c r="Y149" s="28"/>
      <c r="Z149" s="5" t="s">
        <v>858</v>
      </c>
      <c r="AA149" s="5" t="s">
        <v>858</v>
      </c>
      <c r="AB149" s="24" t="s">
        <v>413</v>
      </c>
      <c r="AC149" s="14"/>
      <c r="AD149" s="14"/>
      <c r="AE149" s="14">
        <v>1</v>
      </c>
      <c r="AF149" s="14"/>
      <c r="AG149" s="14"/>
      <c r="AH149" s="14"/>
      <c r="AI149" s="14"/>
      <c r="AJ149" s="14"/>
      <c r="AK149" s="14"/>
      <c r="AL149" s="14"/>
      <c r="AM149" s="14"/>
      <c r="AN149" s="14"/>
      <c r="AO149" s="14"/>
      <c r="AP149" s="14"/>
      <c r="AQ149" s="14"/>
      <c r="AR149" s="14"/>
      <c r="AS149" s="14"/>
      <c r="AT149" s="14"/>
      <c r="AU149" s="14"/>
      <c r="AV149" s="14"/>
      <c r="AW149" s="14"/>
      <c r="AX149" s="14"/>
    </row>
    <row r="150" spans="1:50" ht="15.75" customHeight="1">
      <c r="A150" s="24" t="s">
        <v>226</v>
      </c>
      <c r="B150" s="25" t="str">
        <f t="shared" si="4"/>
        <v>s22_WM_100nm_3_</v>
      </c>
      <c r="C150" s="24" t="s">
        <v>1644</v>
      </c>
      <c r="D150" s="74" t="str">
        <f t="shared" si="5"/>
        <v>bossdb://lee2022/s22_WM_100nm_3_/</v>
      </c>
      <c r="E150" s="24" t="s">
        <v>2</v>
      </c>
      <c r="F150" s="5" t="s">
        <v>1013</v>
      </c>
      <c r="G150" s="5" t="s">
        <v>865</v>
      </c>
      <c r="H150" s="24" t="s">
        <v>1491</v>
      </c>
      <c r="I150" s="24" t="s">
        <v>1644</v>
      </c>
      <c r="J150" s="24" t="s">
        <v>1492</v>
      </c>
      <c r="K150" s="24" t="s">
        <v>867</v>
      </c>
      <c r="L150" s="24" t="s">
        <v>853</v>
      </c>
      <c r="M150" s="24" t="s">
        <v>962</v>
      </c>
      <c r="N150" s="24" t="s">
        <v>0</v>
      </c>
      <c r="O150" s="24" t="s">
        <v>1641</v>
      </c>
      <c r="P150" s="24" t="s">
        <v>848</v>
      </c>
      <c r="Q150" s="24" t="s">
        <v>848</v>
      </c>
      <c r="R150" s="24">
        <v>3</v>
      </c>
      <c r="S150" s="24" t="s">
        <v>1494</v>
      </c>
      <c r="T150" s="24" t="s">
        <v>962</v>
      </c>
      <c r="U150" s="24" t="s">
        <v>856</v>
      </c>
      <c r="V150" s="32" t="s">
        <v>857</v>
      </c>
      <c r="W150" s="14" t="b">
        <v>1</v>
      </c>
      <c r="X150" s="5" t="s">
        <v>409</v>
      </c>
      <c r="Y150" s="28"/>
      <c r="Z150" s="5" t="s">
        <v>858</v>
      </c>
      <c r="AA150" s="5" t="s">
        <v>858</v>
      </c>
      <c r="AB150" s="24" t="s">
        <v>413</v>
      </c>
      <c r="AC150" s="14"/>
      <c r="AD150" s="14"/>
      <c r="AE150" s="14">
        <v>1</v>
      </c>
      <c r="AF150" s="14"/>
      <c r="AG150" s="14"/>
      <c r="AH150" s="14"/>
      <c r="AI150" s="14"/>
      <c r="AJ150" s="14"/>
      <c r="AK150" s="14"/>
      <c r="AL150" s="14"/>
      <c r="AM150" s="14"/>
      <c r="AN150" s="14"/>
      <c r="AO150" s="14"/>
      <c r="AP150" s="14"/>
      <c r="AQ150" s="14"/>
      <c r="AR150" s="14"/>
      <c r="AS150" s="14"/>
      <c r="AT150" s="14"/>
      <c r="AU150" s="14"/>
      <c r="AV150" s="14"/>
      <c r="AW150" s="14"/>
      <c r="AX150" s="14"/>
    </row>
    <row r="151" spans="1:50" ht="15.75" customHeight="1">
      <c r="A151" s="24" t="s">
        <v>228</v>
      </c>
      <c r="B151" s="25" t="str">
        <f t="shared" si="4"/>
        <v>s22_WM_100nm_4_</v>
      </c>
      <c r="C151" s="24" t="s">
        <v>1645</v>
      </c>
      <c r="D151" s="74" t="str">
        <f t="shared" si="5"/>
        <v>bossdb://lee2022/s22_WM_100nm_4_/</v>
      </c>
      <c r="E151" s="24" t="s">
        <v>2</v>
      </c>
      <c r="F151" s="5" t="s">
        <v>1013</v>
      </c>
      <c r="G151" s="5" t="s">
        <v>865</v>
      </c>
      <c r="H151" s="24" t="s">
        <v>1491</v>
      </c>
      <c r="I151" s="24" t="s">
        <v>1645</v>
      </c>
      <c r="J151" s="24" t="s">
        <v>1492</v>
      </c>
      <c r="K151" s="24" t="s">
        <v>867</v>
      </c>
      <c r="L151" s="24" t="s">
        <v>853</v>
      </c>
      <c r="M151" s="24" t="s">
        <v>962</v>
      </c>
      <c r="N151" s="24" t="s">
        <v>0</v>
      </c>
      <c r="O151" s="24" t="s">
        <v>1642</v>
      </c>
      <c r="P151" s="24" t="s">
        <v>848</v>
      </c>
      <c r="Q151" s="24" t="s">
        <v>848</v>
      </c>
      <c r="R151" s="24">
        <v>3</v>
      </c>
      <c r="S151" s="24" t="s">
        <v>1494</v>
      </c>
      <c r="T151" s="24" t="s">
        <v>962</v>
      </c>
      <c r="U151" s="24" t="s">
        <v>856</v>
      </c>
      <c r="V151" s="32" t="s">
        <v>857</v>
      </c>
      <c r="W151" s="14" t="b">
        <v>1</v>
      </c>
      <c r="X151" s="5" t="s">
        <v>409</v>
      </c>
      <c r="Y151" s="28"/>
      <c r="Z151" s="5" t="s">
        <v>858</v>
      </c>
      <c r="AA151" s="5" t="s">
        <v>858</v>
      </c>
      <c r="AB151" s="24" t="s">
        <v>413</v>
      </c>
      <c r="AC151" s="14"/>
      <c r="AD151" s="14"/>
      <c r="AE151" s="14">
        <v>1</v>
      </c>
      <c r="AF151" s="14"/>
      <c r="AG151" s="14"/>
      <c r="AH151" s="14"/>
      <c r="AI151" s="14"/>
      <c r="AJ151" s="14"/>
      <c r="AK151" s="14"/>
      <c r="AL151" s="14"/>
      <c r="AM151" s="14"/>
      <c r="AN151" s="14"/>
      <c r="AO151" s="14"/>
      <c r="AP151" s="14"/>
      <c r="AQ151" s="14"/>
      <c r="AR151" s="14"/>
      <c r="AS151" s="14"/>
      <c r="AT151" s="14"/>
      <c r="AU151" s="14"/>
      <c r="AV151" s="14"/>
      <c r="AW151" s="14"/>
      <c r="AX151" s="14"/>
    </row>
    <row r="152" spans="1:50" ht="15.75" customHeight="1">
      <c r="A152" s="24" t="s">
        <v>230</v>
      </c>
      <c r="B152" s="25" t="str">
        <f t="shared" si="4"/>
        <v>s22_fov52_030nm_</v>
      </c>
      <c r="C152" s="24" t="s">
        <v>1646</v>
      </c>
      <c r="D152" s="74" t="str">
        <f t="shared" si="5"/>
        <v>bossdb://lee2022/s22_fov52_030nm_/</v>
      </c>
      <c r="E152" s="24" t="s">
        <v>2</v>
      </c>
      <c r="F152" s="5" t="s">
        <v>1013</v>
      </c>
      <c r="G152" s="5" t="s">
        <v>865</v>
      </c>
      <c r="H152" s="24" t="s">
        <v>1491</v>
      </c>
      <c r="I152" s="24" t="s">
        <v>1646</v>
      </c>
      <c r="J152" s="24" t="s">
        <v>1492</v>
      </c>
      <c r="K152" s="24" t="s">
        <v>867</v>
      </c>
      <c r="L152" s="24" t="s">
        <v>853</v>
      </c>
      <c r="M152" s="24" t="s">
        <v>962</v>
      </c>
      <c r="N152" s="24" t="s">
        <v>0</v>
      </c>
      <c r="O152" s="24" t="s">
        <v>1643</v>
      </c>
      <c r="P152" s="24" t="s">
        <v>848</v>
      </c>
      <c r="Q152" s="24" t="s">
        <v>848</v>
      </c>
      <c r="R152" s="24">
        <v>3</v>
      </c>
      <c r="S152" s="24" t="s">
        <v>1494</v>
      </c>
      <c r="T152" s="24" t="s">
        <v>962</v>
      </c>
      <c r="U152" s="24" t="s">
        <v>856</v>
      </c>
      <c r="V152" s="32" t="s">
        <v>857</v>
      </c>
      <c r="W152" s="14" t="b">
        <v>1</v>
      </c>
      <c r="X152" s="5" t="s">
        <v>409</v>
      </c>
      <c r="Y152" s="28"/>
      <c r="Z152" s="5" t="s">
        <v>858</v>
      </c>
      <c r="AA152" s="5" t="s">
        <v>858</v>
      </c>
      <c r="AB152" s="24" t="s">
        <v>413</v>
      </c>
      <c r="AC152" s="14"/>
      <c r="AD152" s="14"/>
      <c r="AE152" s="14">
        <v>1</v>
      </c>
      <c r="AF152" s="14"/>
      <c r="AG152" s="14"/>
      <c r="AH152" s="14"/>
      <c r="AI152" s="14"/>
      <c r="AJ152" s="14"/>
      <c r="AK152" s="14"/>
      <c r="AL152" s="14"/>
      <c r="AM152" s="14"/>
      <c r="AN152" s="14"/>
      <c r="AO152" s="14"/>
      <c r="AP152" s="14"/>
      <c r="AQ152" s="14"/>
      <c r="AR152" s="14"/>
      <c r="AS152" s="14"/>
      <c r="AT152" s="14"/>
      <c r="AU152" s="14"/>
      <c r="AV152" s="14"/>
      <c r="AW152" s="14"/>
      <c r="AX152" s="14"/>
    </row>
    <row r="153" spans="1:50" ht="15.75" customHeight="1">
      <c r="A153" s="24" t="s">
        <v>232</v>
      </c>
      <c r="B153" s="25" t="str">
        <f t="shared" si="4"/>
        <v>s22_fov52_030nm_1_</v>
      </c>
      <c r="C153" s="24" t="s">
        <v>1647</v>
      </c>
      <c r="D153" s="74" t="str">
        <f t="shared" si="5"/>
        <v>bossdb://lee2022/s22_fov52_030nm_1_/</v>
      </c>
      <c r="E153" s="24" t="s">
        <v>2</v>
      </c>
      <c r="F153" s="5" t="s">
        <v>1013</v>
      </c>
      <c r="G153" s="5" t="s">
        <v>865</v>
      </c>
      <c r="H153" s="24" t="s">
        <v>1491</v>
      </c>
      <c r="I153" s="24" t="s">
        <v>1647</v>
      </c>
      <c r="J153" s="24" t="s">
        <v>1492</v>
      </c>
      <c r="K153" s="24" t="s">
        <v>867</v>
      </c>
      <c r="L153" s="24" t="s">
        <v>853</v>
      </c>
      <c r="M153" s="24" t="s">
        <v>962</v>
      </c>
      <c r="N153" s="24" t="s">
        <v>0</v>
      </c>
      <c r="O153" s="24" t="s">
        <v>1644</v>
      </c>
      <c r="P153" s="24" t="s">
        <v>848</v>
      </c>
      <c r="Q153" s="24" t="s">
        <v>848</v>
      </c>
      <c r="R153" s="24">
        <v>3</v>
      </c>
      <c r="S153" s="24" t="s">
        <v>1494</v>
      </c>
      <c r="T153" s="24" t="s">
        <v>962</v>
      </c>
      <c r="U153" s="24" t="s">
        <v>856</v>
      </c>
      <c r="V153" s="32" t="s">
        <v>857</v>
      </c>
      <c r="W153" s="14" t="b">
        <v>1</v>
      </c>
      <c r="X153" s="5" t="s">
        <v>409</v>
      </c>
      <c r="Y153" s="28"/>
      <c r="Z153" s="5" t="s">
        <v>858</v>
      </c>
      <c r="AA153" s="5" t="s">
        <v>858</v>
      </c>
      <c r="AB153" s="24" t="s">
        <v>413</v>
      </c>
      <c r="AC153" s="14"/>
      <c r="AD153" s="14"/>
      <c r="AE153" s="14">
        <v>1</v>
      </c>
      <c r="AF153" s="14"/>
      <c r="AG153" s="14"/>
      <c r="AH153" s="14"/>
      <c r="AI153" s="14"/>
      <c r="AJ153" s="14"/>
      <c r="AK153" s="14"/>
      <c r="AL153" s="14"/>
      <c r="AM153" s="14"/>
      <c r="AN153" s="14"/>
      <c r="AO153" s="14"/>
      <c r="AP153" s="14"/>
      <c r="AQ153" s="14"/>
      <c r="AR153" s="14"/>
      <c r="AS153" s="14"/>
      <c r="AT153" s="14"/>
      <c r="AU153" s="14"/>
      <c r="AV153" s="14"/>
      <c r="AW153" s="14"/>
      <c r="AX153" s="14"/>
    </row>
    <row r="154" spans="1:50" ht="15.75" customHeight="1">
      <c r="A154" s="24" t="s">
        <v>234</v>
      </c>
      <c r="B154" s="25" t="str">
        <f t="shared" si="4"/>
        <v>s22_fov52_030nm_2_</v>
      </c>
      <c r="C154" s="24" t="s">
        <v>1648</v>
      </c>
      <c r="D154" s="74" t="str">
        <f t="shared" si="5"/>
        <v>bossdb://lee2022/s22_fov52_030nm_2_/</v>
      </c>
      <c r="E154" s="24" t="s">
        <v>2</v>
      </c>
      <c r="F154" s="5" t="s">
        <v>1013</v>
      </c>
      <c r="G154" s="5" t="s">
        <v>865</v>
      </c>
      <c r="H154" s="24" t="s">
        <v>1491</v>
      </c>
      <c r="I154" s="24" t="s">
        <v>1648</v>
      </c>
      <c r="J154" s="24" t="s">
        <v>1492</v>
      </c>
      <c r="K154" s="24" t="s">
        <v>867</v>
      </c>
      <c r="L154" s="24" t="s">
        <v>853</v>
      </c>
      <c r="M154" s="24" t="s">
        <v>962</v>
      </c>
      <c r="N154" s="24" t="s">
        <v>0</v>
      </c>
      <c r="O154" s="24" t="s">
        <v>1645</v>
      </c>
      <c r="P154" s="24" t="s">
        <v>848</v>
      </c>
      <c r="Q154" s="24" t="s">
        <v>848</v>
      </c>
      <c r="R154" s="24">
        <v>3</v>
      </c>
      <c r="S154" s="24" t="s">
        <v>1494</v>
      </c>
      <c r="T154" s="24" t="s">
        <v>962</v>
      </c>
      <c r="U154" s="24" t="s">
        <v>856</v>
      </c>
      <c r="V154" s="32" t="s">
        <v>857</v>
      </c>
      <c r="W154" s="14" t="b">
        <v>1</v>
      </c>
      <c r="X154" s="5" t="s">
        <v>409</v>
      </c>
      <c r="Y154" s="28"/>
      <c r="Z154" s="5" t="s">
        <v>858</v>
      </c>
      <c r="AA154" s="5" t="s">
        <v>858</v>
      </c>
      <c r="AB154" s="24" t="s">
        <v>413</v>
      </c>
      <c r="AC154" s="14"/>
      <c r="AD154" s="14"/>
      <c r="AE154" s="14">
        <v>1</v>
      </c>
      <c r="AF154" s="14"/>
      <c r="AG154" s="14"/>
      <c r="AH154" s="14"/>
      <c r="AI154" s="14"/>
      <c r="AJ154" s="14"/>
      <c r="AK154" s="14"/>
      <c r="AL154" s="14"/>
      <c r="AM154" s="14"/>
      <c r="AN154" s="14"/>
      <c r="AO154" s="14"/>
      <c r="AP154" s="14"/>
      <c r="AQ154" s="14"/>
      <c r="AR154" s="14"/>
      <c r="AS154" s="14"/>
      <c r="AT154" s="14"/>
      <c r="AU154" s="14"/>
      <c r="AV154" s="14"/>
      <c r="AW154" s="14"/>
      <c r="AX154" s="14"/>
    </row>
    <row r="155" spans="1:50" ht="15.75" customHeight="1">
      <c r="A155" s="24" t="s">
        <v>236</v>
      </c>
      <c r="B155" s="25" t="str">
        <f t="shared" si="4"/>
        <v>s22_fov52_030nm_3_</v>
      </c>
      <c r="C155" s="24" t="s">
        <v>1649</v>
      </c>
      <c r="D155" s="74" t="str">
        <f t="shared" si="5"/>
        <v>bossdb://lee2022/s22_fov52_030nm_3_/</v>
      </c>
      <c r="E155" s="24" t="s">
        <v>2</v>
      </c>
      <c r="F155" s="5" t="s">
        <v>1013</v>
      </c>
      <c r="G155" s="5" t="s">
        <v>865</v>
      </c>
      <c r="H155" s="24" t="s">
        <v>1491</v>
      </c>
      <c r="I155" s="24" t="s">
        <v>1649</v>
      </c>
      <c r="J155" s="24" t="s">
        <v>1492</v>
      </c>
      <c r="K155" s="24" t="s">
        <v>867</v>
      </c>
      <c r="L155" s="24" t="s">
        <v>853</v>
      </c>
      <c r="M155" s="24" t="s">
        <v>962</v>
      </c>
      <c r="N155" s="24" t="s">
        <v>0</v>
      </c>
      <c r="O155" s="24" t="s">
        <v>1646</v>
      </c>
      <c r="P155" s="24" t="s">
        <v>848</v>
      </c>
      <c r="Q155" s="24" t="s">
        <v>848</v>
      </c>
      <c r="R155" s="24">
        <v>3</v>
      </c>
      <c r="S155" s="24" t="s">
        <v>1494</v>
      </c>
      <c r="T155" s="24" t="s">
        <v>962</v>
      </c>
      <c r="U155" s="24" t="s">
        <v>856</v>
      </c>
      <c r="V155" s="32" t="s">
        <v>857</v>
      </c>
      <c r="W155" s="14" t="b">
        <v>1</v>
      </c>
      <c r="X155" s="5" t="s">
        <v>409</v>
      </c>
      <c r="Y155" s="28"/>
      <c r="Z155" s="5" t="s">
        <v>858</v>
      </c>
      <c r="AA155" s="5" t="s">
        <v>858</v>
      </c>
      <c r="AB155" s="24" t="s">
        <v>413</v>
      </c>
      <c r="AC155" s="14"/>
      <c r="AD155" s="14"/>
      <c r="AE155" s="14">
        <v>1</v>
      </c>
      <c r="AF155" s="14"/>
      <c r="AG155" s="14"/>
      <c r="AH155" s="14"/>
      <c r="AI155" s="14"/>
      <c r="AJ155" s="14"/>
      <c r="AK155" s="14"/>
      <c r="AL155" s="14"/>
      <c r="AM155" s="14"/>
      <c r="AN155" s="14"/>
      <c r="AO155" s="14"/>
      <c r="AP155" s="14"/>
      <c r="AQ155" s="14"/>
      <c r="AR155" s="14"/>
      <c r="AS155" s="14"/>
      <c r="AT155" s="14"/>
      <c r="AU155" s="14"/>
      <c r="AV155" s="14"/>
      <c r="AW155" s="14"/>
      <c r="AX155" s="14"/>
    </row>
    <row r="156" spans="1:50" ht="15.75" customHeight="1">
      <c r="A156" s="24" t="s">
        <v>238</v>
      </c>
      <c r="B156" s="25" t="str">
        <f t="shared" si="4"/>
        <v>s22_fov52_030nm_4_</v>
      </c>
      <c r="C156" s="24" t="s">
        <v>1650</v>
      </c>
      <c r="D156" s="74" t="str">
        <f t="shared" si="5"/>
        <v>bossdb://lee2022/s22_fov52_030nm_4_/</v>
      </c>
      <c r="E156" s="24" t="s">
        <v>2</v>
      </c>
      <c r="F156" s="5" t="s">
        <v>1013</v>
      </c>
      <c r="G156" s="5" t="s">
        <v>865</v>
      </c>
      <c r="H156" s="24" t="s">
        <v>1491</v>
      </c>
      <c r="I156" s="24" t="s">
        <v>1650</v>
      </c>
      <c r="J156" s="24" t="s">
        <v>1492</v>
      </c>
      <c r="K156" s="24" t="s">
        <v>867</v>
      </c>
      <c r="L156" s="24" t="s">
        <v>853</v>
      </c>
      <c r="M156" s="24" t="s">
        <v>962</v>
      </c>
      <c r="N156" s="24" t="s">
        <v>0</v>
      </c>
      <c r="O156" s="24" t="s">
        <v>1647</v>
      </c>
      <c r="P156" s="24" t="s">
        <v>848</v>
      </c>
      <c r="Q156" s="24" t="s">
        <v>848</v>
      </c>
      <c r="R156" s="24">
        <v>3</v>
      </c>
      <c r="S156" s="24" t="s">
        <v>1494</v>
      </c>
      <c r="T156" s="24" t="s">
        <v>962</v>
      </c>
      <c r="U156" s="24" t="s">
        <v>856</v>
      </c>
      <c r="V156" s="32" t="s">
        <v>857</v>
      </c>
      <c r="W156" s="14" t="b">
        <v>1</v>
      </c>
      <c r="X156" s="5" t="s">
        <v>409</v>
      </c>
      <c r="Y156" s="28"/>
      <c r="Z156" s="5" t="s">
        <v>858</v>
      </c>
      <c r="AA156" s="5" t="s">
        <v>858</v>
      </c>
      <c r="AB156" s="24" t="s">
        <v>413</v>
      </c>
      <c r="AC156" s="14"/>
      <c r="AD156" s="14"/>
      <c r="AE156" s="14">
        <v>1</v>
      </c>
      <c r="AF156" s="14"/>
      <c r="AG156" s="14"/>
      <c r="AH156" s="14"/>
      <c r="AI156" s="14"/>
      <c r="AJ156" s="14"/>
      <c r="AK156" s="14"/>
      <c r="AL156" s="14"/>
      <c r="AM156" s="14"/>
      <c r="AN156" s="14"/>
      <c r="AO156" s="14"/>
      <c r="AP156" s="14"/>
      <c r="AQ156" s="14"/>
      <c r="AR156" s="14"/>
      <c r="AS156" s="14"/>
      <c r="AT156" s="14"/>
      <c r="AU156" s="14"/>
      <c r="AV156" s="14"/>
      <c r="AW156" s="14"/>
      <c r="AX156" s="14"/>
    </row>
    <row r="157" spans="1:50" ht="15.75" customHeight="1">
      <c r="A157" s="24" t="s">
        <v>240</v>
      </c>
      <c r="B157" s="25" t="str">
        <f t="shared" si="4"/>
        <v>s22_fov5_030nm_</v>
      </c>
      <c r="C157" s="24" t="s">
        <v>1651</v>
      </c>
      <c r="D157" s="74" t="str">
        <f t="shared" si="5"/>
        <v>bossdb://lee2022/s22_fov5_030nm_/</v>
      </c>
      <c r="E157" s="24" t="s">
        <v>2</v>
      </c>
      <c r="F157" s="5" t="s">
        <v>1013</v>
      </c>
      <c r="G157" s="5" t="s">
        <v>865</v>
      </c>
      <c r="H157" s="24" t="s">
        <v>1491</v>
      </c>
      <c r="I157" s="24" t="s">
        <v>1651</v>
      </c>
      <c r="J157" s="24" t="s">
        <v>1492</v>
      </c>
      <c r="K157" s="24" t="s">
        <v>867</v>
      </c>
      <c r="L157" s="24" t="s">
        <v>853</v>
      </c>
      <c r="M157" s="24" t="s">
        <v>962</v>
      </c>
      <c r="N157" s="24" t="s">
        <v>0</v>
      </c>
      <c r="O157" s="24" t="s">
        <v>1648</v>
      </c>
      <c r="P157" s="24" t="s">
        <v>848</v>
      </c>
      <c r="Q157" s="24" t="s">
        <v>848</v>
      </c>
      <c r="R157" s="24">
        <v>3</v>
      </c>
      <c r="S157" s="24" t="s">
        <v>1494</v>
      </c>
      <c r="T157" s="24" t="s">
        <v>962</v>
      </c>
      <c r="U157" s="24" t="s">
        <v>856</v>
      </c>
      <c r="V157" s="32" t="s">
        <v>857</v>
      </c>
      <c r="W157" s="14" t="b">
        <v>1</v>
      </c>
      <c r="X157" s="5" t="s">
        <v>409</v>
      </c>
      <c r="Y157" s="28"/>
      <c r="Z157" s="5" t="s">
        <v>858</v>
      </c>
      <c r="AA157" s="5" t="s">
        <v>858</v>
      </c>
      <c r="AB157" s="24" t="s">
        <v>413</v>
      </c>
      <c r="AC157" s="14"/>
      <c r="AD157" s="14"/>
      <c r="AE157" s="14">
        <v>1</v>
      </c>
      <c r="AF157" s="14"/>
      <c r="AG157" s="14"/>
      <c r="AH157" s="14"/>
      <c r="AI157" s="14"/>
      <c r="AJ157" s="14"/>
      <c r="AK157" s="14"/>
      <c r="AL157" s="14"/>
      <c r="AM157" s="14"/>
      <c r="AN157" s="14"/>
      <c r="AO157" s="14"/>
      <c r="AP157" s="14"/>
      <c r="AQ157" s="14"/>
      <c r="AR157" s="14"/>
      <c r="AS157" s="14"/>
      <c r="AT157" s="14"/>
      <c r="AU157" s="14"/>
      <c r="AV157" s="14"/>
      <c r="AW157" s="14"/>
      <c r="AX157" s="14"/>
    </row>
    <row r="158" spans="1:50" ht="15.75" customHeight="1">
      <c r="A158" s="24" t="s">
        <v>242</v>
      </c>
      <c r="B158" s="25" t="str">
        <f t="shared" si="4"/>
        <v>s22_fov5_030nm_1_</v>
      </c>
      <c r="C158" s="24" t="s">
        <v>1652</v>
      </c>
      <c r="D158" s="74" t="str">
        <f t="shared" si="5"/>
        <v>bossdb://lee2022/s22_fov5_030nm_1_/</v>
      </c>
      <c r="E158" s="24" t="s">
        <v>2</v>
      </c>
      <c r="F158" s="5" t="s">
        <v>1013</v>
      </c>
      <c r="G158" s="5" t="s">
        <v>865</v>
      </c>
      <c r="H158" s="24" t="s">
        <v>1491</v>
      </c>
      <c r="I158" s="24" t="s">
        <v>1652</v>
      </c>
      <c r="J158" s="24" t="s">
        <v>1492</v>
      </c>
      <c r="K158" s="24" t="s">
        <v>867</v>
      </c>
      <c r="L158" s="24" t="s">
        <v>853</v>
      </c>
      <c r="M158" s="24" t="s">
        <v>962</v>
      </c>
      <c r="N158" s="24" t="s">
        <v>0</v>
      </c>
      <c r="O158" s="24" t="s">
        <v>1649</v>
      </c>
      <c r="P158" s="24" t="s">
        <v>848</v>
      </c>
      <c r="Q158" s="24" t="s">
        <v>848</v>
      </c>
      <c r="R158" s="24">
        <v>3</v>
      </c>
      <c r="S158" s="24" t="s">
        <v>1494</v>
      </c>
      <c r="T158" s="24" t="s">
        <v>962</v>
      </c>
      <c r="U158" s="24" t="s">
        <v>856</v>
      </c>
      <c r="V158" s="32" t="s">
        <v>857</v>
      </c>
      <c r="W158" s="14" t="b">
        <v>1</v>
      </c>
      <c r="X158" s="5" t="s">
        <v>409</v>
      </c>
      <c r="Y158" s="28"/>
      <c r="Z158" s="5" t="s">
        <v>858</v>
      </c>
      <c r="AA158" s="5" t="s">
        <v>858</v>
      </c>
      <c r="AB158" s="24" t="s">
        <v>413</v>
      </c>
      <c r="AC158" s="14"/>
      <c r="AD158" s="14"/>
      <c r="AE158" s="14">
        <v>1</v>
      </c>
      <c r="AF158" s="14"/>
      <c r="AG158" s="14"/>
      <c r="AH158" s="14"/>
      <c r="AI158" s="14"/>
      <c r="AJ158" s="14"/>
      <c r="AK158" s="14"/>
      <c r="AL158" s="14"/>
      <c r="AM158" s="14"/>
      <c r="AN158" s="14"/>
      <c r="AO158" s="14"/>
      <c r="AP158" s="14"/>
      <c r="AQ158" s="14"/>
      <c r="AR158" s="14"/>
      <c r="AS158" s="14"/>
      <c r="AT158" s="14"/>
      <c r="AU158" s="14"/>
      <c r="AV158" s="14"/>
      <c r="AW158" s="14"/>
      <c r="AX158" s="14"/>
    </row>
    <row r="159" spans="1:50" ht="15.75" customHeight="1">
      <c r="A159" s="24" t="s">
        <v>244</v>
      </c>
      <c r="B159" s="25" t="str">
        <f t="shared" si="4"/>
        <v>s22_fov5_030nm_2_</v>
      </c>
      <c r="C159" s="24" t="s">
        <v>1653</v>
      </c>
      <c r="D159" s="74" t="str">
        <f t="shared" si="5"/>
        <v>bossdb://lee2022/s22_fov5_030nm_2_/</v>
      </c>
      <c r="E159" s="24" t="s">
        <v>2</v>
      </c>
      <c r="F159" s="5" t="s">
        <v>1013</v>
      </c>
      <c r="G159" s="5" t="s">
        <v>865</v>
      </c>
      <c r="H159" s="24" t="s">
        <v>1491</v>
      </c>
      <c r="I159" s="24" t="s">
        <v>1653</v>
      </c>
      <c r="J159" s="24" t="s">
        <v>1492</v>
      </c>
      <c r="K159" s="24" t="s">
        <v>867</v>
      </c>
      <c r="L159" s="24" t="s">
        <v>853</v>
      </c>
      <c r="M159" s="24" t="s">
        <v>962</v>
      </c>
      <c r="N159" s="24" t="s">
        <v>0</v>
      </c>
      <c r="O159" s="24" t="s">
        <v>1650</v>
      </c>
      <c r="P159" s="24" t="s">
        <v>848</v>
      </c>
      <c r="Q159" s="24" t="s">
        <v>848</v>
      </c>
      <c r="R159" s="24">
        <v>3</v>
      </c>
      <c r="S159" s="24" t="s">
        <v>1494</v>
      </c>
      <c r="T159" s="24" t="s">
        <v>962</v>
      </c>
      <c r="U159" s="24" t="s">
        <v>856</v>
      </c>
      <c r="V159" s="32" t="s">
        <v>857</v>
      </c>
      <c r="W159" s="14" t="b">
        <v>1</v>
      </c>
      <c r="X159" s="5" t="s">
        <v>409</v>
      </c>
      <c r="Y159" s="28"/>
      <c r="Z159" s="5" t="s">
        <v>858</v>
      </c>
      <c r="AA159" s="5" t="s">
        <v>858</v>
      </c>
      <c r="AB159" s="24" t="s">
        <v>413</v>
      </c>
      <c r="AC159" s="14"/>
      <c r="AD159" s="14"/>
      <c r="AE159" s="14">
        <v>1</v>
      </c>
      <c r="AF159" s="14"/>
      <c r="AG159" s="14"/>
      <c r="AH159" s="14"/>
      <c r="AI159" s="14"/>
      <c r="AJ159" s="14"/>
      <c r="AK159" s="14"/>
      <c r="AL159" s="14"/>
      <c r="AM159" s="14"/>
      <c r="AN159" s="14"/>
      <c r="AO159" s="14"/>
      <c r="AP159" s="14"/>
      <c r="AQ159" s="14"/>
      <c r="AR159" s="14"/>
      <c r="AS159" s="14"/>
      <c r="AT159" s="14"/>
      <c r="AU159" s="14"/>
      <c r="AV159" s="14"/>
      <c r="AW159" s="14"/>
      <c r="AX159" s="14"/>
    </row>
    <row r="160" spans="1:50" ht="15.75" customHeight="1">
      <c r="A160" s="24" t="s">
        <v>246</v>
      </c>
      <c r="B160" s="25" t="str">
        <f t="shared" si="4"/>
        <v>s22_fov5_030nm_3_</v>
      </c>
      <c r="C160" s="24" t="s">
        <v>1654</v>
      </c>
      <c r="D160" s="74" t="str">
        <f t="shared" si="5"/>
        <v>bossdb://lee2022/s22_fov5_030nm_3_/</v>
      </c>
      <c r="E160" s="24" t="s">
        <v>2</v>
      </c>
      <c r="F160" s="5" t="s">
        <v>1013</v>
      </c>
      <c r="G160" s="5" t="s">
        <v>865</v>
      </c>
      <c r="H160" s="24" t="s">
        <v>1491</v>
      </c>
      <c r="I160" s="24" t="s">
        <v>1654</v>
      </c>
      <c r="J160" s="24" t="s">
        <v>1492</v>
      </c>
      <c r="K160" s="24" t="s">
        <v>867</v>
      </c>
      <c r="L160" s="24" t="s">
        <v>853</v>
      </c>
      <c r="M160" s="24" t="s">
        <v>962</v>
      </c>
      <c r="N160" s="24" t="s">
        <v>0</v>
      </c>
      <c r="O160" s="24" t="s">
        <v>1651</v>
      </c>
      <c r="P160" s="24" t="s">
        <v>848</v>
      </c>
      <c r="Q160" s="24" t="s">
        <v>848</v>
      </c>
      <c r="R160" s="24">
        <v>3</v>
      </c>
      <c r="S160" s="24" t="s">
        <v>1494</v>
      </c>
      <c r="T160" s="24" t="s">
        <v>962</v>
      </c>
      <c r="U160" s="24" t="s">
        <v>856</v>
      </c>
      <c r="V160" s="32" t="s">
        <v>857</v>
      </c>
      <c r="W160" s="14" t="b">
        <v>1</v>
      </c>
      <c r="X160" s="5" t="s">
        <v>409</v>
      </c>
      <c r="Y160" s="28"/>
      <c r="Z160" s="5" t="s">
        <v>858</v>
      </c>
      <c r="AA160" s="5" t="s">
        <v>858</v>
      </c>
      <c r="AB160" s="24" t="s">
        <v>413</v>
      </c>
      <c r="AC160" s="14"/>
      <c r="AD160" s="14"/>
      <c r="AE160" s="14">
        <v>1</v>
      </c>
      <c r="AF160" s="14"/>
      <c r="AG160" s="14"/>
      <c r="AH160" s="14"/>
      <c r="AI160" s="14"/>
      <c r="AJ160" s="14"/>
      <c r="AK160" s="14"/>
      <c r="AL160" s="14"/>
      <c r="AM160" s="14"/>
      <c r="AN160" s="14"/>
      <c r="AO160" s="14"/>
      <c r="AP160" s="14"/>
      <c r="AQ160" s="14"/>
      <c r="AR160" s="14"/>
      <c r="AS160" s="14"/>
      <c r="AT160" s="14"/>
      <c r="AU160" s="14"/>
      <c r="AV160" s="14"/>
      <c r="AW160" s="14"/>
      <c r="AX160" s="14"/>
    </row>
    <row r="161" spans="1:50" ht="15.75" customHeight="1">
      <c r="A161" s="24" t="s">
        <v>248</v>
      </c>
      <c r="B161" s="25" t="str">
        <f t="shared" si="4"/>
        <v>s22_fov5_030nm_4_</v>
      </c>
      <c r="C161" s="24" t="s">
        <v>1655</v>
      </c>
      <c r="D161" s="74" t="str">
        <f t="shared" si="5"/>
        <v>bossdb://lee2022/s22_fov5_030nm_4_/</v>
      </c>
      <c r="E161" s="24" t="s">
        <v>2</v>
      </c>
      <c r="F161" s="5" t="s">
        <v>1013</v>
      </c>
      <c r="G161" s="5" t="s">
        <v>865</v>
      </c>
      <c r="H161" s="24" t="s">
        <v>1491</v>
      </c>
      <c r="I161" s="24" t="s">
        <v>1655</v>
      </c>
      <c r="J161" s="24" t="s">
        <v>1492</v>
      </c>
      <c r="K161" s="24" t="s">
        <v>867</v>
      </c>
      <c r="L161" s="24" t="s">
        <v>853</v>
      </c>
      <c r="M161" s="24" t="s">
        <v>962</v>
      </c>
      <c r="N161" s="24" t="s">
        <v>0</v>
      </c>
      <c r="O161" s="24" t="s">
        <v>1652</v>
      </c>
      <c r="P161" s="24" t="s">
        <v>848</v>
      </c>
      <c r="Q161" s="24" t="s">
        <v>848</v>
      </c>
      <c r="R161" s="24">
        <v>3</v>
      </c>
      <c r="S161" s="24" t="s">
        <v>1494</v>
      </c>
      <c r="T161" s="24" t="s">
        <v>962</v>
      </c>
      <c r="U161" s="24" t="s">
        <v>856</v>
      </c>
      <c r="V161" s="32" t="s">
        <v>857</v>
      </c>
      <c r="W161" s="14" t="b">
        <v>1</v>
      </c>
      <c r="X161" s="5" t="s">
        <v>409</v>
      </c>
      <c r="Y161" s="28"/>
      <c r="Z161" s="5" t="s">
        <v>858</v>
      </c>
      <c r="AA161" s="5" t="s">
        <v>858</v>
      </c>
      <c r="AB161" s="24" t="s">
        <v>413</v>
      </c>
      <c r="AC161" s="14"/>
      <c r="AD161" s="14"/>
      <c r="AE161" s="14">
        <v>1</v>
      </c>
      <c r="AF161" s="14"/>
      <c r="AG161" s="14"/>
      <c r="AH161" s="14"/>
      <c r="AI161" s="14"/>
      <c r="AJ161" s="14"/>
      <c r="AK161" s="14"/>
      <c r="AL161" s="14"/>
      <c r="AM161" s="14"/>
      <c r="AN161" s="14"/>
      <c r="AO161" s="14"/>
      <c r="AP161" s="14"/>
      <c r="AQ161" s="14"/>
      <c r="AR161" s="14"/>
      <c r="AS161" s="14"/>
      <c r="AT161" s="14"/>
      <c r="AU161" s="14"/>
      <c r="AV161" s="14"/>
      <c r="AW161" s="14"/>
      <c r="AX161" s="14"/>
    </row>
    <row r="162" spans="1:50" ht="15.75" customHeight="1">
      <c r="A162" s="24" t="s">
        <v>250</v>
      </c>
      <c r="B162" s="25" t="str">
        <f t="shared" si="4"/>
        <v>s22_fov5_080nm_</v>
      </c>
      <c r="C162" s="24" t="s">
        <v>1656</v>
      </c>
      <c r="D162" s="74" t="str">
        <f t="shared" si="5"/>
        <v>bossdb://lee2022/s22_fov5_080nm_/</v>
      </c>
      <c r="E162" s="24" t="s">
        <v>2</v>
      </c>
      <c r="F162" s="5" t="s">
        <v>1013</v>
      </c>
      <c r="G162" s="5" t="s">
        <v>865</v>
      </c>
      <c r="H162" s="24" t="s">
        <v>1491</v>
      </c>
      <c r="I162" s="24" t="s">
        <v>1656</v>
      </c>
      <c r="J162" s="24" t="s">
        <v>1492</v>
      </c>
      <c r="K162" s="24" t="s">
        <v>867</v>
      </c>
      <c r="L162" s="24" t="s">
        <v>853</v>
      </c>
      <c r="M162" s="24" t="s">
        <v>962</v>
      </c>
      <c r="N162" s="24" t="s">
        <v>0</v>
      </c>
      <c r="O162" s="24" t="s">
        <v>1653</v>
      </c>
      <c r="P162" s="24" t="s">
        <v>848</v>
      </c>
      <c r="Q162" s="24" t="s">
        <v>848</v>
      </c>
      <c r="R162" s="24">
        <v>3</v>
      </c>
      <c r="S162" s="24" t="s">
        <v>1494</v>
      </c>
      <c r="T162" s="24" t="s">
        <v>962</v>
      </c>
      <c r="U162" s="24" t="s">
        <v>856</v>
      </c>
      <c r="V162" s="32" t="s">
        <v>857</v>
      </c>
      <c r="W162" s="14" t="b">
        <v>1</v>
      </c>
      <c r="X162" s="5" t="s">
        <v>409</v>
      </c>
      <c r="Y162" s="28"/>
      <c r="Z162" s="5" t="s">
        <v>858</v>
      </c>
      <c r="AA162" s="5" t="s">
        <v>858</v>
      </c>
      <c r="AB162" s="24" t="s">
        <v>413</v>
      </c>
      <c r="AC162" s="14"/>
      <c r="AD162" s="14"/>
      <c r="AE162" s="14">
        <v>1</v>
      </c>
      <c r="AF162" s="14"/>
      <c r="AG162" s="14"/>
      <c r="AH162" s="14"/>
      <c r="AI162" s="14"/>
      <c r="AJ162" s="14"/>
      <c r="AK162" s="14"/>
      <c r="AL162" s="14"/>
      <c r="AM162" s="14"/>
      <c r="AN162" s="14"/>
      <c r="AO162" s="14"/>
      <c r="AP162" s="14"/>
      <c r="AQ162" s="14"/>
      <c r="AR162" s="14"/>
      <c r="AS162" s="14"/>
      <c r="AT162" s="14"/>
      <c r="AU162" s="14"/>
      <c r="AV162" s="14"/>
      <c r="AW162" s="14"/>
      <c r="AX162" s="14"/>
    </row>
    <row r="163" spans="1:50" ht="15.75" customHeight="1">
      <c r="A163" s="24" t="s">
        <v>252</v>
      </c>
      <c r="B163" s="25" t="str">
        <f t="shared" si="4"/>
        <v>s22_fov5_080nm_1_</v>
      </c>
      <c r="C163" s="24" t="s">
        <v>1657</v>
      </c>
      <c r="D163" s="74" t="str">
        <f t="shared" si="5"/>
        <v>bossdb://lee2022/s22_fov5_080nm_1_/</v>
      </c>
      <c r="E163" s="24" t="s">
        <v>2</v>
      </c>
      <c r="F163" s="5" t="s">
        <v>1013</v>
      </c>
      <c r="G163" s="5" t="s">
        <v>865</v>
      </c>
      <c r="H163" s="24" t="s">
        <v>1491</v>
      </c>
      <c r="I163" s="24" t="s">
        <v>1657</v>
      </c>
      <c r="J163" s="24" t="s">
        <v>1492</v>
      </c>
      <c r="K163" s="24" t="s">
        <v>867</v>
      </c>
      <c r="L163" s="24" t="s">
        <v>853</v>
      </c>
      <c r="M163" s="24" t="s">
        <v>962</v>
      </c>
      <c r="N163" s="24" t="s">
        <v>0</v>
      </c>
      <c r="O163" s="24" t="s">
        <v>1654</v>
      </c>
      <c r="P163" s="24" t="s">
        <v>848</v>
      </c>
      <c r="Q163" s="24" t="s">
        <v>848</v>
      </c>
      <c r="R163" s="24">
        <v>3</v>
      </c>
      <c r="S163" s="24" t="s">
        <v>1494</v>
      </c>
      <c r="T163" s="24" t="s">
        <v>962</v>
      </c>
      <c r="U163" s="24" t="s">
        <v>856</v>
      </c>
      <c r="V163" s="32" t="s">
        <v>857</v>
      </c>
      <c r="W163" s="14" t="b">
        <v>1</v>
      </c>
      <c r="X163" s="5" t="s">
        <v>409</v>
      </c>
      <c r="Y163" s="28"/>
      <c r="Z163" s="5" t="s">
        <v>858</v>
      </c>
      <c r="AA163" s="5" t="s">
        <v>858</v>
      </c>
      <c r="AB163" s="24" t="s">
        <v>413</v>
      </c>
      <c r="AC163" s="14"/>
      <c r="AD163" s="14"/>
      <c r="AE163" s="14">
        <v>1</v>
      </c>
      <c r="AF163" s="14"/>
      <c r="AG163" s="14"/>
      <c r="AH163" s="14"/>
      <c r="AI163" s="14"/>
      <c r="AJ163" s="14"/>
      <c r="AK163" s="14"/>
      <c r="AL163" s="14"/>
      <c r="AM163" s="14"/>
      <c r="AN163" s="14"/>
      <c r="AO163" s="14"/>
      <c r="AP163" s="14"/>
      <c r="AQ163" s="14"/>
      <c r="AR163" s="14"/>
      <c r="AS163" s="14"/>
      <c r="AT163" s="14"/>
      <c r="AU163" s="14"/>
      <c r="AV163" s="14"/>
      <c r="AW163" s="14"/>
      <c r="AX163" s="14"/>
    </row>
    <row r="164" spans="1:50" ht="15.75" customHeight="1">
      <c r="A164" s="24" t="s">
        <v>254</v>
      </c>
      <c r="B164" s="25" t="str">
        <f t="shared" si="4"/>
        <v>s22_fov5_080nm_2_</v>
      </c>
      <c r="C164" s="24" t="s">
        <v>1658</v>
      </c>
      <c r="D164" s="74" t="str">
        <f t="shared" si="5"/>
        <v>bossdb://lee2022/s22_fov5_080nm_2_/</v>
      </c>
      <c r="E164" s="24" t="s">
        <v>2</v>
      </c>
      <c r="F164" s="5" t="s">
        <v>1013</v>
      </c>
      <c r="G164" s="5" t="s">
        <v>865</v>
      </c>
      <c r="H164" s="24" t="s">
        <v>1491</v>
      </c>
      <c r="I164" s="24" t="s">
        <v>1658</v>
      </c>
      <c r="J164" s="24" t="s">
        <v>1492</v>
      </c>
      <c r="K164" s="24" t="s">
        <v>867</v>
      </c>
      <c r="L164" s="24" t="s">
        <v>853</v>
      </c>
      <c r="M164" s="24" t="s">
        <v>962</v>
      </c>
      <c r="N164" s="24" t="s">
        <v>0</v>
      </c>
      <c r="O164" s="24" t="s">
        <v>1655</v>
      </c>
      <c r="P164" s="24" t="s">
        <v>848</v>
      </c>
      <c r="Q164" s="24" t="s">
        <v>848</v>
      </c>
      <c r="R164" s="24">
        <v>3</v>
      </c>
      <c r="S164" s="24" t="s">
        <v>1494</v>
      </c>
      <c r="T164" s="24" t="s">
        <v>962</v>
      </c>
      <c r="U164" s="24" t="s">
        <v>856</v>
      </c>
      <c r="V164" s="32" t="s">
        <v>857</v>
      </c>
      <c r="W164" s="14" t="b">
        <v>1</v>
      </c>
      <c r="X164" s="5" t="s">
        <v>409</v>
      </c>
      <c r="Y164" s="28"/>
      <c r="Z164" s="5" t="s">
        <v>858</v>
      </c>
      <c r="AA164" s="5" t="s">
        <v>858</v>
      </c>
      <c r="AB164" s="24" t="s">
        <v>413</v>
      </c>
      <c r="AC164" s="14"/>
      <c r="AD164" s="14"/>
      <c r="AE164" s="14">
        <v>1</v>
      </c>
      <c r="AF164" s="14"/>
      <c r="AG164" s="14"/>
      <c r="AH164" s="14"/>
      <c r="AI164" s="14"/>
      <c r="AJ164" s="14"/>
      <c r="AK164" s="14"/>
      <c r="AL164" s="14"/>
      <c r="AM164" s="14"/>
      <c r="AN164" s="14"/>
      <c r="AO164" s="14"/>
      <c r="AP164" s="14"/>
      <c r="AQ164" s="14"/>
      <c r="AR164" s="14"/>
      <c r="AS164" s="14"/>
      <c r="AT164" s="14"/>
      <c r="AU164" s="14"/>
      <c r="AV164" s="14"/>
      <c r="AW164" s="14"/>
      <c r="AX164" s="14"/>
    </row>
    <row r="165" spans="1:50" ht="15.75" customHeight="1">
      <c r="A165" s="24" t="s">
        <v>256</v>
      </c>
      <c r="B165" s="25" t="str">
        <f t="shared" si="4"/>
        <v>s22_fov5_080nm_3_</v>
      </c>
      <c r="C165" s="24" t="s">
        <v>1659</v>
      </c>
      <c r="D165" s="74" t="str">
        <f t="shared" si="5"/>
        <v>bossdb://lee2022/s22_fov5_080nm_3_/</v>
      </c>
      <c r="E165" s="24" t="s">
        <v>2</v>
      </c>
      <c r="F165" s="5" t="s">
        <v>1013</v>
      </c>
      <c r="G165" s="5" t="s">
        <v>865</v>
      </c>
      <c r="H165" s="24" t="s">
        <v>1491</v>
      </c>
      <c r="I165" s="24" t="s">
        <v>1659</v>
      </c>
      <c r="J165" s="24" t="s">
        <v>1492</v>
      </c>
      <c r="K165" s="24" t="s">
        <v>867</v>
      </c>
      <c r="L165" s="24" t="s">
        <v>853</v>
      </c>
      <c r="M165" s="24" t="s">
        <v>962</v>
      </c>
      <c r="N165" s="24" t="s">
        <v>0</v>
      </c>
      <c r="O165" s="24" t="s">
        <v>1656</v>
      </c>
      <c r="P165" s="24" t="s">
        <v>848</v>
      </c>
      <c r="Q165" s="24" t="s">
        <v>848</v>
      </c>
      <c r="R165" s="24">
        <v>3</v>
      </c>
      <c r="S165" s="24" t="s">
        <v>1494</v>
      </c>
      <c r="T165" s="24" t="s">
        <v>962</v>
      </c>
      <c r="U165" s="24" t="s">
        <v>856</v>
      </c>
      <c r="V165" s="32" t="s">
        <v>857</v>
      </c>
      <c r="W165" s="14" t="b">
        <v>1</v>
      </c>
      <c r="X165" s="5" t="s">
        <v>409</v>
      </c>
      <c r="Y165" s="28"/>
      <c r="Z165" s="5" t="s">
        <v>858</v>
      </c>
      <c r="AA165" s="5" t="s">
        <v>858</v>
      </c>
      <c r="AB165" s="24" t="s">
        <v>413</v>
      </c>
      <c r="AC165" s="14"/>
      <c r="AD165" s="14"/>
      <c r="AE165" s="14">
        <v>1</v>
      </c>
      <c r="AF165" s="14"/>
      <c r="AG165" s="14"/>
      <c r="AH165" s="14"/>
      <c r="AI165" s="14"/>
      <c r="AJ165" s="14"/>
      <c r="AK165" s="14"/>
      <c r="AL165" s="14"/>
      <c r="AM165" s="14"/>
      <c r="AN165" s="14"/>
      <c r="AO165" s="14"/>
      <c r="AP165" s="14"/>
      <c r="AQ165" s="14"/>
      <c r="AR165" s="14"/>
      <c r="AS165" s="14"/>
      <c r="AT165" s="14"/>
      <c r="AU165" s="14"/>
      <c r="AV165" s="14"/>
      <c r="AW165" s="14"/>
      <c r="AX165" s="14"/>
    </row>
    <row r="166" spans="1:50" ht="15.75" customHeight="1">
      <c r="A166" s="24" t="s">
        <v>258</v>
      </c>
      <c r="B166" s="25" t="str">
        <f t="shared" si="4"/>
        <v>s22_fov5_080nm_4_</v>
      </c>
      <c r="C166" s="24" t="s">
        <v>1660</v>
      </c>
      <c r="D166" s="74" t="str">
        <f t="shared" si="5"/>
        <v>bossdb://lee2022/s22_fov5_080nm_4_/</v>
      </c>
      <c r="E166" s="24" t="s">
        <v>2</v>
      </c>
      <c r="F166" s="5" t="s">
        <v>1013</v>
      </c>
      <c r="G166" s="5" t="s">
        <v>865</v>
      </c>
      <c r="H166" s="24" t="s">
        <v>1491</v>
      </c>
      <c r="I166" s="24" t="s">
        <v>1660</v>
      </c>
      <c r="J166" s="24" t="s">
        <v>1492</v>
      </c>
      <c r="K166" s="24" t="s">
        <v>867</v>
      </c>
      <c r="L166" s="24" t="s">
        <v>853</v>
      </c>
      <c r="M166" s="24" t="s">
        <v>962</v>
      </c>
      <c r="N166" s="24" t="s">
        <v>0</v>
      </c>
      <c r="O166" s="24" t="s">
        <v>1657</v>
      </c>
      <c r="P166" s="24" t="s">
        <v>848</v>
      </c>
      <c r="Q166" s="24" t="s">
        <v>848</v>
      </c>
      <c r="R166" s="24">
        <v>3</v>
      </c>
      <c r="S166" s="24" t="s">
        <v>1494</v>
      </c>
      <c r="T166" s="24" t="s">
        <v>962</v>
      </c>
      <c r="U166" s="24" t="s">
        <v>856</v>
      </c>
      <c r="V166" s="32" t="s">
        <v>857</v>
      </c>
      <c r="W166" s="14" t="b">
        <v>1</v>
      </c>
      <c r="X166" s="5" t="s">
        <v>409</v>
      </c>
      <c r="Y166" s="28"/>
      <c r="Z166" s="5" t="s">
        <v>858</v>
      </c>
      <c r="AA166" s="5" t="s">
        <v>858</v>
      </c>
      <c r="AB166" s="24" t="s">
        <v>413</v>
      </c>
      <c r="AC166" s="14"/>
      <c r="AD166" s="14"/>
      <c r="AE166" s="14">
        <v>1</v>
      </c>
      <c r="AF166" s="14"/>
      <c r="AG166" s="14"/>
      <c r="AH166" s="14"/>
      <c r="AI166" s="14"/>
      <c r="AJ166" s="14"/>
      <c r="AK166" s="14"/>
      <c r="AL166" s="14"/>
      <c r="AM166" s="14"/>
      <c r="AN166" s="14"/>
      <c r="AO166" s="14"/>
      <c r="AP166" s="14"/>
      <c r="AQ166" s="14"/>
      <c r="AR166" s="14"/>
      <c r="AS166" s="14"/>
      <c r="AT166" s="14"/>
      <c r="AU166" s="14"/>
      <c r="AV166" s="14"/>
      <c r="AW166" s="14"/>
      <c r="AX166" s="14"/>
    </row>
    <row r="167" spans="1:50" ht="15.75" customHeight="1">
      <c r="A167" s="24" t="s">
        <v>260</v>
      </c>
      <c r="B167" s="25" t="str">
        <f t="shared" si="4"/>
        <v>s22_l3_md_025nm_1_</v>
      </c>
      <c r="C167" s="24" t="s">
        <v>1661</v>
      </c>
      <c r="D167" s="74" t="str">
        <f t="shared" si="5"/>
        <v>bossdb://lee2022/s22_l3_md_025nm_1_/</v>
      </c>
      <c r="E167" s="24" t="s">
        <v>2</v>
      </c>
      <c r="F167" s="5" t="s">
        <v>1013</v>
      </c>
      <c r="G167" s="5" t="s">
        <v>865</v>
      </c>
      <c r="H167" s="24" t="s">
        <v>1491</v>
      </c>
      <c r="I167" s="24" t="s">
        <v>1661</v>
      </c>
      <c r="J167" s="24" t="s">
        <v>1492</v>
      </c>
      <c r="K167" s="24" t="s">
        <v>867</v>
      </c>
      <c r="L167" s="24" t="s">
        <v>853</v>
      </c>
      <c r="M167" s="24" t="s">
        <v>962</v>
      </c>
      <c r="N167" s="24" t="s">
        <v>0</v>
      </c>
      <c r="O167" s="24" t="s">
        <v>1658</v>
      </c>
      <c r="P167" s="24" t="s">
        <v>848</v>
      </c>
      <c r="Q167" s="24" t="s">
        <v>848</v>
      </c>
      <c r="R167" s="24">
        <v>3</v>
      </c>
      <c r="S167" s="24" t="s">
        <v>1494</v>
      </c>
      <c r="T167" s="24" t="s">
        <v>962</v>
      </c>
      <c r="U167" s="24" t="s">
        <v>856</v>
      </c>
      <c r="V167" s="32" t="s">
        <v>857</v>
      </c>
      <c r="W167" s="14" t="b">
        <v>1</v>
      </c>
      <c r="X167" s="5" t="s">
        <v>409</v>
      </c>
      <c r="Y167" s="28"/>
      <c r="Z167" s="5" t="s">
        <v>858</v>
      </c>
      <c r="AA167" s="5" t="s">
        <v>858</v>
      </c>
      <c r="AB167" s="24" t="s">
        <v>413</v>
      </c>
      <c r="AC167" s="14"/>
      <c r="AD167" s="14"/>
      <c r="AE167" s="14">
        <v>1</v>
      </c>
      <c r="AF167" s="14"/>
      <c r="AG167" s="14"/>
      <c r="AH167" s="14"/>
      <c r="AI167" s="14"/>
      <c r="AJ167" s="14"/>
      <c r="AK167" s="14"/>
      <c r="AL167" s="14"/>
      <c r="AM167" s="14"/>
      <c r="AN167" s="14"/>
      <c r="AO167" s="14"/>
      <c r="AP167" s="14"/>
      <c r="AQ167" s="14"/>
      <c r="AR167" s="14"/>
      <c r="AS167" s="14"/>
      <c r="AT167" s="14"/>
      <c r="AU167" s="14"/>
      <c r="AV167" s="14"/>
      <c r="AW167" s="14"/>
      <c r="AX167" s="14"/>
    </row>
    <row r="168" spans="1:50" ht="15.75" customHeight="1">
      <c r="A168" s="24" t="s">
        <v>262</v>
      </c>
      <c r="B168" s="25" t="str">
        <f t="shared" si="4"/>
        <v>s22_l3_md_025nm_2_</v>
      </c>
      <c r="C168" s="24" t="s">
        <v>1662</v>
      </c>
      <c r="D168" s="74" t="str">
        <f t="shared" si="5"/>
        <v>bossdb://lee2022/s22_l3_md_025nm_2_/</v>
      </c>
      <c r="E168" s="24" t="s">
        <v>2</v>
      </c>
      <c r="F168" s="5" t="s">
        <v>1013</v>
      </c>
      <c r="G168" s="5" t="s">
        <v>865</v>
      </c>
      <c r="H168" s="24" t="s">
        <v>1491</v>
      </c>
      <c r="I168" s="24" t="s">
        <v>1662</v>
      </c>
      <c r="J168" s="24" t="s">
        <v>1492</v>
      </c>
      <c r="K168" s="24" t="s">
        <v>867</v>
      </c>
      <c r="L168" s="24" t="s">
        <v>853</v>
      </c>
      <c r="M168" s="24" t="s">
        <v>962</v>
      </c>
      <c r="N168" s="24" t="s">
        <v>0</v>
      </c>
      <c r="O168" s="24" t="s">
        <v>1659</v>
      </c>
      <c r="P168" s="24" t="s">
        <v>848</v>
      </c>
      <c r="Q168" s="24" t="s">
        <v>848</v>
      </c>
      <c r="R168" s="24">
        <v>3</v>
      </c>
      <c r="S168" s="24" t="s">
        <v>1494</v>
      </c>
      <c r="T168" s="24" t="s">
        <v>962</v>
      </c>
      <c r="U168" s="24" t="s">
        <v>856</v>
      </c>
      <c r="V168" s="32" t="s">
        <v>857</v>
      </c>
      <c r="W168" s="14" t="b">
        <v>1</v>
      </c>
      <c r="X168" s="5" t="s">
        <v>409</v>
      </c>
      <c r="Y168" s="28"/>
      <c r="Z168" s="5" t="s">
        <v>858</v>
      </c>
      <c r="AA168" s="5" t="s">
        <v>858</v>
      </c>
      <c r="AB168" s="24" t="s">
        <v>413</v>
      </c>
      <c r="AC168" s="14"/>
      <c r="AD168" s="14"/>
      <c r="AE168" s="14">
        <v>1</v>
      </c>
      <c r="AF168" s="14"/>
      <c r="AG168" s="14"/>
      <c r="AH168" s="14"/>
      <c r="AI168" s="14"/>
      <c r="AJ168" s="14"/>
      <c r="AK168" s="14"/>
      <c r="AL168" s="14"/>
      <c r="AM168" s="14"/>
      <c r="AN168" s="14"/>
      <c r="AO168" s="14"/>
      <c r="AP168" s="14"/>
      <c r="AQ168" s="14"/>
      <c r="AR168" s="14"/>
      <c r="AS168" s="14"/>
      <c r="AT168" s="14"/>
      <c r="AU168" s="14"/>
      <c r="AV168" s="14"/>
      <c r="AW168" s="14"/>
      <c r="AX168" s="14"/>
    </row>
    <row r="169" spans="1:50" ht="15.75" customHeight="1">
      <c r="A169" s="24" t="s">
        <v>264</v>
      </c>
      <c r="B169" s="25" t="str">
        <f t="shared" si="4"/>
        <v>s22_l3_md_025nm_3_</v>
      </c>
      <c r="C169" s="24" t="s">
        <v>1663</v>
      </c>
      <c r="D169" s="74" t="str">
        <f t="shared" si="5"/>
        <v>bossdb://lee2022/s22_l3_md_025nm_3_/</v>
      </c>
      <c r="E169" s="24" t="s">
        <v>2</v>
      </c>
      <c r="F169" s="5" t="s">
        <v>1013</v>
      </c>
      <c r="G169" s="5" t="s">
        <v>865</v>
      </c>
      <c r="H169" s="24" t="s">
        <v>1491</v>
      </c>
      <c r="I169" s="24" t="s">
        <v>1663</v>
      </c>
      <c r="J169" s="24" t="s">
        <v>1492</v>
      </c>
      <c r="K169" s="24" t="s">
        <v>867</v>
      </c>
      <c r="L169" s="24" t="s">
        <v>853</v>
      </c>
      <c r="M169" s="24" t="s">
        <v>962</v>
      </c>
      <c r="N169" s="24" t="s">
        <v>0</v>
      </c>
      <c r="O169" s="24" t="s">
        <v>1660</v>
      </c>
      <c r="P169" s="24" t="s">
        <v>848</v>
      </c>
      <c r="Q169" s="24" t="s">
        <v>848</v>
      </c>
      <c r="R169" s="24">
        <v>3</v>
      </c>
      <c r="S169" s="24" t="s">
        <v>1494</v>
      </c>
      <c r="T169" s="24" t="s">
        <v>962</v>
      </c>
      <c r="U169" s="24" t="s">
        <v>856</v>
      </c>
      <c r="V169" s="32" t="s">
        <v>857</v>
      </c>
      <c r="W169" s="14" t="b">
        <v>1</v>
      </c>
      <c r="X169" s="5" t="s">
        <v>409</v>
      </c>
      <c r="Y169" s="28"/>
      <c r="Z169" s="5" t="s">
        <v>858</v>
      </c>
      <c r="AA169" s="5" t="s">
        <v>858</v>
      </c>
      <c r="AB169" s="24" t="s">
        <v>413</v>
      </c>
      <c r="AC169" s="14"/>
      <c r="AD169" s="14"/>
      <c r="AE169" s="14">
        <v>1</v>
      </c>
      <c r="AF169" s="14"/>
      <c r="AG169" s="14"/>
      <c r="AH169" s="14"/>
      <c r="AI169" s="14"/>
      <c r="AJ169" s="14"/>
      <c r="AK169" s="14"/>
      <c r="AL169" s="14"/>
      <c r="AM169" s="14"/>
      <c r="AN169" s="14"/>
      <c r="AO169" s="14"/>
      <c r="AP169" s="14"/>
      <c r="AQ169" s="14"/>
      <c r="AR169" s="14"/>
      <c r="AS169" s="14"/>
      <c r="AT169" s="14"/>
      <c r="AU169" s="14"/>
      <c r="AV169" s="14"/>
      <c r="AW169" s="14"/>
      <c r="AX169" s="14"/>
    </row>
    <row r="170" spans="1:50" ht="15.75" customHeight="1">
      <c r="A170" s="24" t="s">
        <v>266</v>
      </c>
      <c r="B170" s="25" t="str">
        <f t="shared" si="4"/>
        <v>s22_l3_md_025nm_4_</v>
      </c>
      <c r="C170" s="24" t="s">
        <v>1664</v>
      </c>
      <c r="D170" s="74" t="str">
        <f t="shared" si="5"/>
        <v>bossdb://lee2022/s22_l3_md_025nm_4_/</v>
      </c>
      <c r="E170" s="24" t="s">
        <v>2</v>
      </c>
      <c r="F170" s="5" t="s">
        <v>1013</v>
      </c>
      <c r="G170" s="5" t="s">
        <v>865</v>
      </c>
      <c r="H170" s="24" t="s">
        <v>1491</v>
      </c>
      <c r="I170" s="24" t="s">
        <v>1664</v>
      </c>
      <c r="J170" s="24" t="s">
        <v>1492</v>
      </c>
      <c r="K170" s="24" t="s">
        <v>867</v>
      </c>
      <c r="L170" s="24" t="s">
        <v>853</v>
      </c>
      <c r="M170" s="24" t="s">
        <v>962</v>
      </c>
      <c r="N170" s="24" t="s">
        <v>0</v>
      </c>
      <c r="O170" s="24" t="s">
        <v>1661</v>
      </c>
      <c r="P170" s="24" t="s">
        <v>848</v>
      </c>
      <c r="Q170" s="24" t="s">
        <v>848</v>
      </c>
      <c r="R170" s="24">
        <v>3</v>
      </c>
      <c r="S170" s="24" t="s">
        <v>1494</v>
      </c>
      <c r="T170" s="24" t="s">
        <v>962</v>
      </c>
      <c r="U170" s="24" t="s">
        <v>856</v>
      </c>
      <c r="V170" s="32" t="s">
        <v>857</v>
      </c>
      <c r="W170" s="14" t="b">
        <v>1</v>
      </c>
      <c r="X170" s="5" t="s">
        <v>409</v>
      </c>
      <c r="Y170" s="28"/>
      <c r="Z170" s="5" t="s">
        <v>858</v>
      </c>
      <c r="AA170" s="5" t="s">
        <v>858</v>
      </c>
      <c r="AB170" s="24" t="s">
        <v>413</v>
      </c>
      <c r="AC170" s="14"/>
      <c r="AD170" s="14"/>
      <c r="AE170" s="14">
        <v>1</v>
      </c>
      <c r="AF170" s="14"/>
      <c r="AG170" s="14"/>
      <c r="AH170" s="14"/>
      <c r="AI170" s="14"/>
      <c r="AJ170" s="14"/>
      <c r="AK170" s="14"/>
      <c r="AL170" s="14"/>
      <c r="AM170" s="14"/>
      <c r="AN170" s="14"/>
      <c r="AO170" s="14"/>
      <c r="AP170" s="14"/>
      <c r="AQ170" s="14"/>
      <c r="AR170" s="14"/>
      <c r="AS170" s="14"/>
      <c r="AT170" s="14"/>
      <c r="AU170" s="14"/>
      <c r="AV170" s="14"/>
      <c r="AW170" s="14"/>
      <c r="AX170" s="14"/>
    </row>
    <row r="171" spans="1:50" ht="15.75" customHeight="1">
      <c r="A171" s="24" t="s">
        <v>268</v>
      </c>
      <c r="B171" s="25" t="str">
        <f t="shared" si="4"/>
        <v>s22_l5_025nm_</v>
      </c>
      <c r="C171" s="24" t="s">
        <v>1665</v>
      </c>
      <c r="D171" s="74" t="str">
        <f t="shared" si="5"/>
        <v>bossdb://lee2022/s22_l5_025nm_/</v>
      </c>
      <c r="E171" s="24" t="s">
        <v>2</v>
      </c>
      <c r="F171" s="5" t="s">
        <v>1013</v>
      </c>
      <c r="G171" s="5" t="s">
        <v>865</v>
      </c>
      <c r="H171" s="24" t="s">
        <v>1491</v>
      </c>
      <c r="I171" s="24" t="s">
        <v>1665</v>
      </c>
      <c r="J171" s="24" t="s">
        <v>1492</v>
      </c>
      <c r="K171" s="24" t="s">
        <v>867</v>
      </c>
      <c r="L171" s="24" t="s">
        <v>853</v>
      </c>
      <c r="M171" s="24" t="s">
        <v>962</v>
      </c>
      <c r="N171" s="24" t="s">
        <v>0</v>
      </c>
      <c r="O171" s="24" t="s">
        <v>1662</v>
      </c>
      <c r="P171" s="24" t="s">
        <v>848</v>
      </c>
      <c r="Q171" s="24" t="s">
        <v>848</v>
      </c>
      <c r="R171" s="24">
        <v>3</v>
      </c>
      <c r="S171" s="24" t="s">
        <v>1494</v>
      </c>
      <c r="T171" s="24" t="s">
        <v>962</v>
      </c>
      <c r="U171" s="24" t="s">
        <v>856</v>
      </c>
      <c r="V171" s="32" t="s">
        <v>857</v>
      </c>
      <c r="W171" s="14" t="b">
        <v>1</v>
      </c>
      <c r="X171" s="5" t="s">
        <v>409</v>
      </c>
      <c r="Y171" s="28"/>
      <c r="Z171" s="5" t="s">
        <v>858</v>
      </c>
      <c r="AA171" s="5" t="s">
        <v>858</v>
      </c>
      <c r="AB171" s="24" t="s">
        <v>413</v>
      </c>
      <c r="AC171" s="14"/>
      <c r="AD171" s="14"/>
      <c r="AE171" s="14">
        <v>1</v>
      </c>
      <c r="AF171" s="14"/>
      <c r="AG171" s="14"/>
      <c r="AH171" s="14"/>
      <c r="AI171" s="14"/>
      <c r="AJ171" s="14"/>
      <c r="AK171" s="14"/>
      <c r="AL171" s="14"/>
      <c r="AM171" s="14"/>
      <c r="AN171" s="14"/>
      <c r="AO171" s="14"/>
      <c r="AP171" s="14"/>
      <c r="AQ171" s="14"/>
      <c r="AR171" s="14"/>
      <c r="AS171" s="14"/>
      <c r="AT171" s="14"/>
      <c r="AU171" s="14"/>
      <c r="AV171" s="14"/>
      <c r="AW171" s="14"/>
      <c r="AX171" s="14"/>
    </row>
    <row r="172" spans="1:50" ht="15.75" customHeight="1">
      <c r="A172" s="24" t="s">
        <v>270</v>
      </c>
      <c r="B172" s="25" t="str">
        <f t="shared" si="4"/>
        <v>s22_l5_025nm_1_</v>
      </c>
      <c r="C172" s="24" t="s">
        <v>1666</v>
      </c>
      <c r="D172" s="74" t="str">
        <f t="shared" si="5"/>
        <v>bossdb://lee2022/s22_l5_025nm_1_/</v>
      </c>
      <c r="E172" s="24" t="s">
        <v>2</v>
      </c>
      <c r="F172" s="5" t="s">
        <v>1013</v>
      </c>
      <c r="G172" s="5" t="s">
        <v>865</v>
      </c>
      <c r="H172" s="24" t="s">
        <v>1491</v>
      </c>
      <c r="I172" s="24" t="s">
        <v>1666</v>
      </c>
      <c r="J172" s="24" t="s">
        <v>1492</v>
      </c>
      <c r="K172" s="24" t="s">
        <v>867</v>
      </c>
      <c r="L172" s="24" t="s">
        <v>853</v>
      </c>
      <c r="M172" s="24" t="s">
        <v>962</v>
      </c>
      <c r="N172" s="24" t="s">
        <v>0</v>
      </c>
      <c r="O172" s="24" t="s">
        <v>1663</v>
      </c>
      <c r="P172" s="24" t="s">
        <v>848</v>
      </c>
      <c r="Q172" s="24" t="s">
        <v>848</v>
      </c>
      <c r="R172" s="24">
        <v>3</v>
      </c>
      <c r="S172" s="24" t="s">
        <v>1494</v>
      </c>
      <c r="T172" s="24" t="s">
        <v>962</v>
      </c>
      <c r="U172" s="24" t="s">
        <v>856</v>
      </c>
      <c r="V172" s="32" t="s">
        <v>857</v>
      </c>
      <c r="W172" s="14" t="b">
        <v>1</v>
      </c>
      <c r="X172" s="5" t="s">
        <v>409</v>
      </c>
      <c r="Y172" s="28"/>
      <c r="Z172" s="5" t="s">
        <v>858</v>
      </c>
      <c r="AA172" s="5" t="s">
        <v>858</v>
      </c>
      <c r="AB172" s="24" t="s">
        <v>413</v>
      </c>
      <c r="AC172" s="14"/>
      <c r="AD172" s="14"/>
      <c r="AE172" s="14">
        <v>1</v>
      </c>
      <c r="AF172" s="14"/>
      <c r="AG172" s="14"/>
      <c r="AH172" s="14"/>
      <c r="AI172" s="14"/>
      <c r="AJ172" s="14"/>
      <c r="AK172" s="14"/>
      <c r="AL172" s="14"/>
      <c r="AM172" s="14"/>
      <c r="AN172" s="14"/>
      <c r="AO172" s="14"/>
      <c r="AP172" s="14"/>
      <c r="AQ172" s="14"/>
      <c r="AR172" s="14"/>
      <c r="AS172" s="14"/>
      <c r="AT172" s="14"/>
      <c r="AU172" s="14"/>
      <c r="AV172" s="14"/>
      <c r="AW172" s="14"/>
      <c r="AX172" s="14"/>
    </row>
    <row r="173" spans="1:50" ht="15.75" customHeight="1">
      <c r="A173" s="24" t="s">
        <v>272</v>
      </c>
      <c r="B173" s="25" t="str">
        <f t="shared" si="4"/>
        <v>s22_l5_025nm_2_</v>
      </c>
      <c r="C173" s="24" t="s">
        <v>1667</v>
      </c>
      <c r="D173" s="74" t="str">
        <f t="shared" si="5"/>
        <v>bossdb://lee2022/s22_l5_025nm_2_/</v>
      </c>
      <c r="E173" s="24" t="s">
        <v>2</v>
      </c>
      <c r="F173" s="5" t="s">
        <v>1013</v>
      </c>
      <c r="G173" s="5" t="s">
        <v>865</v>
      </c>
      <c r="H173" s="24" t="s">
        <v>1491</v>
      </c>
      <c r="I173" s="24" t="s">
        <v>1667</v>
      </c>
      <c r="J173" s="24" t="s">
        <v>1492</v>
      </c>
      <c r="K173" s="24" t="s">
        <v>867</v>
      </c>
      <c r="L173" s="24" t="s">
        <v>853</v>
      </c>
      <c r="M173" s="24" t="s">
        <v>962</v>
      </c>
      <c r="N173" s="24" t="s">
        <v>0</v>
      </c>
      <c r="O173" s="24" t="s">
        <v>1664</v>
      </c>
      <c r="P173" s="24" t="s">
        <v>848</v>
      </c>
      <c r="Q173" s="24" t="s">
        <v>848</v>
      </c>
      <c r="R173" s="24">
        <v>3</v>
      </c>
      <c r="S173" s="24" t="s">
        <v>1494</v>
      </c>
      <c r="T173" s="24" t="s">
        <v>962</v>
      </c>
      <c r="U173" s="24" t="s">
        <v>856</v>
      </c>
      <c r="V173" s="32" t="s">
        <v>857</v>
      </c>
      <c r="W173" s="14" t="b">
        <v>1</v>
      </c>
      <c r="X173" s="5" t="s">
        <v>409</v>
      </c>
      <c r="Y173" s="28"/>
      <c r="Z173" s="5" t="s">
        <v>858</v>
      </c>
      <c r="AA173" s="5" t="s">
        <v>858</v>
      </c>
      <c r="AB173" s="24" t="s">
        <v>413</v>
      </c>
      <c r="AC173" s="14"/>
      <c r="AD173" s="14"/>
      <c r="AE173" s="14">
        <v>1</v>
      </c>
      <c r="AF173" s="14"/>
      <c r="AG173" s="14"/>
      <c r="AH173" s="14"/>
      <c r="AI173" s="14"/>
      <c r="AJ173" s="14"/>
      <c r="AK173" s="14"/>
      <c r="AL173" s="14"/>
      <c r="AM173" s="14"/>
      <c r="AN173" s="14"/>
      <c r="AO173" s="14"/>
      <c r="AP173" s="14"/>
      <c r="AQ173" s="14"/>
      <c r="AR173" s="14"/>
      <c r="AS173" s="14"/>
      <c r="AT173" s="14"/>
      <c r="AU173" s="14"/>
      <c r="AV173" s="14"/>
      <c r="AW173" s="14"/>
      <c r="AX173" s="14"/>
    </row>
    <row r="174" spans="1:50" ht="15.75" customHeight="1">
      <c r="A174" s="24" t="s">
        <v>274</v>
      </c>
      <c r="B174" s="25" t="str">
        <f t="shared" si="4"/>
        <v>s22_l5_025nm_3_</v>
      </c>
      <c r="C174" s="24" t="s">
        <v>1668</v>
      </c>
      <c r="D174" s="74" t="str">
        <f t="shared" si="5"/>
        <v>bossdb://lee2022/s22_l5_025nm_3_/</v>
      </c>
      <c r="E174" s="24" t="s">
        <v>2</v>
      </c>
      <c r="F174" s="5" t="s">
        <v>1013</v>
      </c>
      <c r="G174" s="5" t="s">
        <v>865</v>
      </c>
      <c r="H174" s="24" t="s">
        <v>1491</v>
      </c>
      <c r="I174" s="24" t="s">
        <v>1668</v>
      </c>
      <c r="J174" s="24" t="s">
        <v>1492</v>
      </c>
      <c r="K174" s="24" t="s">
        <v>867</v>
      </c>
      <c r="L174" s="24" t="s">
        <v>853</v>
      </c>
      <c r="M174" s="24" t="s">
        <v>962</v>
      </c>
      <c r="N174" s="24" t="s">
        <v>0</v>
      </c>
      <c r="O174" s="24" t="s">
        <v>1665</v>
      </c>
      <c r="P174" s="24" t="s">
        <v>848</v>
      </c>
      <c r="Q174" s="24" t="s">
        <v>848</v>
      </c>
      <c r="R174" s="24">
        <v>3</v>
      </c>
      <c r="S174" s="24" t="s">
        <v>1494</v>
      </c>
      <c r="T174" s="24" t="s">
        <v>962</v>
      </c>
      <c r="U174" s="24" t="s">
        <v>856</v>
      </c>
      <c r="V174" s="32" t="s">
        <v>857</v>
      </c>
      <c r="W174" s="14" t="b">
        <v>1</v>
      </c>
      <c r="X174" s="5" t="s">
        <v>409</v>
      </c>
      <c r="Y174" s="28"/>
      <c r="Z174" s="5" t="s">
        <v>858</v>
      </c>
      <c r="AA174" s="5" t="s">
        <v>858</v>
      </c>
      <c r="AB174" s="24" t="s">
        <v>413</v>
      </c>
      <c r="AC174" s="14"/>
      <c r="AD174" s="14"/>
      <c r="AE174" s="14">
        <v>1</v>
      </c>
      <c r="AF174" s="14"/>
      <c r="AG174" s="14"/>
      <c r="AH174" s="14"/>
      <c r="AI174" s="14"/>
      <c r="AJ174" s="14"/>
      <c r="AK174" s="14"/>
      <c r="AL174" s="14"/>
      <c r="AM174" s="14"/>
      <c r="AN174" s="14"/>
      <c r="AO174" s="14"/>
      <c r="AP174" s="14"/>
      <c r="AQ174" s="14"/>
      <c r="AR174" s="14"/>
      <c r="AS174" s="14"/>
      <c r="AT174" s="14"/>
      <c r="AU174" s="14"/>
      <c r="AV174" s="14"/>
      <c r="AW174" s="14"/>
      <c r="AX174" s="14"/>
    </row>
    <row r="175" spans="1:50" ht="15.75" customHeight="1">
      <c r="A175" s="24" t="s">
        <v>276</v>
      </c>
      <c r="B175" s="25" t="str">
        <f t="shared" si="4"/>
        <v>s22_l5_025nm_4_</v>
      </c>
      <c r="C175" s="24" t="s">
        <v>1669</v>
      </c>
      <c r="D175" s="74" t="str">
        <f t="shared" si="5"/>
        <v>bossdb://lee2022/s22_l5_025nm_4_/</v>
      </c>
      <c r="E175" s="24" t="s">
        <v>2</v>
      </c>
      <c r="F175" s="5" t="s">
        <v>1013</v>
      </c>
      <c r="G175" s="5" t="s">
        <v>865</v>
      </c>
      <c r="H175" s="24" t="s">
        <v>1491</v>
      </c>
      <c r="I175" s="24" t="s">
        <v>1669</v>
      </c>
      <c r="J175" s="24" t="s">
        <v>1492</v>
      </c>
      <c r="K175" s="24" t="s">
        <v>867</v>
      </c>
      <c r="L175" s="24" t="s">
        <v>853</v>
      </c>
      <c r="M175" s="24" t="s">
        <v>962</v>
      </c>
      <c r="N175" s="24" t="s">
        <v>0</v>
      </c>
      <c r="O175" s="24" t="s">
        <v>1666</v>
      </c>
      <c r="P175" s="24" t="s">
        <v>848</v>
      </c>
      <c r="Q175" s="24" t="s">
        <v>848</v>
      </c>
      <c r="R175" s="24">
        <v>3</v>
      </c>
      <c r="S175" s="24" t="s">
        <v>1494</v>
      </c>
      <c r="T175" s="24" t="s">
        <v>962</v>
      </c>
      <c r="U175" s="24" t="s">
        <v>856</v>
      </c>
      <c r="V175" s="32" t="s">
        <v>857</v>
      </c>
      <c r="W175" s="14" t="b">
        <v>1</v>
      </c>
      <c r="X175" s="5" t="s">
        <v>409</v>
      </c>
      <c r="Y175" s="28"/>
      <c r="Z175" s="5" t="s">
        <v>858</v>
      </c>
      <c r="AA175" s="5" t="s">
        <v>858</v>
      </c>
      <c r="AB175" s="24" t="s">
        <v>413</v>
      </c>
      <c r="AC175" s="14"/>
      <c r="AD175" s="14"/>
      <c r="AE175" s="14">
        <v>1</v>
      </c>
      <c r="AF175" s="14"/>
      <c r="AG175" s="14"/>
      <c r="AH175" s="14"/>
      <c r="AI175" s="14"/>
      <c r="AJ175" s="14"/>
      <c r="AK175" s="14"/>
      <c r="AL175" s="14"/>
      <c r="AM175" s="14"/>
      <c r="AN175" s="14"/>
      <c r="AO175" s="14"/>
      <c r="AP175" s="14"/>
      <c r="AQ175" s="14"/>
      <c r="AR175" s="14"/>
      <c r="AS175" s="14"/>
      <c r="AT175" s="14"/>
      <c r="AU175" s="14"/>
      <c r="AV175" s="14"/>
      <c r="AW175" s="14"/>
      <c r="AX175" s="14"/>
    </row>
    <row r="176" spans="1:50" ht="15.75" customHeight="1">
      <c r="A176" s="24" t="s">
        <v>278</v>
      </c>
      <c r="B176" s="25" t="str">
        <f t="shared" si="4"/>
        <v>s24_hico_md1_030nm_</v>
      </c>
      <c r="C176" s="24" t="s">
        <v>1670</v>
      </c>
      <c r="D176" s="74" t="str">
        <f t="shared" si="5"/>
        <v>bossdb://lee2022/s24_hico_md1_030nm_/</v>
      </c>
      <c r="E176" s="24" t="s">
        <v>2</v>
      </c>
      <c r="F176" s="5" t="s">
        <v>1013</v>
      </c>
      <c r="G176" s="5" t="s">
        <v>865</v>
      </c>
      <c r="H176" s="24" t="s">
        <v>1491</v>
      </c>
      <c r="I176" s="24" t="s">
        <v>1670</v>
      </c>
      <c r="J176" s="24" t="s">
        <v>1492</v>
      </c>
      <c r="K176" s="24" t="s">
        <v>867</v>
      </c>
      <c r="L176" s="24" t="s">
        <v>853</v>
      </c>
      <c r="M176" s="24" t="s">
        <v>962</v>
      </c>
      <c r="N176" s="24" t="s">
        <v>0</v>
      </c>
      <c r="O176" s="24" t="s">
        <v>1667</v>
      </c>
      <c r="P176" s="24" t="s">
        <v>848</v>
      </c>
      <c r="Q176" s="24" t="s">
        <v>848</v>
      </c>
      <c r="R176" s="24">
        <v>3</v>
      </c>
      <c r="S176" s="24" t="s">
        <v>1494</v>
      </c>
      <c r="T176" s="24" t="s">
        <v>962</v>
      </c>
      <c r="U176" s="24" t="s">
        <v>856</v>
      </c>
      <c r="V176" s="32" t="s">
        <v>857</v>
      </c>
      <c r="W176" s="14" t="b">
        <v>1</v>
      </c>
      <c r="X176" s="5" t="s">
        <v>409</v>
      </c>
      <c r="Y176" s="28"/>
      <c r="Z176" s="5" t="s">
        <v>858</v>
      </c>
      <c r="AA176" s="5" t="s">
        <v>858</v>
      </c>
      <c r="AB176" s="24" t="s">
        <v>413</v>
      </c>
      <c r="AC176" s="14"/>
      <c r="AD176" s="14"/>
      <c r="AE176" s="14">
        <v>1</v>
      </c>
      <c r="AF176" s="14"/>
      <c r="AG176" s="14"/>
      <c r="AH176" s="14"/>
      <c r="AI176" s="14"/>
      <c r="AJ176" s="14"/>
      <c r="AK176" s="14"/>
      <c r="AL176" s="14"/>
      <c r="AM176" s="14"/>
      <c r="AN176" s="14"/>
      <c r="AO176" s="14"/>
      <c r="AP176" s="14"/>
      <c r="AQ176" s="14"/>
      <c r="AR176" s="14"/>
      <c r="AS176" s="14"/>
      <c r="AT176" s="14"/>
      <c r="AU176" s="14"/>
      <c r="AV176" s="14"/>
      <c r="AW176" s="14"/>
      <c r="AX176" s="14"/>
    </row>
    <row r="177" spans="1:50" ht="15.75" customHeight="1">
      <c r="A177" s="24" t="s">
        <v>280</v>
      </c>
      <c r="B177" s="25" t="str">
        <f t="shared" si="4"/>
        <v>s24_hico_md1_030nm_1_</v>
      </c>
      <c r="C177" s="24" t="s">
        <v>1671</v>
      </c>
      <c r="D177" s="74" t="str">
        <f t="shared" si="5"/>
        <v>bossdb://lee2022/s24_hico_md1_030nm_1_/</v>
      </c>
      <c r="E177" s="24" t="s">
        <v>2</v>
      </c>
      <c r="F177" s="5" t="s">
        <v>1013</v>
      </c>
      <c r="G177" s="5" t="s">
        <v>865</v>
      </c>
      <c r="H177" s="24" t="s">
        <v>1491</v>
      </c>
      <c r="I177" s="24" t="s">
        <v>1671</v>
      </c>
      <c r="J177" s="24" t="s">
        <v>1492</v>
      </c>
      <c r="K177" s="24" t="s">
        <v>867</v>
      </c>
      <c r="L177" s="24" t="s">
        <v>853</v>
      </c>
      <c r="M177" s="24" t="s">
        <v>962</v>
      </c>
      <c r="N177" s="24" t="s">
        <v>0</v>
      </c>
      <c r="O177" s="24" t="s">
        <v>1668</v>
      </c>
      <c r="P177" s="24" t="s">
        <v>848</v>
      </c>
      <c r="Q177" s="24" t="s">
        <v>848</v>
      </c>
      <c r="R177" s="24">
        <v>3</v>
      </c>
      <c r="S177" s="24" t="s">
        <v>1494</v>
      </c>
      <c r="T177" s="24" t="s">
        <v>962</v>
      </c>
      <c r="U177" s="24" t="s">
        <v>856</v>
      </c>
      <c r="V177" s="32" t="s">
        <v>857</v>
      </c>
      <c r="W177" s="14" t="b">
        <v>1</v>
      </c>
      <c r="X177" s="5" t="s">
        <v>409</v>
      </c>
      <c r="Y177" s="28"/>
      <c r="Z177" s="5" t="s">
        <v>858</v>
      </c>
      <c r="AA177" s="5" t="s">
        <v>858</v>
      </c>
      <c r="AB177" s="24" t="s">
        <v>413</v>
      </c>
      <c r="AC177" s="14"/>
      <c r="AD177" s="14"/>
      <c r="AE177" s="14">
        <v>1</v>
      </c>
      <c r="AF177" s="14"/>
      <c r="AG177" s="14"/>
      <c r="AH177" s="14"/>
      <c r="AI177" s="14"/>
      <c r="AJ177" s="14"/>
      <c r="AK177" s="14"/>
      <c r="AL177" s="14"/>
      <c r="AM177" s="14"/>
      <c r="AN177" s="14"/>
      <c r="AO177" s="14"/>
      <c r="AP177" s="14"/>
      <c r="AQ177" s="14"/>
      <c r="AR177" s="14"/>
      <c r="AS177" s="14"/>
      <c r="AT177" s="14"/>
      <c r="AU177" s="14"/>
      <c r="AV177" s="14"/>
      <c r="AW177" s="14"/>
      <c r="AX177" s="14"/>
    </row>
    <row r="178" spans="1:50" ht="15.75" customHeight="1">
      <c r="A178" s="24" t="s">
        <v>282</v>
      </c>
      <c r="B178" s="25" t="str">
        <f t="shared" si="4"/>
        <v>s24_hico_md1_030nm_2_</v>
      </c>
      <c r="C178" s="24" t="s">
        <v>1672</v>
      </c>
      <c r="D178" s="74" t="str">
        <f t="shared" si="5"/>
        <v>bossdb://lee2022/s24_hico_md1_030nm_2_/</v>
      </c>
      <c r="E178" s="24" t="s">
        <v>2</v>
      </c>
      <c r="F178" s="5" t="s">
        <v>1013</v>
      </c>
      <c r="G178" s="5" t="s">
        <v>865</v>
      </c>
      <c r="H178" s="24" t="s">
        <v>1491</v>
      </c>
      <c r="I178" s="24" t="s">
        <v>1672</v>
      </c>
      <c r="J178" s="24" t="s">
        <v>1492</v>
      </c>
      <c r="K178" s="24" t="s">
        <v>867</v>
      </c>
      <c r="L178" s="24" t="s">
        <v>853</v>
      </c>
      <c r="M178" s="24" t="s">
        <v>962</v>
      </c>
      <c r="N178" s="24" t="s">
        <v>0</v>
      </c>
      <c r="O178" s="24" t="s">
        <v>1669</v>
      </c>
      <c r="P178" s="24" t="s">
        <v>848</v>
      </c>
      <c r="Q178" s="24" t="s">
        <v>848</v>
      </c>
      <c r="R178" s="24">
        <v>3</v>
      </c>
      <c r="S178" s="24" t="s">
        <v>1494</v>
      </c>
      <c r="T178" s="24" t="s">
        <v>962</v>
      </c>
      <c r="U178" s="24" t="s">
        <v>856</v>
      </c>
      <c r="V178" s="32" t="s">
        <v>857</v>
      </c>
      <c r="W178" s="14" t="b">
        <v>1</v>
      </c>
      <c r="X178" s="5" t="s">
        <v>409</v>
      </c>
      <c r="Y178" s="28"/>
      <c r="Z178" s="5" t="s">
        <v>858</v>
      </c>
      <c r="AA178" s="5" t="s">
        <v>858</v>
      </c>
      <c r="AB178" s="24" t="s">
        <v>413</v>
      </c>
      <c r="AC178" s="14"/>
      <c r="AD178" s="14"/>
      <c r="AE178" s="14">
        <v>1</v>
      </c>
      <c r="AF178" s="14"/>
      <c r="AG178" s="14"/>
      <c r="AH178" s="14"/>
      <c r="AI178" s="14"/>
      <c r="AJ178" s="14"/>
      <c r="AK178" s="14"/>
      <c r="AL178" s="14"/>
      <c r="AM178" s="14"/>
      <c r="AN178" s="14"/>
      <c r="AO178" s="14"/>
      <c r="AP178" s="14"/>
      <c r="AQ178" s="14"/>
      <c r="AR178" s="14"/>
      <c r="AS178" s="14"/>
      <c r="AT178" s="14"/>
      <c r="AU178" s="14"/>
      <c r="AV178" s="14"/>
      <c r="AW178" s="14"/>
      <c r="AX178" s="14"/>
    </row>
    <row r="179" spans="1:50" ht="15.75" customHeight="1">
      <c r="A179" s="24" t="s">
        <v>284</v>
      </c>
      <c r="B179" s="25" t="str">
        <f t="shared" si="4"/>
        <v>s24_hico_md1_030nm_3_</v>
      </c>
      <c r="C179" s="24" t="s">
        <v>1673</v>
      </c>
      <c r="D179" s="74" t="str">
        <f t="shared" si="5"/>
        <v>bossdb://lee2022/s24_hico_md1_030nm_3_/</v>
      </c>
      <c r="E179" s="24" t="s">
        <v>2</v>
      </c>
      <c r="F179" s="5" t="s">
        <v>1013</v>
      </c>
      <c r="G179" s="5" t="s">
        <v>865</v>
      </c>
      <c r="H179" s="24" t="s">
        <v>1491</v>
      </c>
      <c r="I179" s="24" t="s">
        <v>1673</v>
      </c>
      <c r="J179" s="24" t="s">
        <v>1492</v>
      </c>
      <c r="K179" s="24" t="s">
        <v>867</v>
      </c>
      <c r="L179" s="24" t="s">
        <v>853</v>
      </c>
      <c r="M179" s="24" t="s">
        <v>962</v>
      </c>
      <c r="N179" s="24" t="s">
        <v>0</v>
      </c>
      <c r="O179" s="24" t="s">
        <v>1670</v>
      </c>
      <c r="P179" s="24" t="s">
        <v>848</v>
      </c>
      <c r="Q179" s="24" t="s">
        <v>848</v>
      </c>
      <c r="R179" s="24">
        <v>3</v>
      </c>
      <c r="S179" s="24" t="s">
        <v>1494</v>
      </c>
      <c r="T179" s="24" t="s">
        <v>962</v>
      </c>
      <c r="U179" s="24" t="s">
        <v>856</v>
      </c>
      <c r="V179" s="32" t="s">
        <v>857</v>
      </c>
      <c r="W179" s="14" t="b">
        <v>1</v>
      </c>
      <c r="X179" s="5" t="s">
        <v>409</v>
      </c>
      <c r="Y179" s="28"/>
      <c r="Z179" s="5" t="s">
        <v>858</v>
      </c>
      <c r="AA179" s="5" t="s">
        <v>858</v>
      </c>
      <c r="AB179" s="24" t="s">
        <v>413</v>
      </c>
      <c r="AC179" s="14"/>
      <c r="AD179" s="14"/>
      <c r="AE179" s="14">
        <v>1</v>
      </c>
      <c r="AF179" s="14"/>
      <c r="AG179" s="14"/>
      <c r="AH179" s="14"/>
      <c r="AI179" s="14"/>
      <c r="AJ179" s="14"/>
      <c r="AK179" s="14"/>
      <c r="AL179" s="14"/>
      <c r="AM179" s="14"/>
      <c r="AN179" s="14"/>
      <c r="AO179" s="14"/>
      <c r="AP179" s="14"/>
      <c r="AQ179" s="14"/>
      <c r="AR179" s="14"/>
      <c r="AS179" s="14"/>
      <c r="AT179" s="14"/>
      <c r="AU179" s="14"/>
      <c r="AV179" s="14"/>
      <c r="AW179" s="14"/>
      <c r="AX179" s="14"/>
    </row>
    <row r="180" spans="1:50" ht="15.75" customHeight="1">
      <c r="A180" s="24" t="s">
        <v>286</v>
      </c>
      <c r="B180" s="25" t="str">
        <f t="shared" si="4"/>
        <v>s24_hico_md1_030nm_4_</v>
      </c>
      <c r="C180" s="24" t="s">
        <v>1674</v>
      </c>
      <c r="D180" s="74" t="str">
        <f t="shared" si="5"/>
        <v>bossdb://lee2022/s24_hico_md1_030nm_4_/</v>
      </c>
      <c r="E180" s="24" t="s">
        <v>2</v>
      </c>
      <c r="F180" s="5" t="s">
        <v>1013</v>
      </c>
      <c r="G180" s="5" t="s">
        <v>865</v>
      </c>
      <c r="H180" s="24" t="s">
        <v>1491</v>
      </c>
      <c r="I180" s="24" t="s">
        <v>1674</v>
      </c>
      <c r="J180" s="24" t="s">
        <v>1492</v>
      </c>
      <c r="K180" s="24" t="s">
        <v>867</v>
      </c>
      <c r="L180" s="24" t="s">
        <v>853</v>
      </c>
      <c r="M180" s="24" t="s">
        <v>962</v>
      </c>
      <c r="N180" s="24" t="s">
        <v>0</v>
      </c>
      <c r="O180" s="24" t="s">
        <v>1671</v>
      </c>
      <c r="P180" s="24" t="s">
        <v>848</v>
      </c>
      <c r="Q180" s="24" t="s">
        <v>848</v>
      </c>
      <c r="R180" s="24">
        <v>3</v>
      </c>
      <c r="S180" s="24" t="s">
        <v>1494</v>
      </c>
      <c r="T180" s="24" t="s">
        <v>962</v>
      </c>
      <c r="U180" s="24" t="s">
        <v>856</v>
      </c>
      <c r="V180" s="32" t="s">
        <v>857</v>
      </c>
      <c r="W180" s="14" t="b">
        <v>1</v>
      </c>
      <c r="X180" s="5" t="s">
        <v>409</v>
      </c>
      <c r="Y180" s="28"/>
      <c r="Z180" s="5" t="s">
        <v>858</v>
      </c>
      <c r="AA180" s="5" t="s">
        <v>858</v>
      </c>
      <c r="AB180" s="24" t="s">
        <v>413</v>
      </c>
      <c r="AC180" s="14"/>
      <c r="AD180" s="14"/>
      <c r="AE180" s="14">
        <v>1</v>
      </c>
      <c r="AF180" s="14"/>
      <c r="AG180" s="14"/>
      <c r="AH180" s="14"/>
      <c r="AI180" s="14"/>
      <c r="AJ180" s="14"/>
      <c r="AK180" s="14"/>
      <c r="AL180" s="14"/>
      <c r="AM180" s="14"/>
      <c r="AN180" s="14"/>
      <c r="AO180" s="14"/>
      <c r="AP180" s="14"/>
      <c r="AQ180" s="14"/>
      <c r="AR180" s="14"/>
      <c r="AS180" s="14"/>
      <c r="AT180" s="14"/>
      <c r="AU180" s="14"/>
      <c r="AV180" s="14"/>
      <c r="AW180" s="14"/>
      <c r="AX180" s="14"/>
    </row>
    <row r="181" spans="1:50" ht="15.75" customHeight="1">
      <c r="A181" s="24" t="s">
        <v>288</v>
      </c>
      <c r="B181" s="25" t="str">
        <f t="shared" si="4"/>
        <v>s24_hico_md2_030nm_</v>
      </c>
      <c r="C181" s="24" t="s">
        <v>1675</v>
      </c>
      <c r="D181" s="74" t="str">
        <f t="shared" si="5"/>
        <v>bossdb://lee2022/s24_hico_md2_030nm_/</v>
      </c>
      <c r="E181" s="24" t="s">
        <v>2</v>
      </c>
      <c r="F181" s="5" t="s">
        <v>1013</v>
      </c>
      <c r="G181" s="5" t="s">
        <v>865</v>
      </c>
      <c r="H181" s="24" t="s">
        <v>1491</v>
      </c>
      <c r="I181" s="24" t="s">
        <v>1675</v>
      </c>
      <c r="J181" s="24" t="s">
        <v>1492</v>
      </c>
      <c r="K181" s="24" t="s">
        <v>867</v>
      </c>
      <c r="L181" s="24" t="s">
        <v>853</v>
      </c>
      <c r="M181" s="24" t="s">
        <v>962</v>
      </c>
      <c r="N181" s="24" t="s">
        <v>0</v>
      </c>
      <c r="O181" s="24" t="s">
        <v>1672</v>
      </c>
      <c r="P181" s="24" t="s">
        <v>848</v>
      </c>
      <c r="Q181" s="24" t="s">
        <v>848</v>
      </c>
      <c r="R181" s="24">
        <v>3</v>
      </c>
      <c r="S181" s="24" t="s">
        <v>1494</v>
      </c>
      <c r="T181" s="24" t="s">
        <v>962</v>
      </c>
      <c r="U181" s="24" t="s">
        <v>856</v>
      </c>
      <c r="V181" s="32" t="s">
        <v>857</v>
      </c>
      <c r="W181" s="14" t="b">
        <v>1</v>
      </c>
      <c r="X181" s="5" t="s">
        <v>409</v>
      </c>
      <c r="Y181" s="28"/>
      <c r="Z181" s="5" t="s">
        <v>858</v>
      </c>
      <c r="AA181" s="5" t="s">
        <v>858</v>
      </c>
      <c r="AB181" s="24" t="s">
        <v>413</v>
      </c>
      <c r="AC181" s="14"/>
      <c r="AD181" s="14"/>
      <c r="AE181" s="14">
        <v>1</v>
      </c>
      <c r="AF181" s="14"/>
      <c r="AG181" s="14"/>
      <c r="AH181" s="14"/>
      <c r="AI181" s="14"/>
      <c r="AJ181" s="14"/>
      <c r="AK181" s="14"/>
      <c r="AL181" s="14"/>
      <c r="AM181" s="14"/>
      <c r="AN181" s="14"/>
      <c r="AO181" s="14"/>
      <c r="AP181" s="14"/>
      <c r="AQ181" s="14"/>
      <c r="AR181" s="14"/>
      <c r="AS181" s="14"/>
      <c r="AT181" s="14"/>
      <c r="AU181" s="14"/>
      <c r="AV181" s="14"/>
      <c r="AW181" s="14"/>
      <c r="AX181" s="14"/>
    </row>
    <row r="182" spans="1:50" ht="15.75" customHeight="1">
      <c r="A182" s="24" t="s">
        <v>290</v>
      </c>
      <c r="B182" s="25" t="str">
        <f t="shared" si="4"/>
        <v>s24_hico_md2_030nm_1_</v>
      </c>
      <c r="C182" s="24" t="s">
        <v>1676</v>
      </c>
      <c r="D182" s="74" t="str">
        <f t="shared" si="5"/>
        <v>bossdb://lee2022/s24_hico_md2_030nm_1_/</v>
      </c>
      <c r="E182" s="24" t="s">
        <v>2</v>
      </c>
      <c r="F182" s="5" t="s">
        <v>1013</v>
      </c>
      <c r="G182" s="5" t="s">
        <v>865</v>
      </c>
      <c r="H182" s="24" t="s">
        <v>1491</v>
      </c>
      <c r="I182" s="24" t="s">
        <v>1676</v>
      </c>
      <c r="J182" s="24" t="s">
        <v>1492</v>
      </c>
      <c r="K182" s="24" t="s">
        <v>867</v>
      </c>
      <c r="L182" s="24" t="s">
        <v>853</v>
      </c>
      <c r="M182" s="24" t="s">
        <v>962</v>
      </c>
      <c r="N182" s="24" t="s">
        <v>0</v>
      </c>
      <c r="O182" s="24" t="s">
        <v>1673</v>
      </c>
      <c r="P182" s="24" t="s">
        <v>848</v>
      </c>
      <c r="Q182" s="24" t="s">
        <v>848</v>
      </c>
      <c r="R182" s="24">
        <v>3</v>
      </c>
      <c r="S182" s="24" t="s">
        <v>1494</v>
      </c>
      <c r="T182" s="24" t="s">
        <v>962</v>
      </c>
      <c r="U182" s="24" t="s">
        <v>856</v>
      </c>
      <c r="V182" s="32" t="s">
        <v>857</v>
      </c>
      <c r="W182" s="14" t="b">
        <v>1</v>
      </c>
      <c r="X182" s="5" t="s">
        <v>409</v>
      </c>
      <c r="Y182" s="28"/>
      <c r="Z182" s="5" t="s">
        <v>858</v>
      </c>
      <c r="AA182" s="5" t="s">
        <v>858</v>
      </c>
      <c r="AB182" s="24" t="s">
        <v>413</v>
      </c>
      <c r="AC182" s="14"/>
      <c r="AD182" s="14"/>
      <c r="AE182" s="14">
        <v>1</v>
      </c>
      <c r="AF182" s="14"/>
      <c r="AG182" s="14"/>
      <c r="AH182" s="14"/>
      <c r="AI182" s="14"/>
      <c r="AJ182" s="14"/>
      <c r="AK182" s="14"/>
      <c r="AL182" s="14"/>
      <c r="AM182" s="14"/>
      <c r="AN182" s="14"/>
      <c r="AO182" s="14"/>
      <c r="AP182" s="14"/>
      <c r="AQ182" s="14"/>
      <c r="AR182" s="14"/>
      <c r="AS182" s="14"/>
      <c r="AT182" s="14"/>
      <c r="AU182" s="14"/>
      <c r="AV182" s="14"/>
      <c r="AW182" s="14"/>
      <c r="AX182" s="14"/>
    </row>
    <row r="183" spans="1:50" ht="15.75" customHeight="1">
      <c r="A183" s="24" t="s">
        <v>292</v>
      </c>
      <c r="B183" s="25" t="str">
        <f t="shared" si="4"/>
        <v>s24_hico_md2_030nm_2_</v>
      </c>
      <c r="C183" s="24" t="s">
        <v>1677</v>
      </c>
      <c r="D183" s="74" t="str">
        <f t="shared" si="5"/>
        <v>bossdb://lee2022/s24_hico_md2_030nm_2_/</v>
      </c>
      <c r="E183" s="24" t="s">
        <v>2</v>
      </c>
      <c r="F183" s="5" t="s">
        <v>1013</v>
      </c>
      <c r="G183" s="5" t="s">
        <v>865</v>
      </c>
      <c r="H183" s="24" t="s">
        <v>1491</v>
      </c>
      <c r="I183" s="24" t="s">
        <v>1677</v>
      </c>
      <c r="J183" s="24" t="s">
        <v>1492</v>
      </c>
      <c r="K183" s="24" t="s">
        <v>867</v>
      </c>
      <c r="L183" s="24" t="s">
        <v>853</v>
      </c>
      <c r="M183" s="24" t="s">
        <v>962</v>
      </c>
      <c r="N183" s="24" t="s">
        <v>0</v>
      </c>
      <c r="O183" s="24" t="s">
        <v>1674</v>
      </c>
      <c r="P183" s="24" t="s">
        <v>848</v>
      </c>
      <c r="Q183" s="24" t="s">
        <v>848</v>
      </c>
      <c r="R183" s="24">
        <v>3</v>
      </c>
      <c r="S183" s="24" t="s">
        <v>1494</v>
      </c>
      <c r="T183" s="24" t="s">
        <v>962</v>
      </c>
      <c r="U183" s="24" t="s">
        <v>856</v>
      </c>
      <c r="V183" s="32" t="s">
        <v>857</v>
      </c>
      <c r="W183" s="14" t="b">
        <v>1</v>
      </c>
      <c r="X183" s="5" t="s">
        <v>409</v>
      </c>
      <c r="Y183" s="28"/>
      <c r="Z183" s="5" t="s">
        <v>858</v>
      </c>
      <c r="AA183" s="5" t="s">
        <v>858</v>
      </c>
      <c r="AB183" s="24" t="s">
        <v>413</v>
      </c>
      <c r="AC183" s="14"/>
      <c r="AD183" s="14"/>
      <c r="AE183" s="14">
        <v>1</v>
      </c>
      <c r="AF183" s="14"/>
      <c r="AG183" s="14"/>
      <c r="AH183" s="14"/>
      <c r="AI183" s="14"/>
      <c r="AJ183" s="14"/>
      <c r="AK183" s="14"/>
      <c r="AL183" s="14"/>
      <c r="AM183" s="14"/>
      <c r="AN183" s="14"/>
      <c r="AO183" s="14"/>
      <c r="AP183" s="14"/>
      <c r="AQ183" s="14"/>
      <c r="AR183" s="14"/>
      <c r="AS183" s="14"/>
      <c r="AT183" s="14"/>
      <c r="AU183" s="14"/>
      <c r="AV183" s="14"/>
      <c r="AW183" s="14"/>
      <c r="AX183" s="14"/>
    </row>
    <row r="184" spans="1:50" ht="15.75" customHeight="1">
      <c r="A184" s="24" t="s">
        <v>294</v>
      </c>
      <c r="B184" s="25" t="str">
        <f t="shared" si="4"/>
        <v>s24_hico_md2_030nm_3_</v>
      </c>
      <c r="C184" s="24" t="s">
        <v>1678</v>
      </c>
      <c r="D184" s="74" t="str">
        <f t="shared" si="5"/>
        <v>bossdb://lee2022/s24_hico_md2_030nm_3_/</v>
      </c>
      <c r="E184" s="24" t="s">
        <v>2</v>
      </c>
      <c r="F184" s="5" t="s">
        <v>1013</v>
      </c>
      <c r="G184" s="5" t="s">
        <v>865</v>
      </c>
      <c r="H184" s="24" t="s">
        <v>1491</v>
      </c>
      <c r="I184" s="24" t="s">
        <v>1678</v>
      </c>
      <c r="J184" s="24" t="s">
        <v>1492</v>
      </c>
      <c r="K184" s="24" t="s">
        <v>867</v>
      </c>
      <c r="L184" s="24" t="s">
        <v>853</v>
      </c>
      <c r="M184" s="24" t="s">
        <v>962</v>
      </c>
      <c r="N184" s="24" t="s">
        <v>0</v>
      </c>
      <c r="O184" s="24" t="s">
        <v>1675</v>
      </c>
      <c r="P184" s="24" t="s">
        <v>848</v>
      </c>
      <c r="Q184" s="24" t="s">
        <v>848</v>
      </c>
      <c r="R184" s="24">
        <v>3</v>
      </c>
      <c r="S184" s="24" t="s">
        <v>1494</v>
      </c>
      <c r="T184" s="24" t="s">
        <v>962</v>
      </c>
      <c r="U184" s="24" t="s">
        <v>856</v>
      </c>
      <c r="V184" s="32" t="s">
        <v>857</v>
      </c>
      <c r="W184" s="14" t="b">
        <v>1</v>
      </c>
      <c r="X184" s="5" t="s">
        <v>409</v>
      </c>
      <c r="Y184" s="28"/>
      <c r="Z184" s="5" t="s">
        <v>858</v>
      </c>
      <c r="AA184" s="5" t="s">
        <v>858</v>
      </c>
      <c r="AB184" s="24" t="s">
        <v>413</v>
      </c>
      <c r="AC184" s="14"/>
      <c r="AD184" s="14"/>
      <c r="AE184" s="14">
        <v>1</v>
      </c>
      <c r="AF184" s="14"/>
      <c r="AG184" s="14"/>
      <c r="AH184" s="14"/>
      <c r="AI184" s="14"/>
      <c r="AJ184" s="14"/>
      <c r="AK184" s="14"/>
      <c r="AL184" s="14"/>
      <c r="AM184" s="14"/>
      <c r="AN184" s="14"/>
      <c r="AO184" s="14"/>
      <c r="AP184" s="14"/>
      <c r="AQ184" s="14"/>
      <c r="AR184" s="14"/>
      <c r="AS184" s="14"/>
      <c r="AT184" s="14"/>
      <c r="AU184" s="14"/>
      <c r="AV184" s="14"/>
      <c r="AW184" s="14"/>
      <c r="AX184" s="14"/>
    </row>
    <row r="185" spans="1:50" ht="15.75" customHeight="1">
      <c r="A185" s="24" t="s">
        <v>296</v>
      </c>
      <c r="B185" s="25" t="str">
        <f t="shared" si="4"/>
        <v>s24_hico_md2_030nm_4_</v>
      </c>
      <c r="C185" s="24" t="s">
        <v>1679</v>
      </c>
      <c r="D185" s="74" t="str">
        <f t="shared" si="5"/>
        <v>bossdb://lee2022/s24_hico_md2_030nm_4_/</v>
      </c>
      <c r="E185" s="24" t="s">
        <v>2</v>
      </c>
      <c r="F185" s="5" t="s">
        <v>1013</v>
      </c>
      <c r="G185" s="5" t="s">
        <v>865</v>
      </c>
      <c r="H185" s="24" t="s">
        <v>1491</v>
      </c>
      <c r="I185" s="24" t="s">
        <v>1679</v>
      </c>
      <c r="J185" s="24" t="s">
        <v>1492</v>
      </c>
      <c r="K185" s="24" t="s">
        <v>867</v>
      </c>
      <c r="L185" s="24" t="s">
        <v>853</v>
      </c>
      <c r="M185" s="24" t="s">
        <v>962</v>
      </c>
      <c r="N185" s="24" t="s">
        <v>0</v>
      </c>
      <c r="O185" s="24" t="s">
        <v>1676</v>
      </c>
      <c r="P185" s="24" t="s">
        <v>848</v>
      </c>
      <c r="Q185" s="24" t="s">
        <v>848</v>
      </c>
      <c r="R185" s="24">
        <v>3</v>
      </c>
      <c r="S185" s="24" t="s">
        <v>1494</v>
      </c>
      <c r="T185" s="24" t="s">
        <v>962</v>
      </c>
      <c r="U185" s="24" t="s">
        <v>856</v>
      </c>
      <c r="V185" s="32" t="s">
        <v>857</v>
      </c>
      <c r="W185" s="14" t="b">
        <v>1</v>
      </c>
      <c r="X185" s="5" t="s">
        <v>409</v>
      </c>
      <c r="Y185" s="28"/>
      <c r="Z185" s="5" t="s">
        <v>858</v>
      </c>
      <c r="AA185" s="5" t="s">
        <v>858</v>
      </c>
      <c r="AB185" s="24" t="s">
        <v>413</v>
      </c>
      <c r="AC185" s="14"/>
      <c r="AD185" s="14"/>
      <c r="AE185" s="14">
        <v>1</v>
      </c>
      <c r="AF185" s="14"/>
      <c r="AG185" s="14"/>
      <c r="AH185" s="14"/>
      <c r="AI185" s="14"/>
      <c r="AJ185" s="14"/>
      <c r="AK185" s="14"/>
      <c r="AL185" s="14"/>
      <c r="AM185" s="14"/>
      <c r="AN185" s="14"/>
      <c r="AO185" s="14"/>
      <c r="AP185" s="14"/>
      <c r="AQ185" s="14"/>
      <c r="AR185" s="14"/>
      <c r="AS185" s="14"/>
      <c r="AT185" s="14"/>
      <c r="AU185" s="14"/>
      <c r="AV185" s="14"/>
      <c r="AW185" s="14"/>
      <c r="AX185" s="14"/>
    </row>
    <row r="186" spans="1:50" ht="15.75" customHeight="1">
      <c r="A186" s="24" t="s">
        <v>298</v>
      </c>
      <c r="B186" s="25" t="str">
        <f t="shared" si="4"/>
        <v>s24_hico_md3_030nmm_1_</v>
      </c>
      <c r="C186" s="24" t="s">
        <v>1680</v>
      </c>
      <c r="D186" s="74" t="str">
        <f t="shared" si="5"/>
        <v>bossdb://lee2022/s24_hico_md3_030nmm_1_/</v>
      </c>
      <c r="E186" s="24" t="s">
        <v>2</v>
      </c>
      <c r="F186" s="5" t="s">
        <v>1013</v>
      </c>
      <c r="G186" s="5" t="s">
        <v>865</v>
      </c>
      <c r="H186" s="24" t="s">
        <v>1491</v>
      </c>
      <c r="I186" s="24" t="s">
        <v>1680</v>
      </c>
      <c r="J186" s="24" t="s">
        <v>1492</v>
      </c>
      <c r="K186" s="24" t="s">
        <v>867</v>
      </c>
      <c r="L186" s="24" t="s">
        <v>853</v>
      </c>
      <c r="M186" s="24" t="s">
        <v>962</v>
      </c>
      <c r="N186" s="24" t="s">
        <v>0</v>
      </c>
      <c r="O186" s="24" t="s">
        <v>1677</v>
      </c>
      <c r="P186" s="24" t="s">
        <v>848</v>
      </c>
      <c r="Q186" s="24" t="s">
        <v>848</v>
      </c>
      <c r="R186" s="24">
        <v>3</v>
      </c>
      <c r="S186" s="24" t="s">
        <v>1494</v>
      </c>
      <c r="T186" s="24" t="s">
        <v>962</v>
      </c>
      <c r="U186" s="24" t="s">
        <v>856</v>
      </c>
      <c r="V186" s="32" t="s">
        <v>857</v>
      </c>
      <c r="W186" s="14" t="b">
        <v>1</v>
      </c>
      <c r="X186" s="5" t="s">
        <v>409</v>
      </c>
      <c r="Y186" s="28"/>
      <c r="Z186" s="5" t="s">
        <v>858</v>
      </c>
      <c r="AA186" s="5" t="s">
        <v>858</v>
      </c>
      <c r="AB186" s="24" t="s">
        <v>413</v>
      </c>
      <c r="AC186" s="14"/>
      <c r="AD186" s="14"/>
      <c r="AE186" s="14">
        <v>1</v>
      </c>
      <c r="AF186" s="14"/>
      <c r="AG186" s="14"/>
      <c r="AH186" s="14"/>
      <c r="AI186" s="14"/>
      <c r="AJ186" s="14"/>
      <c r="AK186" s="14"/>
      <c r="AL186" s="14"/>
      <c r="AM186" s="14"/>
      <c r="AN186" s="14"/>
      <c r="AO186" s="14"/>
      <c r="AP186" s="14"/>
      <c r="AQ186" s="14"/>
      <c r="AR186" s="14"/>
      <c r="AS186" s="14"/>
      <c r="AT186" s="14"/>
      <c r="AU186" s="14"/>
      <c r="AV186" s="14"/>
      <c r="AW186" s="14"/>
      <c r="AX186" s="14"/>
    </row>
    <row r="187" spans="1:50" ht="15.75" customHeight="1">
      <c r="A187" s="24" t="s">
        <v>300</v>
      </c>
      <c r="B187" s="25" t="str">
        <f t="shared" si="4"/>
        <v>s24_hico_md3_030nmm_2_</v>
      </c>
      <c r="C187" s="24" t="s">
        <v>1681</v>
      </c>
      <c r="D187" s="74" t="str">
        <f t="shared" si="5"/>
        <v>bossdb://lee2022/s24_hico_md3_030nmm_2_/</v>
      </c>
      <c r="E187" s="24" t="s">
        <v>2</v>
      </c>
      <c r="F187" s="5" t="s">
        <v>1013</v>
      </c>
      <c r="G187" s="5" t="s">
        <v>865</v>
      </c>
      <c r="H187" s="24" t="s">
        <v>1491</v>
      </c>
      <c r="I187" s="24" t="s">
        <v>1681</v>
      </c>
      <c r="J187" s="24" t="s">
        <v>1492</v>
      </c>
      <c r="K187" s="24" t="s">
        <v>867</v>
      </c>
      <c r="L187" s="24" t="s">
        <v>853</v>
      </c>
      <c r="M187" s="24" t="s">
        <v>962</v>
      </c>
      <c r="N187" s="24" t="s">
        <v>0</v>
      </c>
      <c r="O187" s="24" t="s">
        <v>1678</v>
      </c>
      <c r="P187" s="24" t="s">
        <v>848</v>
      </c>
      <c r="Q187" s="24" t="s">
        <v>848</v>
      </c>
      <c r="R187" s="24">
        <v>3</v>
      </c>
      <c r="S187" s="24" t="s">
        <v>1494</v>
      </c>
      <c r="T187" s="24" t="s">
        <v>962</v>
      </c>
      <c r="U187" s="24" t="s">
        <v>856</v>
      </c>
      <c r="V187" s="32" t="s">
        <v>857</v>
      </c>
      <c r="W187" s="14" t="b">
        <v>1</v>
      </c>
      <c r="X187" s="5" t="s">
        <v>409</v>
      </c>
      <c r="Y187" s="28"/>
      <c r="Z187" s="5" t="s">
        <v>858</v>
      </c>
      <c r="AA187" s="5" t="s">
        <v>858</v>
      </c>
      <c r="AB187" s="24" t="s">
        <v>413</v>
      </c>
      <c r="AC187" s="14"/>
      <c r="AD187" s="14"/>
      <c r="AE187" s="14">
        <v>1</v>
      </c>
      <c r="AF187" s="14"/>
      <c r="AG187" s="14"/>
      <c r="AH187" s="14"/>
      <c r="AI187" s="14"/>
      <c r="AJ187" s="14"/>
      <c r="AK187" s="14"/>
      <c r="AL187" s="14"/>
      <c r="AM187" s="14"/>
      <c r="AN187" s="14"/>
      <c r="AO187" s="14"/>
      <c r="AP187" s="14"/>
      <c r="AQ187" s="14"/>
      <c r="AR187" s="14"/>
      <c r="AS187" s="14"/>
      <c r="AT187" s="14"/>
      <c r="AU187" s="14"/>
      <c r="AV187" s="14"/>
      <c r="AW187" s="14"/>
      <c r="AX187" s="14"/>
    </row>
    <row r="188" spans="1:50" ht="15.75" customHeight="1">
      <c r="A188" s="24" t="s">
        <v>302</v>
      </c>
      <c r="B188" s="25" t="str">
        <f t="shared" si="4"/>
        <v>s24_hico_md3_030nmm_3_</v>
      </c>
      <c r="C188" s="24" t="s">
        <v>1682</v>
      </c>
      <c r="D188" s="74" t="str">
        <f t="shared" si="5"/>
        <v>bossdb://lee2022/s24_hico_md3_030nmm_3_/</v>
      </c>
      <c r="E188" s="24" t="s">
        <v>2</v>
      </c>
      <c r="F188" s="5" t="s">
        <v>1013</v>
      </c>
      <c r="G188" s="5" t="s">
        <v>865</v>
      </c>
      <c r="H188" s="24" t="s">
        <v>1491</v>
      </c>
      <c r="I188" s="24" t="s">
        <v>1682</v>
      </c>
      <c r="J188" s="24" t="s">
        <v>1492</v>
      </c>
      <c r="K188" s="24" t="s">
        <v>867</v>
      </c>
      <c r="L188" s="24" t="s">
        <v>853</v>
      </c>
      <c r="M188" s="24" t="s">
        <v>962</v>
      </c>
      <c r="N188" s="24" t="s">
        <v>0</v>
      </c>
      <c r="O188" s="24" t="s">
        <v>1679</v>
      </c>
      <c r="P188" s="24" t="s">
        <v>848</v>
      </c>
      <c r="Q188" s="24" t="s">
        <v>848</v>
      </c>
      <c r="R188" s="24">
        <v>3</v>
      </c>
      <c r="S188" s="24" t="s">
        <v>1494</v>
      </c>
      <c r="T188" s="24" t="s">
        <v>962</v>
      </c>
      <c r="U188" s="24" t="s">
        <v>856</v>
      </c>
      <c r="V188" s="32" t="s">
        <v>857</v>
      </c>
      <c r="W188" s="14" t="b">
        <v>1</v>
      </c>
      <c r="X188" s="5" t="s">
        <v>409</v>
      </c>
      <c r="Y188" s="28"/>
      <c r="Z188" s="5" t="s">
        <v>858</v>
      </c>
      <c r="AA188" s="5" t="s">
        <v>858</v>
      </c>
      <c r="AB188" s="24" t="s">
        <v>413</v>
      </c>
      <c r="AC188" s="14"/>
      <c r="AD188" s="14"/>
      <c r="AE188" s="14">
        <v>1</v>
      </c>
      <c r="AF188" s="14"/>
      <c r="AG188" s="14"/>
      <c r="AH188" s="14"/>
      <c r="AI188" s="14"/>
      <c r="AJ188" s="14"/>
      <c r="AK188" s="14"/>
      <c r="AL188" s="14"/>
      <c r="AM188" s="14"/>
      <c r="AN188" s="14"/>
      <c r="AO188" s="14"/>
      <c r="AP188" s="14"/>
      <c r="AQ188" s="14"/>
      <c r="AR188" s="14"/>
      <c r="AS188" s="14"/>
      <c r="AT188" s="14"/>
      <c r="AU188" s="14"/>
      <c r="AV188" s="14"/>
      <c r="AW188" s="14"/>
      <c r="AX188" s="14"/>
    </row>
    <row r="189" spans="1:50" ht="15.75" customHeight="1">
      <c r="A189" s="24" t="s">
        <v>304</v>
      </c>
      <c r="B189" s="25" t="str">
        <f t="shared" si="4"/>
        <v>s24_hico_md3_030nmm_4_</v>
      </c>
      <c r="C189" s="24" t="s">
        <v>1683</v>
      </c>
      <c r="D189" s="74" t="str">
        <f t="shared" si="5"/>
        <v>bossdb://lee2022/s24_hico_md3_030nmm_4_/</v>
      </c>
      <c r="E189" s="24" t="s">
        <v>2</v>
      </c>
      <c r="F189" s="5" t="s">
        <v>1013</v>
      </c>
      <c r="G189" s="5" t="s">
        <v>865</v>
      </c>
      <c r="H189" s="24" t="s">
        <v>1491</v>
      </c>
      <c r="I189" s="24" t="s">
        <v>1683</v>
      </c>
      <c r="J189" s="24" t="s">
        <v>1492</v>
      </c>
      <c r="K189" s="24" t="s">
        <v>867</v>
      </c>
      <c r="L189" s="24" t="s">
        <v>853</v>
      </c>
      <c r="M189" s="24" t="s">
        <v>962</v>
      </c>
      <c r="N189" s="24" t="s">
        <v>0</v>
      </c>
      <c r="O189" s="24" t="s">
        <v>1680</v>
      </c>
      <c r="P189" s="24" t="s">
        <v>848</v>
      </c>
      <c r="Q189" s="24" t="s">
        <v>848</v>
      </c>
      <c r="R189" s="24">
        <v>3</v>
      </c>
      <c r="S189" s="24" t="s">
        <v>1494</v>
      </c>
      <c r="T189" s="24" t="s">
        <v>962</v>
      </c>
      <c r="U189" s="24" t="s">
        <v>856</v>
      </c>
      <c r="V189" s="32" t="s">
        <v>857</v>
      </c>
      <c r="W189" s="14" t="b">
        <v>1</v>
      </c>
      <c r="X189" s="5" t="s">
        <v>409</v>
      </c>
      <c r="Y189" s="28"/>
      <c r="Z189" s="5" t="s">
        <v>858</v>
      </c>
      <c r="AA189" s="5" t="s">
        <v>858</v>
      </c>
      <c r="AB189" s="24" t="s">
        <v>413</v>
      </c>
      <c r="AC189" s="14"/>
      <c r="AD189" s="14"/>
      <c r="AE189" s="14">
        <v>1</v>
      </c>
      <c r="AF189" s="14"/>
      <c r="AG189" s="14"/>
      <c r="AH189" s="14"/>
      <c r="AI189" s="14"/>
      <c r="AJ189" s="14"/>
      <c r="AK189" s="14"/>
      <c r="AL189" s="14"/>
      <c r="AM189" s="14"/>
      <c r="AN189" s="14"/>
      <c r="AO189" s="14"/>
      <c r="AP189" s="14"/>
      <c r="AQ189" s="14"/>
      <c r="AR189" s="14"/>
      <c r="AS189" s="14"/>
      <c r="AT189" s="14"/>
      <c r="AU189" s="14"/>
      <c r="AV189" s="14"/>
      <c r="AW189" s="14"/>
      <c r="AX189" s="14"/>
    </row>
    <row r="190" spans="1:50" ht="15.75" customHeight="1">
      <c r="A190" s="24" t="s">
        <v>306</v>
      </c>
      <c r="B190" s="25" t="str">
        <f t="shared" si="4"/>
        <v>s24_hippo_050nm_</v>
      </c>
      <c r="C190" s="24" t="s">
        <v>1684</v>
      </c>
      <c r="D190" s="74" t="str">
        <f t="shared" si="5"/>
        <v>bossdb://lee2022/s24_hippo_050nm_/</v>
      </c>
      <c r="E190" s="24" t="s">
        <v>2</v>
      </c>
      <c r="F190" s="5" t="s">
        <v>1013</v>
      </c>
      <c r="G190" s="5" t="s">
        <v>865</v>
      </c>
      <c r="H190" s="24" t="s">
        <v>1491</v>
      </c>
      <c r="I190" s="24" t="s">
        <v>1684</v>
      </c>
      <c r="J190" s="24" t="s">
        <v>1492</v>
      </c>
      <c r="K190" s="24" t="s">
        <v>867</v>
      </c>
      <c r="L190" s="24" t="s">
        <v>853</v>
      </c>
      <c r="M190" s="24" t="s">
        <v>962</v>
      </c>
      <c r="N190" s="24" t="s">
        <v>0</v>
      </c>
      <c r="O190" s="24" t="s">
        <v>1681</v>
      </c>
      <c r="P190" s="24" t="s">
        <v>848</v>
      </c>
      <c r="Q190" s="24" t="s">
        <v>848</v>
      </c>
      <c r="R190" s="24">
        <v>3</v>
      </c>
      <c r="S190" s="24" t="s">
        <v>1494</v>
      </c>
      <c r="T190" s="24" t="s">
        <v>962</v>
      </c>
      <c r="U190" s="24" t="s">
        <v>856</v>
      </c>
      <c r="V190" s="32" t="s">
        <v>857</v>
      </c>
      <c r="W190" s="14" t="b">
        <v>1</v>
      </c>
      <c r="X190" s="5" t="s">
        <v>409</v>
      </c>
      <c r="Y190" s="28"/>
      <c r="Z190" s="5" t="s">
        <v>858</v>
      </c>
      <c r="AA190" s="5" t="s">
        <v>858</v>
      </c>
      <c r="AB190" s="24" t="s">
        <v>413</v>
      </c>
      <c r="AC190" s="14"/>
      <c r="AD190" s="14"/>
      <c r="AE190" s="14">
        <v>1</v>
      </c>
      <c r="AF190" s="14"/>
      <c r="AG190" s="14"/>
      <c r="AH190" s="14"/>
      <c r="AI190" s="14"/>
      <c r="AJ190" s="14"/>
      <c r="AK190" s="14"/>
      <c r="AL190" s="14"/>
      <c r="AM190" s="14"/>
      <c r="AN190" s="14"/>
      <c r="AO190" s="14"/>
      <c r="AP190" s="14"/>
      <c r="AQ190" s="14"/>
      <c r="AR190" s="14"/>
      <c r="AS190" s="14"/>
      <c r="AT190" s="14"/>
      <c r="AU190" s="14"/>
      <c r="AV190" s="14"/>
      <c r="AW190" s="14"/>
      <c r="AX190" s="14"/>
    </row>
    <row r="191" spans="1:50" ht="15.75" customHeight="1">
      <c r="A191" s="24" t="s">
        <v>308</v>
      </c>
      <c r="B191" s="25" t="str">
        <f t="shared" si="4"/>
        <v>s24_hippo_050nm_1_</v>
      </c>
      <c r="C191" s="24" t="s">
        <v>1685</v>
      </c>
      <c r="D191" s="74" t="str">
        <f t="shared" si="5"/>
        <v>bossdb://lee2022/s24_hippo_050nm_1_/</v>
      </c>
      <c r="E191" s="24" t="s">
        <v>2</v>
      </c>
      <c r="F191" s="5" t="s">
        <v>1013</v>
      </c>
      <c r="G191" s="5" t="s">
        <v>865</v>
      </c>
      <c r="H191" s="24" t="s">
        <v>1491</v>
      </c>
      <c r="I191" s="24" t="s">
        <v>1685</v>
      </c>
      <c r="J191" s="24" t="s">
        <v>1492</v>
      </c>
      <c r="K191" s="24" t="s">
        <v>867</v>
      </c>
      <c r="L191" s="24" t="s">
        <v>853</v>
      </c>
      <c r="M191" s="24" t="s">
        <v>962</v>
      </c>
      <c r="N191" s="24" t="s">
        <v>0</v>
      </c>
      <c r="O191" s="24" t="s">
        <v>1682</v>
      </c>
      <c r="P191" s="24" t="s">
        <v>848</v>
      </c>
      <c r="Q191" s="24" t="s">
        <v>848</v>
      </c>
      <c r="R191" s="24">
        <v>3</v>
      </c>
      <c r="S191" s="24" t="s">
        <v>1494</v>
      </c>
      <c r="T191" s="24" t="s">
        <v>962</v>
      </c>
      <c r="U191" s="24" t="s">
        <v>856</v>
      </c>
      <c r="V191" s="32" t="s">
        <v>857</v>
      </c>
      <c r="W191" s="14" t="b">
        <v>1</v>
      </c>
      <c r="X191" s="5" t="s">
        <v>409</v>
      </c>
      <c r="Y191" s="28"/>
      <c r="Z191" s="5" t="s">
        <v>858</v>
      </c>
      <c r="AA191" s="5" t="s">
        <v>858</v>
      </c>
      <c r="AB191" s="24" t="s">
        <v>413</v>
      </c>
      <c r="AC191" s="14"/>
      <c r="AD191" s="14"/>
      <c r="AE191" s="14">
        <v>1</v>
      </c>
      <c r="AF191" s="14"/>
      <c r="AG191" s="14"/>
      <c r="AH191" s="14"/>
      <c r="AI191" s="14"/>
      <c r="AJ191" s="14"/>
      <c r="AK191" s="14"/>
      <c r="AL191" s="14"/>
      <c r="AM191" s="14"/>
      <c r="AN191" s="14"/>
      <c r="AO191" s="14"/>
      <c r="AP191" s="14"/>
      <c r="AQ191" s="14"/>
      <c r="AR191" s="14"/>
      <c r="AS191" s="14"/>
      <c r="AT191" s="14"/>
      <c r="AU191" s="14"/>
      <c r="AV191" s="14"/>
      <c r="AW191" s="14"/>
      <c r="AX191" s="14"/>
    </row>
    <row r="192" spans="1:50" ht="15.75" customHeight="1">
      <c r="A192" s="24" t="s">
        <v>310</v>
      </c>
      <c r="B192" s="25" t="str">
        <f t="shared" si="4"/>
        <v>s24_hippo_050nm_2_</v>
      </c>
      <c r="C192" s="24" t="s">
        <v>1686</v>
      </c>
      <c r="D192" s="74" t="str">
        <f t="shared" si="5"/>
        <v>bossdb://lee2022/s24_hippo_050nm_2_/</v>
      </c>
      <c r="E192" s="24" t="s">
        <v>2</v>
      </c>
      <c r="F192" s="5" t="s">
        <v>1013</v>
      </c>
      <c r="G192" s="5" t="s">
        <v>865</v>
      </c>
      <c r="H192" s="24" t="s">
        <v>1491</v>
      </c>
      <c r="I192" s="24" t="s">
        <v>1686</v>
      </c>
      <c r="J192" s="24" t="s">
        <v>1492</v>
      </c>
      <c r="K192" s="24" t="s">
        <v>867</v>
      </c>
      <c r="L192" s="24" t="s">
        <v>853</v>
      </c>
      <c r="M192" s="24" t="s">
        <v>962</v>
      </c>
      <c r="N192" s="24" t="s">
        <v>0</v>
      </c>
      <c r="O192" s="24" t="s">
        <v>1683</v>
      </c>
      <c r="P192" s="24" t="s">
        <v>848</v>
      </c>
      <c r="Q192" s="24" t="s">
        <v>848</v>
      </c>
      <c r="R192" s="24">
        <v>3</v>
      </c>
      <c r="S192" s="24" t="s">
        <v>1494</v>
      </c>
      <c r="T192" s="24" t="s">
        <v>962</v>
      </c>
      <c r="U192" s="24" t="s">
        <v>856</v>
      </c>
      <c r="V192" s="32" t="s">
        <v>857</v>
      </c>
      <c r="W192" s="14" t="b">
        <v>1</v>
      </c>
      <c r="X192" s="5" t="s">
        <v>409</v>
      </c>
      <c r="Y192" s="28"/>
      <c r="Z192" s="5" t="s">
        <v>858</v>
      </c>
      <c r="AA192" s="5" t="s">
        <v>858</v>
      </c>
      <c r="AB192" s="24" t="s">
        <v>413</v>
      </c>
      <c r="AC192" s="14"/>
      <c r="AD192" s="14"/>
      <c r="AE192" s="14">
        <v>1</v>
      </c>
      <c r="AF192" s="14"/>
      <c r="AG192" s="14"/>
      <c r="AH192" s="14"/>
      <c r="AI192" s="14"/>
      <c r="AJ192" s="14"/>
      <c r="AK192" s="14"/>
      <c r="AL192" s="14"/>
      <c r="AM192" s="14"/>
      <c r="AN192" s="14"/>
      <c r="AO192" s="14"/>
      <c r="AP192" s="14"/>
      <c r="AQ192" s="14"/>
      <c r="AR192" s="14"/>
      <c r="AS192" s="14"/>
      <c r="AT192" s="14"/>
      <c r="AU192" s="14"/>
      <c r="AV192" s="14"/>
      <c r="AW192" s="14"/>
      <c r="AX192" s="14"/>
    </row>
    <row r="193" spans="1:50" ht="15.75" customHeight="1">
      <c r="A193" s="24" t="s">
        <v>312</v>
      </c>
      <c r="B193" s="25" t="str">
        <f t="shared" si="4"/>
        <v>s24_hippo_050nm_3_</v>
      </c>
      <c r="C193" s="24" t="s">
        <v>1687</v>
      </c>
      <c r="D193" s="74" t="str">
        <f t="shared" si="5"/>
        <v>bossdb://lee2022/s24_hippo_050nm_3_/</v>
      </c>
      <c r="E193" s="24" t="s">
        <v>2</v>
      </c>
      <c r="F193" s="5" t="s">
        <v>1013</v>
      </c>
      <c r="G193" s="5" t="s">
        <v>865</v>
      </c>
      <c r="H193" s="24" t="s">
        <v>1491</v>
      </c>
      <c r="I193" s="24" t="s">
        <v>1687</v>
      </c>
      <c r="J193" s="24" t="s">
        <v>1492</v>
      </c>
      <c r="K193" s="24" t="s">
        <v>867</v>
      </c>
      <c r="L193" s="24" t="s">
        <v>853</v>
      </c>
      <c r="M193" s="24" t="s">
        <v>962</v>
      </c>
      <c r="N193" s="24" t="s">
        <v>0</v>
      </c>
      <c r="O193" s="24" t="s">
        <v>1684</v>
      </c>
      <c r="P193" s="24" t="s">
        <v>848</v>
      </c>
      <c r="Q193" s="24" t="s">
        <v>848</v>
      </c>
      <c r="R193" s="24">
        <v>3</v>
      </c>
      <c r="S193" s="24" t="s">
        <v>1494</v>
      </c>
      <c r="T193" s="24" t="s">
        <v>962</v>
      </c>
      <c r="U193" s="24" t="s">
        <v>856</v>
      </c>
      <c r="V193" s="32" t="s">
        <v>857</v>
      </c>
      <c r="W193" s="14" t="b">
        <v>1</v>
      </c>
      <c r="X193" s="5" t="s">
        <v>409</v>
      </c>
      <c r="Y193" s="28"/>
      <c r="Z193" s="5" t="s">
        <v>858</v>
      </c>
      <c r="AA193" s="5" t="s">
        <v>858</v>
      </c>
      <c r="AB193" s="24" t="s">
        <v>413</v>
      </c>
      <c r="AC193" s="14"/>
      <c r="AD193" s="14"/>
      <c r="AE193" s="14">
        <v>1</v>
      </c>
      <c r="AF193" s="14"/>
      <c r="AG193" s="14"/>
      <c r="AH193" s="14"/>
      <c r="AI193" s="14"/>
      <c r="AJ193" s="14"/>
      <c r="AK193" s="14"/>
      <c r="AL193" s="14"/>
      <c r="AM193" s="14"/>
      <c r="AN193" s="14"/>
      <c r="AO193" s="14"/>
      <c r="AP193" s="14"/>
      <c r="AQ193" s="14"/>
      <c r="AR193" s="14"/>
      <c r="AS193" s="14"/>
      <c r="AT193" s="14"/>
      <c r="AU193" s="14"/>
      <c r="AV193" s="14"/>
      <c r="AW193" s="14"/>
      <c r="AX193" s="14"/>
    </row>
    <row r="194" spans="1:50" ht="15.75" customHeight="1">
      <c r="A194" s="24" t="s">
        <v>314</v>
      </c>
      <c r="B194" s="25" t="str">
        <f t="shared" ref="B194:B256" si="6">A194</f>
        <v>s24_hippo_050nm_4_</v>
      </c>
      <c r="C194" s="24" t="s">
        <v>1688</v>
      </c>
      <c r="D194" s="74" t="str">
        <f t="shared" ref="D194:D256" si="7">CONCATENATE("bossdb://lee2022/",A194,"/")</f>
        <v>bossdb://lee2022/s24_hippo_050nm_4_/</v>
      </c>
      <c r="E194" s="24" t="s">
        <v>2</v>
      </c>
      <c r="F194" s="5" t="s">
        <v>1013</v>
      </c>
      <c r="G194" s="5" t="s">
        <v>865</v>
      </c>
      <c r="H194" s="24" t="s">
        <v>1491</v>
      </c>
      <c r="I194" s="24" t="s">
        <v>1688</v>
      </c>
      <c r="J194" s="24" t="s">
        <v>1492</v>
      </c>
      <c r="K194" s="24" t="s">
        <v>867</v>
      </c>
      <c r="L194" s="24" t="s">
        <v>853</v>
      </c>
      <c r="M194" s="24" t="s">
        <v>962</v>
      </c>
      <c r="N194" s="24" t="s">
        <v>0</v>
      </c>
      <c r="O194" s="24" t="s">
        <v>1685</v>
      </c>
      <c r="P194" s="24" t="s">
        <v>848</v>
      </c>
      <c r="Q194" s="24" t="s">
        <v>848</v>
      </c>
      <c r="R194" s="24">
        <v>3</v>
      </c>
      <c r="S194" s="24" t="s">
        <v>1494</v>
      </c>
      <c r="T194" s="24" t="s">
        <v>962</v>
      </c>
      <c r="U194" s="24" t="s">
        <v>856</v>
      </c>
      <c r="V194" s="32" t="s">
        <v>857</v>
      </c>
      <c r="W194" s="14" t="b">
        <v>1</v>
      </c>
      <c r="X194" s="5" t="s">
        <v>409</v>
      </c>
      <c r="Y194" s="28"/>
      <c r="Z194" s="5" t="s">
        <v>858</v>
      </c>
      <c r="AA194" s="5" t="s">
        <v>858</v>
      </c>
      <c r="AB194" s="24" t="s">
        <v>413</v>
      </c>
      <c r="AC194" s="14"/>
      <c r="AD194" s="14"/>
      <c r="AE194" s="14">
        <v>1</v>
      </c>
      <c r="AF194" s="14"/>
      <c r="AG194" s="14"/>
      <c r="AH194" s="14"/>
      <c r="AI194" s="14"/>
      <c r="AJ194" s="14"/>
      <c r="AK194" s="14"/>
      <c r="AL194" s="14"/>
      <c r="AM194" s="14"/>
      <c r="AN194" s="14"/>
      <c r="AO194" s="14"/>
      <c r="AP194" s="14"/>
      <c r="AQ194" s="14"/>
      <c r="AR194" s="14"/>
      <c r="AS194" s="14"/>
      <c r="AT194" s="14"/>
      <c r="AU194" s="14"/>
      <c r="AV194" s="14"/>
      <c r="AW194" s="14"/>
      <c r="AX194" s="14"/>
    </row>
    <row r="195" spans="1:50" ht="15.75" customHeight="1">
      <c r="A195" s="24" t="s">
        <v>316</v>
      </c>
      <c r="B195" s="25" t="str">
        <f t="shared" si="6"/>
        <v>s24_hippo_halfDose_050nm_1_</v>
      </c>
      <c r="C195" s="24" t="s">
        <v>1689</v>
      </c>
      <c r="D195" s="74" t="str">
        <f t="shared" si="7"/>
        <v>bossdb://lee2022/s24_hippo_halfDose_050nm_1_/</v>
      </c>
      <c r="E195" s="24" t="s">
        <v>2</v>
      </c>
      <c r="F195" s="5" t="s">
        <v>1013</v>
      </c>
      <c r="G195" s="5" t="s">
        <v>865</v>
      </c>
      <c r="H195" s="24" t="s">
        <v>1491</v>
      </c>
      <c r="I195" s="24" t="s">
        <v>1689</v>
      </c>
      <c r="J195" s="24" t="s">
        <v>1492</v>
      </c>
      <c r="K195" s="24" t="s">
        <v>867</v>
      </c>
      <c r="L195" s="24" t="s">
        <v>853</v>
      </c>
      <c r="M195" s="24" t="s">
        <v>962</v>
      </c>
      <c r="N195" s="24" t="s">
        <v>0</v>
      </c>
      <c r="O195" s="24" t="s">
        <v>1686</v>
      </c>
      <c r="P195" s="24" t="s">
        <v>848</v>
      </c>
      <c r="Q195" s="24" t="s">
        <v>848</v>
      </c>
      <c r="R195" s="24">
        <v>3</v>
      </c>
      <c r="S195" s="24" t="s">
        <v>1494</v>
      </c>
      <c r="T195" s="24" t="s">
        <v>962</v>
      </c>
      <c r="U195" s="24" t="s">
        <v>856</v>
      </c>
      <c r="V195" s="32" t="s">
        <v>857</v>
      </c>
      <c r="W195" s="14" t="b">
        <v>1</v>
      </c>
      <c r="X195" s="5" t="s">
        <v>409</v>
      </c>
      <c r="Y195" s="28"/>
      <c r="Z195" s="5" t="s">
        <v>858</v>
      </c>
      <c r="AA195" s="5" t="s">
        <v>858</v>
      </c>
      <c r="AB195" s="24" t="s">
        <v>413</v>
      </c>
      <c r="AC195" s="14"/>
      <c r="AD195" s="14"/>
      <c r="AE195" s="14">
        <v>1</v>
      </c>
      <c r="AF195" s="14"/>
      <c r="AG195" s="14"/>
      <c r="AH195" s="14"/>
      <c r="AI195" s="14"/>
      <c r="AJ195" s="14"/>
      <c r="AK195" s="14"/>
      <c r="AL195" s="14"/>
      <c r="AM195" s="14"/>
      <c r="AN195" s="14"/>
      <c r="AO195" s="14"/>
      <c r="AP195" s="14"/>
      <c r="AQ195" s="14"/>
      <c r="AR195" s="14"/>
      <c r="AS195" s="14"/>
      <c r="AT195" s="14"/>
      <c r="AU195" s="14"/>
      <c r="AV195" s="14"/>
      <c r="AW195" s="14"/>
      <c r="AX195" s="14"/>
    </row>
    <row r="196" spans="1:50" ht="15.75" customHeight="1">
      <c r="A196" s="24" t="s">
        <v>318</v>
      </c>
      <c r="B196" s="25" t="str">
        <f t="shared" si="6"/>
        <v>s24_hippo_halfDosec_050nm_1_</v>
      </c>
      <c r="C196" s="24" t="s">
        <v>1690</v>
      </c>
      <c r="D196" s="74" t="str">
        <f t="shared" si="7"/>
        <v>bossdb://lee2022/s24_hippo_halfDosec_050nm_1_/</v>
      </c>
      <c r="E196" s="24" t="s">
        <v>2</v>
      </c>
      <c r="F196" s="5" t="s">
        <v>1013</v>
      </c>
      <c r="G196" s="5" t="s">
        <v>865</v>
      </c>
      <c r="H196" s="24" t="s">
        <v>1491</v>
      </c>
      <c r="I196" s="24" t="s">
        <v>1690</v>
      </c>
      <c r="J196" s="24" t="s">
        <v>1492</v>
      </c>
      <c r="K196" s="24" t="s">
        <v>867</v>
      </c>
      <c r="L196" s="24" t="s">
        <v>853</v>
      </c>
      <c r="M196" s="24" t="s">
        <v>962</v>
      </c>
      <c r="N196" s="24" t="s">
        <v>0</v>
      </c>
      <c r="O196" s="24" t="s">
        <v>1687</v>
      </c>
      <c r="P196" s="24" t="s">
        <v>848</v>
      </c>
      <c r="Q196" s="24" t="s">
        <v>848</v>
      </c>
      <c r="R196" s="24">
        <v>3</v>
      </c>
      <c r="S196" s="24" t="s">
        <v>1494</v>
      </c>
      <c r="T196" s="24" t="s">
        <v>962</v>
      </c>
      <c r="U196" s="24" t="s">
        <v>856</v>
      </c>
      <c r="V196" s="32" t="s">
        <v>857</v>
      </c>
      <c r="W196" s="14" t="b">
        <v>1</v>
      </c>
      <c r="X196" s="5" t="s">
        <v>409</v>
      </c>
      <c r="Y196" s="28"/>
      <c r="Z196" s="5" t="s">
        <v>858</v>
      </c>
      <c r="AA196" s="5" t="s">
        <v>858</v>
      </c>
      <c r="AB196" s="24" t="s">
        <v>413</v>
      </c>
      <c r="AC196" s="14"/>
      <c r="AD196" s="14"/>
      <c r="AE196" s="14">
        <v>1</v>
      </c>
      <c r="AF196" s="14"/>
      <c r="AG196" s="14"/>
      <c r="AH196" s="14"/>
      <c r="AI196" s="14"/>
      <c r="AJ196" s="14"/>
      <c r="AK196" s="14"/>
      <c r="AL196" s="14"/>
      <c r="AM196" s="14"/>
      <c r="AN196" s="14"/>
      <c r="AO196" s="14"/>
      <c r="AP196" s="14"/>
      <c r="AQ196" s="14"/>
      <c r="AR196" s="14"/>
      <c r="AS196" s="14"/>
      <c r="AT196" s="14"/>
      <c r="AU196" s="14"/>
      <c r="AV196" s="14"/>
      <c r="AW196" s="14"/>
      <c r="AX196" s="14"/>
    </row>
    <row r="197" spans="1:50" ht="15.75" customHeight="1">
      <c r="A197" s="24" t="s">
        <v>320</v>
      </c>
      <c r="B197" s="25" t="str">
        <f t="shared" si="6"/>
        <v>s24_hippo_halfDosed_050nm_</v>
      </c>
      <c r="C197" s="24" t="s">
        <v>1691</v>
      </c>
      <c r="D197" s="74" t="str">
        <f t="shared" si="7"/>
        <v>bossdb://lee2022/s24_hippo_halfDosed_050nm_/</v>
      </c>
      <c r="E197" s="24" t="s">
        <v>2</v>
      </c>
      <c r="F197" s="5" t="s">
        <v>1013</v>
      </c>
      <c r="G197" s="5" t="s">
        <v>865</v>
      </c>
      <c r="H197" s="24" t="s">
        <v>1491</v>
      </c>
      <c r="I197" s="24" t="s">
        <v>1691</v>
      </c>
      <c r="J197" s="24" t="s">
        <v>1492</v>
      </c>
      <c r="K197" s="24" t="s">
        <v>867</v>
      </c>
      <c r="L197" s="24" t="s">
        <v>853</v>
      </c>
      <c r="M197" s="24" t="s">
        <v>962</v>
      </c>
      <c r="N197" s="24" t="s">
        <v>0</v>
      </c>
      <c r="O197" s="24" t="s">
        <v>1688</v>
      </c>
      <c r="P197" s="24" t="s">
        <v>848</v>
      </c>
      <c r="Q197" s="24" t="s">
        <v>848</v>
      </c>
      <c r="R197" s="24">
        <v>3</v>
      </c>
      <c r="S197" s="24" t="s">
        <v>1494</v>
      </c>
      <c r="T197" s="24" t="s">
        <v>962</v>
      </c>
      <c r="U197" s="24" t="s">
        <v>856</v>
      </c>
      <c r="V197" s="32" t="s">
        <v>857</v>
      </c>
      <c r="W197" s="14" t="b">
        <v>1</v>
      </c>
      <c r="X197" s="5" t="s">
        <v>409</v>
      </c>
      <c r="Y197" s="28"/>
      <c r="Z197" s="5" t="s">
        <v>858</v>
      </c>
      <c r="AA197" s="5" t="s">
        <v>858</v>
      </c>
      <c r="AB197" s="24" t="s">
        <v>413</v>
      </c>
      <c r="AC197" s="14"/>
      <c r="AD197" s="14"/>
      <c r="AE197" s="14">
        <v>1</v>
      </c>
      <c r="AF197" s="14"/>
      <c r="AG197" s="14"/>
      <c r="AH197" s="14"/>
      <c r="AI197" s="14"/>
      <c r="AJ197" s="14"/>
      <c r="AK197" s="14"/>
      <c r="AL197" s="14"/>
      <c r="AM197" s="14"/>
      <c r="AN197" s="14"/>
      <c r="AO197" s="14"/>
      <c r="AP197" s="14"/>
      <c r="AQ197" s="14"/>
      <c r="AR197" s="14"/>
      <c r="AS197" s="14"/>
      <c r="AT197" s="14"/>
      <c r="AU197" s="14"/>
      <c r="AV197" s="14"/>
      <c r="AW197" s="14"/>
      <c r="AX197" s="14"/>
    </row>
    <row r="198" spans="1:50" ht="15.75" customHeight="1">
      <c r="A198" s="24" t="s">
        <v>322</v>
      </c>
      <c r="B198" s="25" t="str">
        <f t="shared" si="6"/>
        <v>s24_hippo_halfDosed_050nm_1_</v>
      </c>
      <c r="C198" s="24" t="s">
        <v>1692</v>
      </c>
      <c r="D198" s="74" t="str">
        <f t="shared" si="7"/>
        <v>bossdb://lee2022/s24_hippo_halfDosed_050nm_1_/</v>
      </c>
      <c r="E198" s="24" t="s">
        <v>2</v>
      </c>
      <c r="F198" s="5" t="s">
        <v>1013</v>
      </c>
      <c r="G198" s="5" t="s">
        <v>865</v>
      </c>
      <c r="H198" s="24" t="s">
        <v>1491</v>
      </c>
      <c r="I198" s="24" t="s">
        <v>1692</v>
      </c>
      <c r="J198" s="24" t="s">
        <v>1492</v>
      </c>
      <c r="K198" s="24" t="s">
        <v>867</v>
      </c>
      <c r="L198" s="24" t="s">
        <v>853</v>
      </c>
      <c r="M198" s="24" t="s">
        <v>962</v>
      </c>
      <c r="N198" s="24" t="s">
        <v>0</v>
      </c>
      <c r="O198" s="24" t="s">
        <v>1689</v>
      </c>
      <c r="P198" s="24" t="s">
        <v>848</v>
      </c>
      <c r="Q198" s="24" t="s">
        <v>848</v>
      </c>
      <c r="R198" s="24">
        <v>3</v>
      </c>
      <c r="S198" s="24" t="s">
        <v>1494</v>
      </c>
      <c r="T198" s="24" t="s">
        <v>962</v>
      </c>
      <c r="U198" s="24" t="s">
        <v>856</v>
      </c>
      <c r="V198" s="32" t="s">
        <v>857</v>
      </c>
      <c r="W198" s="14" t="b">
        <v>1</v>
      </c>
      <c r="X198" s="5" t="s">
        <v>409</v>
      </c>
      <c r="Y198" s="28"/>
      <c r="Z198" s="5" t="s">
        <v>858</v>
      </c>
      <c r="AA198" s="5" t="s">
        <v>858</v>
      </c>
      <c r="AB198" s="24" t="s">
        <v>413</v>
      </c>
      <c r="AC198" s="14"/>
      <c r="AD198" s="14"/>
      <c r="AE198" s="14">
        <v>1</v>
      </c>
      <c r="AF198" s="14"/>
      <c r="AG198" s="14"/>
      <c r="AH198" s="14"/>
      <c r="AI198" s="14"/>
      <c r="AJ198" s="14"/>
      <c r="AK198" s="14"/>
      <c r="AL198" s="14"/>
      <c r="AM198" s="14"/>
      <c r="AN198" s="14"/>
      <c r="AO198" s="14"/>
      <c r="AP198" s="14"/>
      <c r="AQ198" s="14"/>
      <c r="AR198" s="14"/>
      <c r="AS198" s="14"/>
      <c r="AT198" s="14"/>
      <c r="AU198" s="14"/>
      <c r="AV198" s="14"/>
      <c r="AW198" s="14"/>
      <c r="AX198" s="14"/>
    </row>
    <row r="199" spans="1:50" ht="15.75" customHeight="1">
      <c r="A199" s="24" t="s">
        <v>324</v>
      </c>
      <c r="B199" s="25" t="str">
        <f t="shared" si="6"/>
        <v>s24_hippo_halfDosed_050nm_2_</v>
      </c>
      <c r="C199" s="24" t="s">
        <v>1693</v>
      </c>
      <c r="D199" s="74" t="str">
        <f t="shared" si="7"/>
        <v>bossdb://lee2022/s24_hippo_halfDosed_050nm_2_/</v>
      </c>
      <c r="E199" s="24" t="s">
        <v>2</v>
      </c>
      <c r="F199" s="5" t="s">
        <v>1013</v>
      </c>
      <c r="G199" s="5" t="s">
        <v>865</v>
      </c>
      <c r="H199" s="24" t="s">
        <v>1491</v>
      </c>
      <c r="I199" s="24" t="s">
        <v>1693</v>
      </c>
      <c r="J199" s="24" t="s">
        <v>1492</v>
      </c>
      <c r="K199" s="24" t="s">
        <v>867</v>
      </c>
      <c r="L199" s="24" t="s">
        <v>853</v>
      </c>
      <c r="M199" s="24" t="s">
        <v>962</v>
      </c>
      <c r="N199" s="24" t="s">
        <v>0</v>
      </c>
      <c r="O199" s="24" t="s">
        <v>1690</v>
      </c>
      <c r="P199" s="24" t="s">
        <v>848</v>
      </c>
      <c r="Q199" s="24" t="s">
        <v>848</v>
      </c>
      <c r="R199" s="24">
        <v>3</v>
      </c>
      <c r="S199" s="24" t="s">
        <v>1494</v>
      </c>
      <c r="T199" s="24" t="s">
        <v>962</v>
      </c>
      <c r="U199" s="24" t="s">
        <v>856</v>
      </c>
      <c r="V199" s="32" t="s">
        <v>857</v>
      </c>
      <c r="W199" s="14" t="b">
        <v>1</v>
      </c>
      <c r="X199" s="5" t="s">
        <v>409</v>
      </c>
      <c r="Y199" s="28"/>
      <c r="Z199" s="5" t="s">
        <v>858</v>
      </c>
      <c r="AA199" s="5" t="s">
        <v>858</v>
      </c>
      <c r="AB199" s="24" t="s">
        <v>413</v>
      </c>
      <c r="AC199" s="14"/>
      <c r="AD199" s="14"/>
      <c r="AE199" s="14">
        <v>1</v>
      </c>
      <c r="AF199" s="14"/>
      <c r="AG199" s="14"/>
      <c r="AH199" s="14"/>
      <c r="AI199" s="14"/>
      <c r="AJ199" s="14"/>
      <c r="AK199" s="14"/>
      <c r="AL199" s="14"/>
      <c r="AM199" s="14"/>
      <c r="AN199" s="14"/>
      <c r="AO199" s="14"/>
      <c r="AP199" s="14"/>
      <c r="AQ199" s="14"/>
      <c r="AR199" s="14"/>
      <c r="AS199" s="14"/>
      <c r="AT199" s="14"/>
      <c r="AU199" s="14"/>
      <c r="AV199" s="14"/>
      <c r="AW199" s="14"/>
      <c r="AX199" s="14"/>
    </row>
    <row r="200" spans="1:50" ht="15.75" customHeight="1">
      <c r="A200" s="24" t="s">
        <v>326</v>
      </c>
      <c r="B200" s="25" t="str">
        <f t="shared" si="6"/>
        <v>s24_hippo_halfDosed_050nm_3_</v>
      </c>
      <c r="C200" s="24" t="s">
        <v>1694</v>
      </c>
      <c r="D200" s="74" t="str">
        <f t="shared" si="7"/>
        <v>bossdb://lee2022/s24_hippo_halfDosed_050nm_3_/</v>
      </c>
      <c r="E200" s="24" t="s">
        <v>2</v>
      </c>
      <c r="F200" s="5" t="s">
        <v>1013</v>
      </c>
      <c r="G200" s="5" t="s">
        <v>865</v>
      </c>
      <c r="H200" s="24" t="s">
        <v>1491</v>
      </c>
      <c r="I200" s="24" t="s">
        <v>1694</v>
      </c>
      <c r="J200" s="24" t="s">
        <v>1492</v>
      </c>
      <c r="K200" s="24" t="s">
        <v>867</v>
      </c>
      <c r="L200" s="24" t="s">
        <v>853</v>
      </c>
      <c r="M200" s="24" t="s">
        <v>962</v>
      </c>
      <c r="N200" s="24" t="s">
        <v>0</v>
      </c>
      <c r="O200" s="24" t="s">
        <v>1691</v>
      </c>
      <c r="P200" s="24" t="s">
        <v>848</v>
      </c>
      <c r="Q200" s="24" t="s">
        <v>848</v>
      </c>
      <c r="R200" s="24">
        <v>3</v>
      </c>
      <c r="S200" s="24" t="s">
        <v>1494</v>
      </c>
      <c r="T200" s="24" t="s">
        <v>962</v>
      </c>
      <c r="U200" s="24" t="s">
        <v>856</v>
      </c>
      <c r="V200" s="32" t="s">
        <v>857</v>
      </c>
      <c r="W200" s="14" t="b">
        <v>1</v>
      </c>
      <c r="X200" s="5" t="s">
        <v>409</v>
      </c>
      <c r="Y200" s="28"/>
      <c r="Z200" s="5" t="s">
        <v>858</v>
      </c>
      <c r="AA200" s="5" t="s">
        <v>858</v>
      </c>
      <c r="AB200" s="24" t="s">
        <v>413</v>
      </c>
      <c r="AC200" s="14"/>
      <c r="AD200" s="14"/>
      <c r="AE200" s="14">
        <v>1</v>
      </c>
      <c r="AF200" s="14"/>
      <c r="AG200" s="14"/>
      <c r="AH200" s="14"/>
      <c r="AI200" s="14"/>
      <c r="AJ200" s="14"/>
      <c r="AK200" s="14"/>
      <c r="AL200" s="14"/>
      <c r="AM200" s="14"/>
      <c r="AN200" s="14"/>
      <c r="AO200" s="14"/>
      <c r="AP200" s="14"/>
      <c r="AQ200" s="14"/>
      <c r="AR200" s="14"/>
      <c r="AS200" s="14"/>
      <c r="AT200" s="14"/>
      <c r="AU200" s="14"/>
      <c r="AV200" s="14"/>
      <c r="AW200" s="14"/>
      <c r="AX200" s="14"/>
    </row>
    <row r="201" spans="1:50" ht="15.75" customHeight="1">
      <c r="A201" s="24" t="s">
        <v>328</v>
      </c>
      <c r="B201" s="25" t="str">
        <f t="shared" si="6"/>
        <v>s24_hippo_halfDosed_050nm_4_</v>
      </c>
      <c r="C201" s="24" t="s">
        <v>1695</v>
      </c>
      <c r="D201" s="74" t="str">
        <f t="shared" si="7"/>
        <v>bossdb://lee2022/s24_hippo_halfDosed_050nm_4_/</v>
      </c>
      <c r="E201" s="24" t="s">
        <v>2</v>
      </c>
      <c r="F201" s="5" t="s">
        <v>1013</v>
      </c>
      <c r="G201" s="5" t="s">
        <v>865</v>
      </c>
      <c r="H201" s="24" t="s">
        <v>1491</v>
      </c>
      <c r="I201" s="24" t="s">
        <v>1695</v>
      </c>
      <c r="J201" s="24" t="s">
        <v>1492</v>
      </c>
      <c r="K201" s="24" t="s">
        <v>867</v>
      </c>
      <c r="L201" s="24" t="s">
        <v>853</v>
      </c>
      <c r="M201" s="24" t="s">
        <v>962</v>
      </c>
      <c r="N201" s="24" t="s">
        <v>0</v>
      </c>
      <c r="O201" s="24" t="s">
        <v>1692</v>
      </c>
      <c r="P201" s="24" t="s">
        <v>848</v>
      </c>
      <c r="Q201" s="24" t="s">
        <v>848</v>
      </c>
      <c r="R201" s="24">
        <v>3</v>
      </c>
      <c r="S201" s="24" t="s">
        <v>1494</v>
      </c>
      <c r="T201" s="24" t="s">
        <v>962</v>
      </c>
      <c r="U201" s="24" t="s">
        <v>856</v>
      </c>
      <c r="V201" s="32" t="s">
        <v>857</v>
      </c>
      <c r="W201" s="14" t="b">
        <v>1</v>
      </c>
      <c r="X201" s="5" t="s">
        <v>409</v>
      </c>
      <c r="Y201" s="28"/>
      <c r="Z201" s="5" t="s">
        <v>858</v>
      </c>
      <c r="AA201" s="5" t="s">
        <v>858</v>
      </c>
      <c r="AB201" s="24" t="s">
        <v>413</v>
      </c>
      <c r="AC201" s="14"/>
      <c r="AD201" s="14"/>
      <c r="AE201" s="14">
        <v>1</v>
      </c>
      <c r="AF201" s="14"/>
      <c r="AG201" s="14"/>
      <c r="AH201" s="14"/>
      <c r="AI201" s="14"/>
      <c r="AJ201" s="14"/>
      <c r="AK201" s="14"/>
      <c r="AL201" s="14"/>
      <c r="AM201" s="14"/>
      <c r="AN201" s="14"/>
      <c r="AO201" s="14"/>
      <c r="AP201" s="14"/>
      <c r="AQ201" s="14"/>
      <c r="AR201" s="14"/>
      <c r="AS201" s="14"/>
      <c r="AT201" s="14"/>
      <c r="AU201" s="14"/>
      <c r="AV201" s="14"/>
      <c r="AW201" s="14"/>
      <c r="AX201" s="14"/>
    </row>
    <row r="202" spans="1:50" ht="15.75" customHeight="1">
      <c r="A202" s="24" t="s">
        <v>330</v>
      </c>
      <c r="B202" s="25" t="str">
        <f t="shared" si="6"/>
        <v>s24_top_hd_030nm_</v>
      </c>
      <c r="C202" s="24" t="s">
        <v>1696</v>
      </c>
      <c r="D202" s="74" t="str">
        <f t="shared" si="7"/>
        <v>bossdb://lee2022/s24_top_hd_030nm_/</v>
      </c>
      <c r="E202" s="24" t="s">
        <v>2</v>
      </c>
      <c r="F202" s="5" t="s">
        <v>1013</v>
      </c>
      <c r="G202" s="5" t="s">
        <v>865</v>
      </c>
      <c r="H202" s="24" t="s">
        <v>1491</v>
      </c>
      <c r="I202" s="24" t="s">
        <v>1696</v>
      </c>
      <c r="J202" s="24" t="s">
        <v>1492</v>
      </c>
      <c r="K202" s="24" t="s">
        <v>867</v>
      </c>
      <c r="L202" s="24" t="s">
        <v>853</v>
      </c>
      <c r="M202" s="24" t="s">
        <v>962</v>
      </c>
      <c r="N202" s="24" t="s">
        <v>0</v>
      </c>
      <c r="O202" s="24" t="s">
        <v>1693</v>
      </c>
      <c r="P202" s="24" t="s">
        <v>848</v>
      </c>
      <c r="Q202" s="24" t="s">
        <v>848</v>
      </c>
      <c r="R202" s="24">
        <v>3</v>
      </c>
      <c r="S202" s="24" t="s">
        <v>1494</v>
      </c>
      <c r="T202" s="24" t="s">
        <v>962</v>
      </c>
      <c r="U202" s="24" t="s">
        <v>856</v>
      </c>
      <c r="V202" s="32" t="s">
        <v>857</v>
      </c>
      <c r="W202" s="14" t="b">
        <v>1</v>
      </c>
      <c r="X202" s="5" t="s">
        <v>409</v>
      </c>
      <c r="Y202" s="28"/>
      <c r="Z202" s="5" t="s">
        <v>858</v>
      </c>
      <c r="AA202" s="5" t="s">
        <v>858</v>
      </c>
      <c r="AB202" s="24" t="s">
        <v>413</v>
      </c>
      <c r="AC202" s="14"/>
      <c r="AD202" s="14"/>
      <c r="AE202" s="14">
        <v>1</v>
      </c>
      <c r="AF202" s="14"/>
      <c r="AG202" s="14"/>
      <c r="AH202" s="14"/>
      <c r="AI202" s="14"/>
      <c r="AJ202" s="14"/>
      <c r="AK202" s="14"/>
      <c r="AL202" s="14"/>
      <c r="AM202" s="14"/>
      <c r="AN202" s="14"/>
      <c r="AO202" s="14"/>
      <c r="AP202" s="14"/>
      <c r="AQ202" s="14"/>
      <c r="AR202" s="14"/>
      <c r="AS202" s="14"/>
      <c r="AT202" s="14"/>
      <c r="AU202" s="14"/>
      <c r="AV202" s="14"/>
      <c r="AW202" s="14"/>
      <c r="AX202" s="14"/>
    </row>
    <row r="203" spans="1:50" ht="15.75" customHeight="1">
      <c r="A203" s="24" t="s">
        <v>332</v>
      </c>
      <c r="B203" s="25" t="str">
        <f t="shared" si="6"/>
        <v>s24_top_hd_030nm_1_</v>
      </c>
      <c r="C203" s="24" t="s">
        <v>1697</v>
      </c>
      <c r="D203" s="74" t="str">
        <f t="shared" si="7"/>
        <v>bossdb://lee2022/s24_top_hd_030nm_1_/</v>
      </c>
      <c r="E203" s="24" t="s">
        <v>2</v>
      </c>
      <c r="F203" s="5" t="s">
        <v>1013</v>
      </c>
      <c r="G203" s="5" t="s">
        <v>865</v>
      </c>
      <c r="H203" s="24" t="s">
        <v>1491</v>
      </c>
      <c r="I203" s="24" t="s">
        <v>1697</v>
      </c>
      <c r="J203" s="24" t="s">
        <v>1492</v>
      </c>
      <c r="K203" s="24" t="s">
        <v>867</v>
      </c>
      <c r="L203" s="24" t="s">
        <v>853</v>
      </c>
      <c r="M203" s="24" t="s">
        <v>962</v>
      </c>
      <c r="N203" s="24" t="s">
        <v>0</v>
      </c>
      <c r="O203" s="24" t="s">
        <v>1694</v>
      </c>
      <c r="P203" s="24" t="s">
        <v>848</v>
      </c>
      <c r="Q203" s="24" t="s">
        <v>848</v>
      </c>
      <c r="R203" s="24">
        <v>3</v>
      </c>
      <c r="S203" s="24" t="s">
        <v>1494</v>
      </c>
      <c r="T203" s="24" t="s">
        <v>962</v>
      </c>
      <c r="U203" s="24" t="s">
        <v>856</v>
      </c>
      <c r="V203" s="32" t="s">
        <v>857</v>
      </c>
      <c r="W203" s="14" t="b">
        <v>1</v>
      </c>
      <c r="X203" s="5" t="s">
        <v>409</v>
      </c>
      <c r="Y203" s="28"/>
      <c r="Z203" s="5" t="s">
        <v>858</v>
      </c>
      <c r="AA203" s="5" t="s">
        <v>858</v>
      </c>
      <c r="AB203" s="24" t="s">
        <v>413</v>
      </c>
      <c r="AC203" s="14"/>
      <c r="AD203" s="14"/>
      <c r="AE203" s="14">
        <v>1</v>
      </c>
      <c r="AF203" s="14"/>
      <c r="AG203" s="14"/>
      <c r="AH203" s="14"/>
      <c r="AI203" s="14"/>
      <c r="AJ203" s="14"/>
      <c r="AK203" s="14"/>
      <c r="AL203" s="14"/>
      <c r="AM203" s="14"/>
      <c r="AN203" s="14"/>
      <c r="AO203" s="14"/>
      <c r="AP203" s="14"/>
      <c r="AQ203" s="14"/>
      <c r="AR203" s="14"/>
      <c r="AS203" s="14"/>
      <c r="AT203" s="14"/>
      <c r="AU203" s="14"/>
      <c r="AV203" s="14"/>
      <c r="AW203" s="14"/>
      <c r="AX203" s="14"/>
    </row>
    <row r="204" spans="1:50" ht="15.75" customHeight="1">
      <c r="A204" s="24" t="s">
        <v>334</v>
      </c>
      <c r="B204" s="25" t="str">
        <f t="shared" si="6"/>
        <v>s24_top_hd_030nm_2_</v>
      </c>
      <c r="C204" s="24" t="s">
        <v>1698</v>
      </c>
      <c r="D204" s="74" t="str">
        <f t="shared" si="7"/>
        <v>bossdb://lee2022/s24_top_hd_030nm_2_/</v>
      </c>
      <c r="E204" s="24" t="s">
        <v>2</v>
      </c>
      <c r="F204" s="5" t="s">
        <v>1013</v>
      </c>
      <c r="G204" s="5" t="s">
        <v>865</v>
      </c>
      <c r="H204" s="24" t="s">
        <v>1491</v>
      </c>
      <c r="I204" s="24" t="s">
        <v>1698</v>
      </c>
      <c r="J204" s="24" t="s">
        <v>1492</v>
      </c>
      <c r="K204" s="24" t="s">
        <v>867</v>
      </c>
      <c r="L204" s="24" t="s">
        <v>853</v>
      </c>
      <c r="M204" s="24" t="s">
        <v>962</v>
      </c>
      <c r="N204" s="24" t="s">
        <v>0</v>
      </c>
      <c r="O204" s="24" t="s">
        <v>1695</v>
      </c>
      <c r="P204" s="24" t="s">
        <v>848</v>
      </c>
      <c r="Q204" s="24" t="s">
        <v>848</v>
      </c>
      <c r="R204" s="24">
        <v>3</v>
      </c>
      <c r="S204" s="24" t="s">
        <v>1494</v>
      </c>
      <c r="T204" s="24" t="s">
        <v>962</v>
      </c>
      <c r="U204" s="24" t="s">
        <v>856</v>
      </c>
      <c r="V204" s="32" t="s">
        <v>857</v>
      </c>
      <c r="W204" s="14" t="b">
        <v>1</v>
      </c>
      <c r="X204" s="5" t="s">
        <v>409</v>
      </c>
      <c r="Y204" s="28"/>
      <c r="Z204" s="5" t="s">
        <v>858</v>
      </c>
      <c r="AA204" s="5" t="s">
        <v>858</v>
      </c>
      <c r="AB204" s="24" t="s">
        <v>413</v>
      </c>
      <c r="AC204" s="14"/>
      <c r="AD204" s="14"/>
      <c r="AE204" s="14">
        <v>1</v>
      </c>
      <c r="AF204" s="14"/>
      <c r="AG204" s="14"/>
      <c r="AH204" s="14"/>
      <c r="AI204" s="14"/>
      <c r="AJ204" s="14"/>
      <c r="AK204" s="14"/>
      <c r="AL204" s="14"/>
      <c r="AM204" s="14"/>
      <c r="AN204" s="14"/>
      <c r="AO204" s="14"/>
      <c r="AP204" s="14"/>
      <c r="AQ204" s="14"/>
      <c r="AR204" s="14"/>
      <c r="AS204" s="14"/>
      <c r="AT204" s="14"/>
      <c r="AU204" s="14"/>
      <c r="AV204" s="14"/>
      <c r="AW204" s="14"/>
      <c r="AX204" s="14"/>
    </row>
    <row r="205" spans="1:50" ht="15.75" customHeight="1">
      <c r="A205" s="24" t="s">
        <v>336</v>
      </c>
      <c r="B205" s="25" t="str">
        <f t="shared" si="6"/>
        <v>s24_top_hd_030nm_3_</v>
      </c>
      <c r="C205" s="24" t="s">
        <v>1699</v>
      </c>
      <c r="D205" s="74" t="str">
        <f t="shared" si="7"/>
        <v>bossdb://lee2022/s24_top_hd_030nm_3_/</v>
      </c>
      <c r="E205" s="24" t="s">
        <v>2</v>
      </c>
      <c r="F205" s="5" t="s">
        <v>1013</v>
      </c>
      <c r="G205" s="5" t="s">
        <v>865</v>
      </c>
      <c r="H205" s="24" t="s">
        <v>1491</v>
      </c>
      <c r="I205" s="24" t="s">
        <v>1699</v>
      </c>
      <c r="J205" s="24" t="s">
        <v>1492</v>
      </c>
      <c r="K205" s="24" t="s">
        <v>867</v>
      </c>
      <c r="L205" s="24" t="s">
        <v>853</v>
      </c>
      <c r="M205" s="24" t="s">
        <v>962</v>
      </c>
      <c r="N205" s="24" t="s">
        <v>0</v>
      </c>
      <c r="O205" s="24" t="s">
        <v>1696</v>
      </c>
      <c r="P205" s="24" t="s">
        <v>848</v>
      </c>
      <c r="Q205" s="24" t="s">
        <v>848</v>
      </c>
      <c r="R205" s="24">
        <v>3</v>
      </c>
      <c r="S205" s="24" t="s">
        <v>1494</v>
      </c>
      <c r="T205" s="24" t="s">
        <v>962</v>
      </c>
      <c r="U205" s="24" t="s">
        <v>856</v>
      </c>
      <c r="V205" s="32" t="s">
        <v>857</v>
      </c>
      <c r="W205" s="14" t="b">
        <v>1</v>
      </c>
      <c r="X205" s="5" t="s">
        <v>409</v>
      </c>
      <c r="Y205" s="28"/>
      <c r="Z205" s="5" t="s">
        <v>858</v>
      </c>
      <c r="AA205" s="5" t="s">
        <v>858</v>
      </c>
      <c r="AB205" s="24" t="s">
        <v>413</v>
      </c>
      <c r="AC205" s="14"/>
      <c r="AD205" s="14"/>
      <c r="AE205" s="14">
        <v>1</v>
      </c>
      <c r="AF205" s="14"/>
      <c r="AG205" s="14"/>
      <c r="AH205" s="14"/>
      <c r="AI205" s="14"/>
      <c r="AJ205" s="14"/>
      <c r="AK205" s="14"/>
      <c r="AL205" s="14"/>
      <c r="AM205" s="14"/>
      <c r="AN205" s="14"/>
      <c r="AO205" s="14"/>
      <c r="AP205" s="14"/>
      <c r="AQ205" s="14"/>
      <c r="AR205" s="14"/>
      <c r="AS205" s="14"/>
      <c r="AT205" s="14"/>
      <c r="AU205" s="14"/>
      <c r="AV205" s="14"/>
      <c r="AW205" s="14"/>
      <c r="AX205" s="14"/>
    </row>
    <row r="206" spans="1:50" ht="15.75" customHeight="1">
      <c r="A206" s="24" t="s">
        <v>338</v>
      </c>
      <c r="B206" s="25" t="str">
        <f t="shared" si="6"/>
        <v>s24_top_hd_030nm_4_</v>
      </c>
      <c r="C206" s="24" t="s">
        <v>1700</v>
      </c>
      <c r="D206" s="74" t="str">
        <f t="shared" si="7"/>
        <v>bossdb://lee2022/s24_top_hd_030nm_4_/</v>
      </c>
      <c r="E206" s="24" t="s">
        <v>2</v>
      </c>
      <c r="F206" s="5" t="s">
        <v>1013</v>
      </c>
      <c r="G206" s="5" t="s">
        <v>865</v>
      </c>
      <c r="H206" s="24" t="s">
        <v>1491</v>
      </c>
      <c r="I206" s="24" t="s">
        <v>1700</v>
      </c>
      <c r="J206" s="24" t="s">
        <v>1492</v>
      </c>
      <c r="K206" s="24" t="s">
        <v>867</v>
      </c>
      <c r="L206" s="24" t="s">
        <v>853</v>
      </c>
      <c r="M206" s="24" t="s">
        <v>962</v>
      </c>
      <c r="N206" s="24" t="s">
        <v>0</v>
      </c>
      <c r="O206" s="24" t="s">
        <v>1697</v>
      </c>
      <c r="P206" s="24" t="s">
        <v>848</v>
      </c>
      <c r="Q206" s="24" t="s">
        <v>848</v>
      </c>
      <c r="R206" s="24">
        <v>3</v>
      </c>
      <c r="S206" s="24" t="s">
        <v>1494</v>
      </c>
      <c r="T206" s="24" t="s">
        <v>962</v>
      </c>
      <c r="U206" s="24" t="s">
        <v>856</v>
      </c>
      <c r="V206" s="32" t="s">
        <v>857</v>
      </c>
      <c r="W206" s="14" t="b">
        <v>1</v>
      </c>
      <c r="X206" s="5" t="s">
        <v>409</v>
      </c>
      <c r="Y206" s="28"/>
      <c r="Z206" s="5" t="s">
        <v>858</v>
      </c>
      <c r="AA206" s="5" t="s">
        <v>858</v>
      </c>
      <c r="AB206" s="24" t="s">
        <v>413</v>
      </c>
      <c r="AC206" s="14"/>
      <c r="AD206" s="14"/>
      <c r="AE206" s="14">
        <v>1</v>
      </c>
      <c r="AF206" s="14"/>
      <c r="AG206" s="14"/>
      <c r="AH206" s="14"/>
      <c r="AI206" s="14"/>
      <c r="AJ206" s="14"/>
      <c r="AK206" s="14"/>
      <c r="AL206" s="14"/>
      <c r="AM206" s="14"/>
      <c r="AN206" s="14"/>
      <c r="AO206" s="14"/>
      <c r="AP206" s="14"/>
      <c r="AQ206" s="14"/>
      <c r="AR206" s="14"/>
      <c r="AS206" s="14"/>
      <c r="AT206" s="14"/>
      <c r="AU206" s="14"/>
      <c r="AV206" s="14"/>
      <c r="AW206" s="14"/>
      <c r="AX206" s="14"/>
    </row>
    <row r="207" spans="1:50" ht="15.75" customHeight="1">
      <c r="A207" s="24" t="s">
        <v>340</v>
      </c>
      <c r="B207" s="25" t="str">
        <f t="shared" si="6"/>
        <v>s24_top_md1_030nm_</v>
      </c>
      <c r="C207" s="24" t="s">
        <v>1701</v>
      </c>
      <c r="D207" s="74" t="str">
        <f t="shared" si="7"/>
        <v>bossdb://lee2022/s24_top_md1_030nm_/</v>
      </c>
      <c r="E207" s="24" t="s">
        <v>2</v>
      </c>
      <c r="F207" s="5" t="s">
        <v>1013</v>
      </c>
      <c r="G207" s="5" t="s">
        <v>865</v>
      </c>
      <c r="H207" s="24" t="s">
        <v>1491</v>
      </c>
      <c r="I207" s="24" t="s">
        <v>1701</v>
      </c>
      <c r="J207" s="24" t="s">
        <v>1492</v>
      </c>
      <c r="K207" s="24" t="s">
        <v>867</v>
      </c>
      <c r="L207" s="24" t="s">
        <v>853</v>
      </c>
      <c r="M207" s="24" t="s">
        <v>962</v>
      </c>
      <c r="N207" s="24" t="s">
        <v>0</v>
      </c>
      <c r="O207" s="24" t="s">
        <v>1698</v>
      </c>
      <c r="P207" s="24" t="s">
        <v>848</v>
      </c>
      <c r="Q207" s="24" t="s">
        <v>848</v>
      </c>
      <c r="R207" s="24">
        <v>3</v>
      </c>
      <c r="S207" s="24" t="s">
        <v>1494</v>
      </c>
      <c r="T207" s="24" t="s">
        <v>962</v>
      </c>
      <c r="U207" s="24" t="s">
        <v>856</v>
      </c>
      <c r="V207" s="32" t="s">
        <v>857</v>
      </c>
      <c r="W207" s="14" t="b">
        <v>1</v>
      </c>
      <c r="X207" s="5" t="s">
        <v>409</v>
      </c>
      <c r="Y207" s="28"/>
      <c r="Z207" s="5" t="s">
        <v>858</v>
      </c>
      <c r="AA207" s="5" t="s">
        <v>858</v>
      </c>
      <c r="AB207" s="24" t="s">
        <v>413</v>
      </c>
      <c r="AC207" s="14"/>
      <c r="AD207" s="14"/>
      <c r="AE207" s="14">
        <v>1</v>
      </c>
      <c r="AF207" s="14"/>
      <c r="AG207" s="14"/>
      <c r="AH207" s="14"/>
      <c r="AI207" s="14"/>
      <c r="AJ207" s="14"/>
      <c r="AK207" s="14"/>
      <c r="AL207" s="14"/>
      <c r="AM207" s="14"/>
      <c r="AN207" s="14"/>
      <c r="AO207" s="14"/>
      <c r="AP207" s="14"/>
      <c r="AQ207" s="14"/>
      <c r="AR207" s="14"/>
      <c r="AS207" s="14"/>
      <c r="AT207" s="14"/>
      <c r="AU207" s="14"/>
      <c r="AV207" s="14"/>
      <c r="AW207" s="14"/>
      <c r="AX207" s="14"/>
    </row>
    <row r="208" spans="1:50" ht="15.75" customHeight="1">
      <c r="A208" s="24" t="s">
        <v>342</v>
      </c>
      <c r="B208" s="25" t="str">
        <f t="shared" si="6"/>
        <v>s24_top_md1_030nm_1_</v>
      </c>
      <c r="C208" s="24" t="s">
        <v>1702</v>
      </c>
      <c r="D208" s="74" t="str">
        <f t="shared" si="7"/>
        <v>bossdb://lee2022/s24_top_md1_030nm_1_/</v>
      </c>
      <c r="E208" s="24" t="s">
        <v>2</v>
      </c>
      <c r="F208" s="5" t="s">
        <v>1013</v>
      </c>
      <c r="G208" s="5" t="s">
        <v>865</v>
      </c>
      <c r="H208" s="24" t="s">
        <v>1491</v>
      </c>
      <c r="I208" s="24" t="s">
        <v>1702</v>
      </c>
      <c r="J208" s="24" t="s">
        <v>1492</v>
      </c>
      <c r="K208" s="24" t="s">
        <v>867</v>
      </c>
      <c r="L208" s="24" t="s">
        <v>853</v>
      </c>
      <c r="M208" s="24" t="s">
        <v>962</v>
      </c>
      <c r="N208" s="24" t="s">
        <v>0</v>
      </c>
      <c r="O208" s="24" t="s">
        <v>1699</v>
      </c>
      <c r="P208" s="24" t="s">
        <v>848</v>
      </c>
      <c r="Q208" s="24" t="s">
        <v>848</v>
      </c>
      <c r="R208" s="24">
        <v>3</v>
      </c>
      <c r="S208" s="24" t="s">
        <v>1494</v>
      </c>
      <c r="T208" s="24" t="s">
        <v>962</v>
      </c>
      <c r="U208" s="24" t="s">
        <v>856</v>
      </c>
      <c r="V208" s="32" t="s">
        <v>857</v>
      </c>
      <c r="W208" s="14" t="b">
        <v>1</v>
      </c>
      <c r="X208" s="5" t="s">
        <v>409</v>
      </c>
      <c r="Y208" s="28"/>
      <c r="Z208" s="5" t="s">
        <v>858</v>
      </c>
      <c r="AA208" s="5" t="s">
        <v>858</v>
      </c>
      <c r="AB208" s="24" t="s">
        <v>413</v>
      </c>
      <c r="AC208" s="14"/>
      <c r="AD208" s="14"/>
      <c r="AE208" s="14">
        <v>1</v>
      </c>
      <c r="AF208" s="14"/>
      <c r="AG208" s="14"/>
      <c r="AH208" s="14"/>
      <c r="AI208" s="14"/>
      <c r="AJ208" s="14"/>
      <c r="AK208" s="14"/>
      <c r="AL208" s="14"/>
      <c r="AM208" s="14"/>
      <c r="AN208" s="14"/>
      <c r="AO208" s="14"/>
      <c r="AP208" s="14"/>
      <c r="AQ208" s="14"/>
      <c r="AR208" s="14"/>
      <c r="AS208" s="14"/>
      <c r="AT208" s="14"/>
      <c r="AU208" s="14"/>
      <c r="AV208" s="14"/>
      <c r="AW208" s="14"/>
      <c r="AX208" s="14"/>
    </row>
    <row r="209" spans="1:50" ht="15.75" customHeight="1">
      <c r="A209" s="24" t="s">
        <v>344</v>
      </c>
      <c r="B209" s="25" t="str">
        <f t="shared" si="6"/>
        <v>s24_top_md1_030nm_2_</v>
      </c>
      <c r="C209" s="24" t="s">
        <v>1703</v>
      </c>
      <c r="D209" s="74" t="str">
        <f t="shared" si="7"/>
        <v>bossdb://lee2022/s24_top_md1_030nm_2_/</v>
      </c>
      <c r="E209" s="24" t="s">
        <v>2</v>
      </c>
      <c r="F209" s="5" t="s">
        <v>1013</v>
      </c>
      <c r="G209" s="5" t="s">
        <v>865</v>
      </c>
      <c r="H209" s="24" t="s">
        <v>1491</v>
      </c>
      <c r="I209" s="24" t="s">
        <v>1703</v>
      </c>
      <c r="J209" s="24" t="s">
        <v>1492</v>
      </c>
      <c r="K209" s="24" t="s">
        <v>867</v>
      </c>
      <c r="L209" s="24" t="s">
        <v>853</v>
      </c>
      <c r="M209" s="24" t="s">
        <v>962</v>
      </c>
      <c r="N209" s="24" t="s">
        <v>0</v>
      </c>
      <c r="O209" s="24" t="s">
        <v>1700</v>
      </c>
      <c r="P209" s="24" t="s">
        <v>848</v>
      </c>
      <c r="Q209" s="24" t="s">
        <v>848</v>
      </c>
      <c r="R209" s="24">
        <v>3</v>
      </c>
      <c r="S209" s="24" t="s">
        <v>1494</v>
      </c>
      <c r="T209" s="24" t="s">
        <v>962</v>
      </c>
      <c r="U209" s="24" t="s">
        <v>856</v>
      </c>
      <c r="V209" s="32" t="s">
        <v>857</v>
      </c>
      <c r="W209" s="14" t="b">
        <v>1</v>
      </c>
      <c r="X209" s="5" t="s">
        <v>409</v>
      </c>
      <c r="Y209" s="28"/>
      <c r="Z209" s="5" t="s">
        <v>858</v>
      </c>
      <c r="AA209" s="5" t="s">
        <v>858</v>
      </c>
      <c r="AB209" s="24" t="s">
        <v>413</v>
      </c>
      <c r="AC209" s="14"/>
      <c r="AD209" s="14"/>
      <c r="AE209" s="14">
        <v>1</v>
      </c>
      <c r="AF209" s="14"/>
      <c r="AG209" s="14"/>
      <c r="AH209" s="14"/>
      <c r="AI209" s="14"/>
      <c r="AJ209" s="14"/>
      <c r="AK209" s="14"/>
      <c r="AL209" s="14"/>
      <c r="AM209" s="14"/>
      <c r="AN209" s="14"/>
      <c r="AO209" s="14"/>
      <c r="AP209" s="14"/>
      <c r="AQ209" s="14"/>
      <c r="AR209" s="14"/>
      <c r="AS209" s="14"/>
      <c r="AT209" s="14"/>
      <c r="AU209" s="14"/>
      <c r="AV209" s="14"/>
      <c r="AW209" s="14"/>
      <c r="AX209" s="14"/>
    </row>
    <row r="210" spans="1:50" ht="15.75" customHeight="1">
      <c r="A210" s="24" t="s">
        <v>346</v>
      </c>
      <c r="B210" s="25" t="str">
        <f t="shared" si="6"/>
        <v>s24_top_md1_030nm_3_</v>
      </c>
      <c r="C210" s="24" t="s">
        <v>1704</v>
      </c>
      <c r="D210" s="74" t="str">
        <f t="shared" si="7"/>
        <v>bossdb://lee2022/s24_top_md1_030nm_3_/</v>
      </c>
      <c r="E210" s="24" t="s">
        <v>2</v>
      </c>
      <c r="F210" s="5" t="s">
        <v>1013</v>
      </c>
      <c r="G210" s="5" t="s">
        <v>865</v>
      </c>
      <c r="H210" s="24" t="s">
        <v>1491</v>
      </c>
      <c r="I210" s="24" t="s">
        <v>1704</v>
      </c>
      <c r="J210" s="24" t="s">
        <v>1492</v>
      </c>
      <c r="K210" s="24" t="s">
        <v>867</v>
      </c>
      <c r="L210" s="24" t="s">
        <v>853</v>
      </c>
      <c r="M210" s="24" t="s">
        <v>962</v>
      </c>
      <c r="N210" s="24" t="s">
        <v>0</v>
      </c>
      <c r="O210" s="24" t="s">
        <v>1701</v>
      </c>
      <c r="P210" s="24" t="s">
        <v>848</v>
      </c>
      <c r="Q210" s="24" t="s">
        <v>848</v>
      </c>
      <c r="R210" s="24">
        <v>3</v>
      </c>
      <c r="S210" s="24" t="s">
        <v>1494</v>
      </c>
      <c r="T210" s="24" t="s">
        <v>962</v>
      </c>
      <c r="U210" s="24" t="s">
        <v>856</v>
      </c>
      <c r="V210" s="32" t="s">
        <v>857</v>
      </c>
      <c r="W210" s="14" t="b">
        <v>1</v>
      </c>
      <c r="X210" s="5" t="s">
        <v>409</v>
      </c>
      <c r="Y210" s="28"/>
      <c r="Z210" s="5" t="s">
        <v>858</v>
      </c>
      <c r="AA210" s="5" t="s">
        <v>858</v>
      </c>
      <c r="AB210" s="24" t="s">
        <v>413</v>
      </c>
      <c r="AC210" s="14"/>
      <c r="AD210" s="14"/>
      <c r="AE210" s="14">
        <v>1</v>
      </c>
      <c r="AF210" s="14"/>
      <c r="AG210" s="14"/>
      <c r="AH210" s="14"/>
      <c r="AI210" s="14"/>
      <c r="AJ210" s="14"/>
      <c r="AK210" s="14"/>
      <c r="AL210" s="14"/>
      <c r="AM210" s="14"/>
      <c r="AN210" s="14"/>
      <c r="AO210" s="14"/>
      <c r="AP210" s="14"/>
      <c r="AQ210" s="14"/>
      <c r="AR210" s="14"/>
      <c r="AS210" s="14"/>
      <c r="AT210" s="14"/>
      <c r="AU210" s="14"/>
      <c r="AV210" s="14"/>
      <c r="AW210" s="14"/>
      <c r="AX210" s="14"/>
    </row>
    <row r="211" spans="1:50" ht="15.75" customHeight="1">
      <c r="A211" s="24" t="s">
        <v>348</v>
      </c>
      <c r="B211" s="25" t="str">
        <f t="shared" si="6"/>
        <v>s24_top_md1_030nm_4_</v>
      </c>
      <c r="C211" s="24" t="s">
        <v>1705</v>
      </c>
      <c r="D211" s="74" t="str">
        <f t="shared" si="7"/>
        <v>bossdb://lee2022/s24_top_md1_030nm_4_/</v>
      </c>
      <c r="E211" s="24" t="s">
        <v>2</v>
      </c>
      <c r="F211" s="5" t="s">
        <v>1013</v>
      </c>
      <c r="G211" s="5" t="s">
        <v>865</v>
      </c>
      <c r="H211" s="24" t="s">
        <v>1491</v>
      </c>
      <c r="I211" s="24" t="s">
        <v>1705</v>
      </c>
      <c r="J211" s="24" t="s">
        <v>1492</v>
      </c>
      <c r="K211" s="24" t="s">
        <v>867</v>
      </c>
      <c r="L211" s="24" t="s">
        <v>853</v>
      </c>
      <c r="M211" s="24" t="s">
        <v>962</v>
      </c>
      <c r="N211" s="24" t="s">
        <v>0</v>
      </c>
      <c r="O211" s="24" t="s">
        <v>1702</v>
      </c>
      <c r="P211" s="24" t="s">
        <v>848</v>
      </c>
      <c r="Q211" s="24" t="s">
        <v>848</v>
      </c>
      <c r="R211" s="24">
        <v>3</v>
      </c>
      <c r="S211" s="24" t="s">
        <v>1494</v>
      </c>
      <c r="T211" s="24" t="s">
        <v>962</v>
      </c>
      <c r="U211" s="24" t="s">
        <v>856</v>
      </c>
      <c r="V211" s="32" t="s">
        <v>857</v>
      </c>
      <c r="W211" s="14" t="b">
        <v>1</v>
      </c>
      <c r="X211" s="5" t="s">
        <v>409</v>
      </c>
      <c r="Y211" s="28"/>
      <c r="Z211" s="5" t="s">
        <v>858</v>
      </c>
      <c r="AA211" s="5" t="s">
        <v>858</v>
      </c>
      <c r="AB211" s="24" t="s">
        <v>413</v>
      </c>
      <c r="AC211" s="14"/>
      <c r="AD211" s="14"/>
      <c r="AE211" s="14">
        <v>1</v>
      </c>
      <c r="AF211" s="14"/>
      <c r="AG211" s="14"/>
      <c r="AH211" s="14"/>
      <c r="AI211" s="14"/>
      <c r="AJ211" s="14"/>
      <c r="AK211" s="14"/>
      <c r="AL211" s="14"/>
      <c r="AM211" s="14"/>
      <c r="AN211" s="14"/>
      <c r="AO211" s="14"/>
      <c r="AP211" s="14"/>
      <c r="AQ211" s="14"/>
      <c r="AR211" s="14"/>
      <c r="AS211" s="14"/>
      <c r="AT211" s="14"/>
      <c r="AU211" s="14"/>
      <c r="AV211" s="14"/>
      <c r="AW211" s="14"/>
      <c r="AX211" s="14"/>
    </row>
    <row r="212" spans="1:50" ht="15.75" customHeight="1">
      <c r="A212" s="24" t="s">
        <v>82</v>
      </c>
      <c r="B212" s="25" t="str">
        <f t="shared" si="6"/>
        <v>C2C_100nm_tile1_</v>
      </c>
      <c r="C212" s="24" t="s">
        <v>1706</v>
      </c>
      <c r="D212" s="74" t="str">
        <f t="shared" si="7"/>
        <v>bossdb://lee2022/C2C_100nm_tile1_/</v>
      </c>
      <c r="E212" s="24" t="s">
        <v>2</v>
      </c>
      <c r="F212" s="5" t="s">
        <v>1013</v>
      </c>
      <c r="G212" s="5" t="s">
        <v>865</v>
      </c>
      <c r="H212" s="24" t="s">
        <v>1491</v>
      </c>
      <c r="I212" s="24" t="s">
        <v>1706</v>
      </c>
      <c r="J212" s="24" t="s">
        <v>1492</v>
      </c>
      <c r="K212" s="24" t="s">
        <v>867</v>
      </c>
      <c r="L212" s="24" t="s">
        <v>853</v>
      </c>
      <c r="M212" s="24" t="s">
        <v>962</v>
      </c>
      <c r="N212" s="24" t="s">
        <v>0</v>
      </c>
      <c r="O212" s="24" t="s">
        <v>1703</v>
      </c>
      <c r="P212" s="24" t="s">
        <v>848</v>
      </c>
      <c r="Q212" s="24" t="s">
        <v>848</v>
      </c>
      <c r="R212" s="24">
        <v>3</v>
      </c>
      <c r="S212" s="24" t="s">
        <v>1494</v>
      </c>
      <c r="T212" s="24" t="s">
        <v>962</v>
      </c>
      <c r="U212" s="24" t="s">
        <v>856</v>
      </c>
      <c r="V212" s="32" t="s">
        <v>857</v>
      </c>
      <c r="W212" s="14" t="b">
        <v>1</v>
      </c>
      <c r="X212" s="5" t="s">
        <v>409</v>
      </c>
      <c r="Y212" s="28"/>
      <c r="Z212" s="5" t="s">
        <v>858</v>
      </c>
      <c r="AA212" s="5" t="s">
        <v>858</v>
      </c>
      <c r="AB212" s="24" t="s">
        <v>413</v>
      </c>
      <c r="AC212" s="14"/>
      <c r="AD212" s="14"/>
      <c r="AE212" s="14">
        <v>1</v>
      </c>
      <c r="AF212" s="14"/>
      <c r="AG212" s="14"/>
      <c r="AH212" s="14"/>
      <c r="AI212" s="14"/>
      <c r="AJ212" s="14"/>
      <c r="AK212" s="14"/>
      <c r="AL212" s="14"/>
      <c r="AM212" s="14"/>
      <c r="AN212" s="14"/>
      <c r="AO212" s="14"/>
      <c r="AP212" s="14"/>
      <c r="AQ212" s="14"/>
      <c r="AR212" s="14"/>
      <c r="AS212" s="14"/>
      <c r="AT212" s="14"/>
      <c r="AU212" s="14"/>
      <c r="AV212" s="14"/>
      <c r="AW212" s="14"/>
      <c r="AX212" s="14"/>
    </row>
    <row r="213" spans="1:50" ht="15.75" customHeight="1">
      <c r="A213" s="24" t="s">
        <v>84</v>
      </c>
      <c r="B213" s="25" t="str">
        <f t="shared" si="6"/>
        <v>C2C_100nm_tile1_1_</v>
      </c>
      <c r="C213" s="24" t="s">
        <v>1707</v>
      </c>
      <c r="D213" s="74" t="str">
        <f t="shared" si="7"/>
        <v>bossdb://lee2022/C2C_100nm_tile1_1_/</v>
      </c>
      <c r="E213" s="24" t="s">
        <v>2</v>
      </c>
      <c r="F213" s="5" t="s">
        <v>1013</v>
      </c>
      <c r="G213" s="5" t="s">
        <v>865</v>
      </c>
      <c r="H213" s="24" t="s">
        <v>1491</v>
      </c>
      <c r="I213" s="24" t="s">
        <v>1707</v>
      </c>
      <c r="J213" s="24" t="s">
        <v>1492</v>
      </c>
      <c r="K213" s="24" t="s">
        <v>867</v>
      </c>
      <c r="L213" s="24" t="s">
        <v>853</v>
      </c>
      <c r="M213" s="24" t="s">
        <v>962</v>
      </c>
      <c r="N213" s="24" t="s">
        <v>0</v>
      </c>
      <c r="O213" s="24" t="s">
        <v>1704</v>
      </c>
      <c r="P213" s="24" t="s">
        <v>848</v>
      </c>
      <c r="Q213" s="24" t="s">
        <v>848</v>
      </c>
      <c r="R213" s="24">
        <v>3</v>
      </c>
      <c r="S213" s="24" t="s">
        <v>1494</v>
      </c>
      <c r="T213" s="24" t="s">
        <v>962</v>
      </c>
      <c r="U213" s="24" t="s">
        <v>856</v>
      </c>
      <c r="V213" s="32" t="s">
        <v>857</v>
      </c>
      <c r="W213" s="14" t="b">
        <v>1</v>
      </c>
      <c r="X213" s="5" t="s">
        <v>409</v>
      </c>
      <c r="Y213" s="28"/>
      <c r="Z213" s="5" t="s">
        <v>858</v>
      </c>
      <c r="AA213" s="5" t="s">
        <v>858</v>
      </c>
      <c r="AB213" s="24" t="s">
        <v>413</v>
      </c>
      <c r="AC213" s="14"/>
      <c r="AD213" s="14"/>
      <c r="AE213" s="14">
        <v>1</v>
      </c>
      <c r="AF213" s="14"/>
      <c r="AG213" s="14"/>
      <c r="AH213" s="14"/>
      <c r="AI213" s="14"/>
      <c r="AJ213" s="14"/>
      <c r="AK213" s="14"/>
      <c r="AL213" s="14"/>
      <c r="AM213" s="14"/>
      <c r="AN213" s="14"/>
      <c r="AO213" s="14"/>
      <c r="AP213" s="14"/>
      <c r="AQ213" s="14"/>
      <c r="AR213" s="14"/>
      <c r="AS213" s="14"/>
      <c r="AT213" s="14"/>
      <c r="AU213" s="14"/>
      <c r="AV213" s="14"/>
      <c r="AW213" s="14"/>
      <c r="AX213" s="14"/>
    </row>
    <row r="214" spans="1:50" ht="15.75" customHeight="1">
      <c r="A214" s="24" t="s">
        <v>86</v>
      </c>
      <c r="B214" s="25" t="str">
        <f t="shared" si="6"/>
        <v>C2C_100nm_tile1_2_</v>
      </c>
      <c r="C214" s="24" t="s">
        <v>1708</v>
      </c>
      <c r="D214" s="74" t="str">
        <f t="shared" si="7"/>
        <v>bossdb://lee2022/C2C_100nm_tile1_2_/</v>
      </c>
      <c r="E214" s="24" t="s">
        <v>2</v>
      </c>
      <c r="F214" s="5" t="s">
        <v>1013</v>
      </c>
      <c r="G214" s="5" t="s">
        <v>865</v>
      </c>
      <c r="H214" s="24" t="s">
        <v>1491</v>
      </c>
      <c r="I214" s="24" t="s">
        <v>1708</v>
      </c>
      <c r="J214" s="24" t="s">
        <v>1492</v>
      </c>
      <c r="K214" s="24" t="s">
        <v>867</v>
      </c>
      <c r="L214" s="24" t="s">
        <v>853</v>
      </c>
      <c r="M214" s="24" t="s">
        <v>962</v>
      </c>
      <c r="N214" s="24" t="s">
        <v>0</v>
      </c>
      <c r="O214" s="24" t="s">
        <v>1705</v>
      </c>
      <c r="P214" s="24" t="s">
        <v>848</v>
      </c>
      <c r="Q214" s="24" t="s">
        <v>848</v>
      </c>
      <c r="R214" s="24">
        <v>3</v>
      </c>
      <c r="S214" s="24" t="s">
        <v>1494</v>
      </c>
      <c r="T214" s="24" t="s">
        <v>962</v>
      </c>
      <c r="U214" s="24" t="s">
        <v>856</v>
      </c>
      <c r="V214" s="32" t="s">
        <v>857</v>
      </c>
      <c r="W214" s="14" t="b">
        <v>1</v>
      </c>
      <c r="X214" s="5" t="s">
        <v>409</v>
      </c>
      <c r="Y214" s="28"/>
      <c r="Z214" s="5" t="s">
        <v>858</v>
      </c>
      <c r="AA214" s="5" t="s">
        <v>858</v>
      </c>
      <c r="AB214" s="24" t="s">
        <v>413</v>
      </c>
      <c r="AC214" s="14"/>
      <c r="AD214" s="14"/>
      <c r="AE214" s="14">
        <v>1</v>
      </c>
      <c r="AF214" s="14"/>
      <c r="AG214" s="14"/>
      <c r="AH214" s="14"/>
      <c r="AI214" s="14"/>
      <c r="AJ214" s="14"/>
      <c r="AK214" s="14"/>
      <c r="AL214" s="14"/>
      <c r="AM214" s="14"/>
      <c r="AN214" s="14"/>
      <c r="AO214" s="14"/>
      <c r="AP214" s="14"/>
      <c r="AQ214" s="14"/>
      <c r="AR214" s="14"/>
      <c r="AS214" s="14"/>
      <c r="AT214" s="14"/>
      <c r="AU214" s="14"/>
      <c r="AV214" s="14"/>
      <c r="AW214" s="14"/>
      <c r="AX214" s="14"/>
    </row>
    <row r="215" spans="1:50" ht="15.75" customHeight="1">
      <c r="A215" s="24" t="s">
        <v>88</v>
      </c>
      <c r="B215" s="25" t="str">
        <f t="shared" si="6"/>
        <v>C2C_100nm_tile1_3_</v>
      </c>
      <c r="C215" s="24" t="s">
        <v>1709</v>
      </c>
      <c r="D215" s="74" t="str">
        <f t="shared" si="7"/>
        <v>bossdb://lee2022/C2C_100nm_tile1_3_/</v>
      </c>
      <c r="E215" s="24" t="s">
        <v>2</v>
      </c>
      <c r="F215" s="5" t="s">
        <v>1013</v>
      </c>
      <c r="G215" s="5" t="s">
        <v>865</v>
      </c>
      <c r="H215" s="24" t="s">
        <v>1491</v>
      </c>
      <c r="I215" s="24" t="s">
        <v>1709</v>
      </c>
      <c r="J215" s="24" t="s">
        <v>1492</v>
      </c>
      <c r="K215" s="24" t="s">
        <v>867</v>
      </c>
      <c r="L215" s="24" t="s">
        <v>853</v>
      </c>
      <c r="M215" s="24" t="s">
        <v>962</v>
      </c>
      <c r="N215" s="24" t="s">
        <v>0</v>
      </c>
      <c r="O215" s="24" t="s">
        <v>1706</v>
      </c>
      <c r="P215" s="24" t="s">
        <v>848</v>
      </c>
      <c r="Q215" s="24" t="s">
        <v>848</v>
      </c>
      <c r="R215" s="24">
        <v>3</v>
      </c>
      <c r="S215" s="24" t="s">
        <v>1494</v>
      </c>
      <c r="T215" s="24" t="s">
        <v>962</v>
      </c>
      <c r="U215" s="24" t="s">
        <v>856</v>
      </c>
      <c r="V215" s="32" t="s">
        <v>857</v>
      </c>
      <c r="W215" s="14" t="b">
        <v>1</v>
      </c>
      <c r="X215" s="5" t="s">
        <v>409</v>
      </c>
      <c r="Y215" s="28"/>
      <c r="Z215" s="5" t="s">
        <v>858</v>
      </c>
      <c r="AA215" s="5" t="s">
        <v>858</v>
      </c>
      <c r="AB215" s="24" t="s">
        <v>413</v>
      </c>
      <c r="AC215" s="14"/>
      <c r="AD215" s="14"/>
      <c r="AE215" s="14">
        <v>1</v>
      </c>
      <c r="AF215" s="14"/>
      <c r="AG215" s="14"/>
      <c r="AH215" s="14"/>
      <c r="AI215" s="14"/>
      <c r="AJ215" s="14"/>
      <c r="AK215" s="14"/>
      <c r="AL215" s="14"/>
      <c r="AM215" s="14"/>
      <c r="AN215" s="14"/>
      <c r="AO215" s="14"/>
      <c r="AP215" s="14"/>
      <c r="AQ215" s="14"/>
      <c r="AR215" s="14"/>
      <c r="AS215" s="14"/>
      <c r="AT215" s="14"/>
      <c r="AU215" s="14"/>
      <c r="AV215" s="14"/>
      <c r="AW215" s="14"/>
      <c r="AX215" s="14"/>
    </row>
    <row r="216" spans="1:50" ht="15.75" customHeight="1">
      <c r="A216" s="24" t="s">
        <v>90</v>
      </c>
      <c r="B216" s="25" t="str">
        <f t="shared" si="6"/>
        <v>C2C_100nm_tile1_4_</v>
      </c>
      <c r="C216" s="24" t="s">
        <v>1710</v>
      </c>
      <c r="D216" s="74" t="str">
        <f t="shared" si="7"/>
        <v>bossdb://lee2022/C2C_100nm_tile1_4_/</v>
      </c>
      <c r="E216" s="24" t="s">
        <v>2</v>
      </c>
      <c r="F216" s="5" t="s">
        <v>1013</v>
      </c>
      <c r="G216" s="5" t="s">
        <v>865</v>
      </c>
      <c r="H216" s="24" t="s">
        <v>1491</v>
      </c>
      <c r="I216" s="24" t="s">
        <v>1710</v>
      </c>
      <c r="J216" s="24" t="s">
        <v>1492</v>
      </c>
      <c r="K216" s="24" t="s">
        <v>867</v>
      </c>
      <c r="L216" s="24" t="s">
        <v>853</v>
      </c>
      <c r="M216" s="24" t="s">
        <v>962</v>
      </c>
      <c r="N216" s="24" t="s">
        <v>0</v>
      </c>
      <c r="O216" s="24" t="s">
        <v>1707</v>
      </c>
      <c r="P216" s="24" t="s">
        <v>848</v>
      </c>
      <c r="Q216" s="24" t="s">
        <v>848</v>
      </c>
      <c r="R216" s="24">
        <v>3</v>
      </c>
      <c r="S216" s="24" t="s">
        <v>1494</v>
      </c>
      <c r="T216" s="24" t="s">
        <v>962</v>
      </c>
      <c r="U216" s="24" t="s">
        <v>856</v>
      </c>
      <c r="V216" s="32" t="s">
        <v>857</v>
      </c>
      <c r="W216" s="14" t="b">
        <v>1</v>
      </c>
      <c r="X216" s="5" t="s">
        <v>409</v>
      </c>
      <c r="Y216" s="28"/>
      <c r="Z216" s="5" t="s">
        <v>858</v>
      </c>
      <c r="AA216" s="5" t="s">
        <v>858</v>
      </c>
      <c r="AB216" s="24" t="s">
        <v>413</v>
      </c>
      <c r="AC216" s="14"/>
      <c r="AD216" s="14"/>
      <c r="AE216" s="14">
        <v>1</v>
      </c>
      <c r="AF216" s="14"/>
      <c r="AG216" s="14"/>
      <c r="AH216" s="14"/>
      <c r="AI216" s="14"/>
      <c r="AJ216" s="14"/>
      <c r="AK216" s="14"/>
      <c r="AL216" s="14"/>
      <c r="AM216" s="14"/>
      <c r="AN216" s="14"/>
      <c r="AO216" s="14"/>
      <c r="AP216" s="14"/>
      <c r="AQ216" s="14"/>
      <c r="AR216" s="14"/>
      <c r="AS216" s="14"/>
      <c r="AT216" s="14"/>
      <c r="AU216" s="14"/>
      <c r="AV216" s="14"/>
      <c r="AW216" s="14"/>
      <c r="AX216" s="14"/>
    </row>
    <row r="217" spans="1:50" ht="15.75" customHeight="1">
      <c r="A217" s="24" t="s">
        <v>92</v>
      </c>
      <c r="B217" s="25" t="str">
        <f t="shared" si="6"/>
        <v>C2C_100nm_tile2_</v>
      </c>
      <c r="C217" s="24" t="s">
        <v>1711</v>
      </c>
      <c r="D217" s="74" t="str">
        <f t="shared" si="7"/>
        <v>bossdb://lee2022/C2C_100nm_tile2_/</v>
      </c>
      <c r="E217" s="24" t="s">
        <v>2</v>
      </c>
      <c r="F217" s="5" t="s">
        <v>1013</v>
      </c>
      <c r="G217" s="5" t="s">
        <v>865</v>
      </c>
      <c r="H217" s="24" t="s">
        <v>1491</v>
      </c>
      <c r="I217" s="24" t="s">
        <v>1711</v>
      </c>
      <c r="J217" s="24" t="s">
        <v>1492</v>
      </c>
      <c r="K217" s="24" t="s">
        <v>867</v>
      </c>
      <c r="L217" s="24" t="s">
        <v>853</v>
      </c>
      <c r="M217" s="24" t="s">
        <v>962</v>
      </c>
      <c r="N217" s="24" t="s">
        <v>0</v>
      </c>
      <c r="O217" s="24" t="s">
        <v>1708</v>
      </c>
      <c r="P217" s="24" t="s">
        <v>848</v>
      </c>
      <c r="Q217" s="24" t="s">
        <v>848</v>
      </c>
      <c r="R217" s="24">
        <v>3</v>
      </c>
      <c r="S217" s="24" t="s">
        <v>1494</v>
      </c>
      <c r="T217" s="24" t="s">
        <v>962</v>
      </c>
      <c r="U217" s="24" t="s">
        <v>856</v>
      </c>
      <c r="V217" s="32" t="s">
        <v>857</v>
      </c>
      <c r="W217" s="14" t="b">
        <v>1</v>
      </c>
      <c r="X217" s="5" t="s">
        <v>409</v>
      </c>
      <c r="Y217" s="28"/>
      <c r="Z217" s="5" t="s">
        <v>858</v>
      </c>
      <c r="AA217" s="5" t="s">
        <v>858</v>
      </c>
      <c r="AB217" s="24" t="s">
        <v>413</v>
      </c>
      <c r="AC217" s="14"/>
      <c r="AD217" s="14"/>
      <c r="AE217" s="14">
        <v>1</v>
      </c>
      <c r="AF217" s="14"/>
      <c r="AG217" s="14"/>
      <c r="AH217" s="14"/>
      <c r="AI217" s="14"/>
      <c r="AJ217" s="14"/>
      <c r="AK217" s="14"/>
      <c r="AL217" s="14"/>
      <c r="AM217" s="14"/>
      <c r="AN217" s="14"/>
      <c r="AO217" s="14"/>
      <c r="AP217" s="14"/>
      <c r="AQ217" s="14"/>
      <c r="AR217" s="14"/>
      <c r="AS217" s="14"/>
      <c r="AT217" s="14"/>
      <c r="AU217" s="14"/>
      <c r="AV217" s="14"/>
      <c r="AW217" s="14"/>
      <c r="AX217" s="14"/>
    </row>
    <row r="218" spans="1:50" ht="15.75" customHeight="1">
      <c r="A218" s="24" t="s">
        <v>94</v>
      </c>
      <c r="B218" s="25" t="str">
        <f t="shared" si="6"/>
        <v>C2C_100nm_tile2_1_</v>
      </c>
      <c r="C218" s="24" t="s">
        <v>1712</v>
      </c>
      <c r="D218" s="74" t="str">
        <f t="shared" si="7"/>
        <v>bossdb://lee2022/C2C_100nm_tile2_1_/</v>
      </c>
      <c r="E218" s="24" t="s">
        <v>2</v>
      </c>
      <c r="F218" s="5" t="s">
        <v>1013</v>
      </c>
      <c r="G218" s="5" t="s">
        <v>865</v>
      </c>
      <c r="H218" s="24" t="s">
        <v>1491</v>
      </c>
      <c r="I218" s="24" t="s">
        <v>1712</v>
      </c>
      <c r="J218" s="24" t="s">
        <v>1492</v>
      </c>
      <c r="K218" s="24" t="s">
        <v>867</v>
      </c>
      <c r="L218" s="24" t="s">
        <v>853</v>
      </c>
      <c r="M218" s="24" t="s">
        <v>962</v>
      </c>
      <c r="N218" s="24" t="s">
        <v>0</v>
      </c>
      <c r="O218" s="24" t="s">
        <v>1709</v>
      </c>
      <c r="P218" s="24" t="s">
        <v>848</v>
      </c>
      <c r="Q218" s="24" t="s">
        <v>848</v>
      </c>
      <c r="R218" s="24">
        <v>3</v>
      </c>
      <c r="S218" s="24" t="s">
        <v>1494</v>
      </c>
      <c r="T218" s="24" t="s">
        <v>962</v>
      </c>
      <c r="U218" s="24" t="s">
        <v>856</v>
      </c>
      <c r="V218" s="32" t="s">
        <v>857</v>
      </c>
      <c r="W218" s="14" t="b">
        <v>1</v>
      </c>
      <c r="X218" s="5" t="s">
        <v>409</v>
      </c>
      <c r="Y218" s="28"/>
      <c r="Z218" s="5" t="s">
        <v>858</v>
      </c>
      <c r="AA218" s="5" t="s">
        <v>858</v>
      </c>
      <c r="AB218" s="24" t="s">
        <v>413</v>
      </c>
      <c r="AC218" s="14"/>
      <c r="AD218" s="14"/>
      <c r="AE218" s="14">
        <v>1</v>
      </c>
      <c r="AF218" s="14"/>
      <c r="AG218" s="14"/>
      <c r="AH218" s="14"/>
      <c r="AI218" s="14"/>
      <c r="AJ218" s="14"/>
      <c r="AK218" s="14"/>
      <c r="AL218" s="14"/>
      <c r="AM218" s="14"/>
      <c r="AN218" s="14"/>
      <c r="AO218" s="14"/>
      <c r="AP218" s="14"/>
      <c r="AQ218" s="14"/>
      <c r="AR218" s="14"/>
      <c r="AS218" s="14"/>
      <c r="AT218" s="14"/>
      <c r="AU218" s="14"/>
      <c r="AV218" s="14"/>
      <c r="AW218" s="14"/>
      <c r="AX218" s="14"/>
    </row>
    <row r="219" spans="1:50" ht="15.75" customHeight="1">
      <c r="A219" s="24" t="s">
        <v>96</v>
      </c>
      <c r="B219" s="25" t="str">
        <f t="shared" si="6"/>
        <v>C2C_100nm_tile2_2_</v>
      </c>
      <c r="C219" s="24" t="s">
        <v>1713</v>
      </c>
      <c r="D219" s="74" t="str">
        <f t="shared" si="7"/>
        <v>bossdb://lee2022/C2C_100nm_tile2_2_/</v>
      </c>
      <c r="E219" s="24" t="s">
        <v>2</v>
      </c>
      <c r="F219" s="5" t="s">
        <v>1013</v>
      </c>
      <c r="G219" s="5" t="s">
        <v>865</v>
      </c>
      <c r="H219" s="24" t="s">
        <v>1491</v>
      </c>
      <c r="I219" s="24" t="s">
        <v>1713</v>
      </c>
      <c r="J219" s="24" t="s">
        <v>1492</v>
      </c>
      <c r="K219" s="24" t="s">
        <v>867</v>
      </c>
      <c r="L219" s="24" t="s">
        <v>853</v>
      </c>
      <c r="M219" s="24" t="s">
        <v>962</v>
      </c>
      <c r="N219" s="24" t="s">
        <v>0</v>
      </c>
      <c r="O219" s="24" t="s">
        <v>1710</v>
      </c>
      <c r="P219" s="24" t="s">
        <v>848</v>
      </c>
      <c r="Q219" s="24" t="s">
        <v>848</v>
      </c>
      <c r="R219" s="24">
        <v>3</v>
      </c>
      <c r="S219" s="24" t="s">
        <v>1494</v>
      </c>
      <c r="T219" s="24" t="s">
        <v>962</v>
      </c>
      <c r="U219" s="24" t="s">
        <v>856</v>
      </c>
      <c r="V219" s="32" t="s">
        <v>857</v>
      </c>
      <c r="W219" s="14" t="b">
        <v>1</v>
      </c>
      <c r="X219" s="5" t="s">
        <v>409</v>
      </c>
      <c r="Y219" s="28"/>
      <c r="Z219" s="5" t="s">
        <v>858</v>
      </c>
      <c r="AA219" s="5" t="s">
        <v>858</v>
      </c>
      <c r="AB219" s="24" t="s">
        <v>413</v>
      </c>
      <c r="AC219" s="14"/>
      <c r="AD219" s="14"/>
      <c r="AE219" s="14">
        <v>1</v>
      </c>
      <c r="AF219" s="14"/>
      <c r="AG219" s="14"/>
      <c r="AH219" s="14"/>
      <c r="AI219" s="14"/>
      <c r="AJ219" s="14"/>
      <c r="AK219" s="14"/>
      <c r="AL219" s="14"/>
      <c r="AM219" s="14"/>
      <c r="AN219" s="14"/>
      <c r="AO219" s="14"/>
      <c r="AP219" s="14"/>
      <c r="AQ219" s="14"/>
      <c r="AR219" s="14"/>
      <c r="AS219" s="14"/>
      <c r="AT219" s="14"/>
      <c r="AU219" s="14"/>
      <c r="AV219" s="14"/>
      <c r="AW219" s="14"/>
      <c r="AX219" s="14"/>
    </row>
    <row r="220" spans="1:50" ht="15.75" customHeight="1">
      <c r="A220" s="24" t="s">
        <v>98</v>
      </c>
      <c r="B220" s="25" t="str">
        <f t="shared" si="6"/>
        <v>C2C_100nm_tile2_3_</v>
      </c>
      <c r="C220" s="24" t="s">
        <v>1714</v>
      </c>
      <c r="D220" s="74" t="str">
        <f t="shared" si="7"/>
        <v>bossdb://lee2022/C2C_100nm_tile2_3_/</v>
      </c>
      <c r="E220" s="24" t="s">
        <v>2</v>
      </c>
      <c r="F220" s="5" t="s">
        <v>1013</v>
      </c>
      <c r="G220" s="5" t="s">
        <v>865</v>
      </c>
      <c r="H220" s="24" t="s">
        <v>1491</v>
      </c>
      <c r="I220" s="24" t="s">
        <v>1714</v>
      </c>
      <c r="J220" s="24" t="s">
        <v>1492</v>
      </c>
      <c r="K220" s="24" t="s">
        <v>867</v>
      </c>
      <c r="L220" s="24" t="s">
        <v>853</v>
      </c>
      <c r="M220" s="24" t="s">
        <v>962</v>
      </c>
      <c r="N220" s="24" t="s">
        <v>0</v>
      </c>
      <c r="O220" s="24" t="s">
        <v>1711</v>
      </c>
      <c r="P220" s="24" t="s">
        <v>848</v>
      </c>
      <c r="Q220" s="24" t="s">
        <v>848</v>
      </c>
      <c r="R220" s="24">
        <v>3</v>
      </c>
      <c r="S220" s="24" t="s">
        <v>1494</v>
      </c>
      <c r="T220" s="24" t="s">
        <v>962</v>
      </c>
      <c r="U220" s="24" t="s">
        <v>856</v>
      </c>
      <c r="V220" s="32" t="s">
        <v>857</v>
      </c>
      <c r="W220" s="14" t="b">
        <v>1</v>
      </c>
      <c r="X220" s="5" t="s">
        <v>409</v>
      </c>
      <c r="Y220" s="28"/>
      <c r="Z220" s="5" t="s">
        <v>858</v>
      </c>
      <c r="AA220" s="5" t="s">
        <v>858</v>
      </c>
      <c r="AB220" s="24" t="s">
        <v>413</v>
      </c>
      <c r="AC220" s="14"/>
      <c r="AD220" s="14"/>
      <c r="AE220" s="14">
        <v>1</v>
      </c>
      <c r="AF220" s="14"/>
      <c r="AG220" s="14"/>
      <c r="AH220" s="14"/>
      <c r="AI220" s="14"/>
      <c r="AJ220" s="14"/>
      <c r="AK220" s="14"/>
      <c r="AL220" s="14"/>
      <c r="AM220" s="14"/>
      <c r="AN220" s="14"/>
      <c r="AO220" s="14"/>
      <c r="AP220" s="14"/>
      <c r="AQ220" s="14"/>
      <c r="AR220" s="14"/>
      <c r="AS220" s="14"/>
      <c r="AT220" s="14"/>
      <c r="AU220" s="14"/>
      <c r="AV220" s="14"/>
      <c r="AW220" s="14"/>
      <c r="AX220" s="14"/>
    </row>
    <row r="221" spans="1:50" ht="15.75" customHeight="1">
      <c r="A221" s="24" t="s">
        <v>100</v>
      </c>
      <c r="B221" s="25" t="str">
        <f t="shared" si="6"/>
        <v>C2C_100nm_tile2_4_</v>
      </c>
      <c r="C221" s="24" t="s">
        <v>1715</v>
      </c>
      <c r="D221" s="74" t="str">
        <f t="shared" si="7"/>
        <v>bossdb://lee2022/C2C_100nm_tile2_4_/</v>
      </c>
      <c r="E221" s="24" t="s">
        <v>2</v>
      </c>
      <c r="F221" s="5" t="s">
        <v>1013</v>
      </c>
      <c r="G221" s="5" t="s">
        <v>865</v>
      </c>
      <c r="H221" s="24" t="s">
        <v>1491</v>
      </c>
      <c r="I221" s="24" t="s">
        <v>1715</v>
      </c>
      <c r="J221" s="24" t="s">
        <v>1492</v>
      </c>
      <c r="K221" s="24" t="s">
        <v>867</v>
      </c>
      <c r="L221" s="24" t="s">
        <v>853</v>
      </c>
      <c r="M221" s="24" t="s">
        <v>962</v>
      </c>
      <c r="N221" s="24" t="s">
        <v>0</v>
      </c>
      <c r="O221" s="24" t="s">
        <v>1712</v>
      </c>
      <c r="P221" s="24" t="s">
        <v>848</v>
      </c>
      <c r="Q221" s="24" t="s">
        <v>848</v>
      </c>
      <c r="R221" s="24">
        <v>3</v>
      </c>
      <c r="S221" s="24" t="s">
        <v>1494</v>
      </c>
      <c r="T221" s="24" t="s">
        <v>962</v>
      </c>
      <c r="U221" s="24" t="s">
        <v>856</v>
      </c>
      <c r="V221" s="32" t="s">
        <v>857</v>
      </c>
      <c r="W221" s="14" t="b">
        <v>1</v>
      </c>
      <c r="X221" s="5" t="s">
        <v>409</v>
      </c>
      <c r="Y221" s="28"/>
      <c r="Z221" s="5" t="s">
        <v>858</v>
      </c>
      <c r="AA221" s="5" t="s">
        <v>858</v>
      </c>
      <c r="AB221" s="24" t="s">
        <v>413</v>
      </c>
      <c r="AC221" s="14"/>
      <c r="AD221" s="14"/>
      <c r="AE221" s="14">
        <v>1</v>
      </c>
      <c r="AF221" s="14"/>
      <c r="AG221" s="14"/>
      <c r="AH221" s="14"/>
      <c r="AI221" s="14"/>
      <c r="AJ221" s="14"/>
      <c r="AK221" s="14"/>
      <c r="AL221" s="14"/>
      <c r="AM221" s="14"/>
      <c r="AN221" s="14"/>
      <c r="AO221" s="14"/>
      <c r="AP221" s="14"/>
      <c r="AQ221" s="14"/>
      <c r="AR221" s="14"/>
      <c r="AS221" s="14"/>
      <c r="AT221" s="14"/>
      <c r="AU221" s="14"/>
      <c r="AV221" s="14"/>
      <c r="AW221" s="14"/>
      <c r="AX221" s="14"/>
    </row>
    <row r="222" spans="1:50" ht="15.75" customHeight="1">
      <c r="A222" s="24" t="s">
        <v>102</v>
      </c>
      <c r="B222" s="25" t="str">
        <f t="shared" si="6"/>
        <v>C2C_100nm_tile3_</v>
      </c>
      <c r="C222" s="24" t="s">
        <v>1716</v>
      </c>
      <c r="D222" s="74" t="str">
        <f t="shared" si="7"/>
        <v>bossdb://lee2022/C2C_100nm_tile3_/</v>
      </c>
      <c r="E222" s="24" t="s">
        <v>2</v>
      </c>
      <c r="F222" s="5" t="s">
        <v>1013</v>
      </c>
      <c r="G222" s="5" t="s">
        <v>865</v>
      </c>
      <c r="H222" s="24" t="s">
        <v>1491</v>
      </c>
      <c r="I222" s="24" t="s">
        <v>1716</v>
      </c>
      <c r="J222" s="24" t="s">
        <v>1492</v>
      </c>
      <c r="K222" s="24" t="s">
        <v>867</v>
      </c>
      <c r="L222" s="24" t="s">
        <v>853</v>
      </c>
      <c r="M222" s="24" t="s">
        <v>962</v>
      </c>
      <c r="N222" s="24" t="s">
        <v>0</v>
      </c>
      <c r="O222" s="24" t="s">
        <v>1713</v>
      </c>
      <c r="P222" s="24" t="s">
        <v>848</v>
      </c>
      <c r="Q222" s="24" t="s">
        <v>848</v>
      </c>
      <c r="R222" s="24">
        <v>3</v>
      </c>
      <c r="S222" s="24" t="s">
        <v>1494</v>
      </c>
      <c r="T222" s="24" t="s">
        <v>962</v>
      </c>
      <c r="U222" s="24" t="s">
        <v>856</v>
      </c>
      <c r="V222" s="32" t="s">
        <v>857</v>
      </c>
      <c r="W222" s="14" t="b">
        <v>1</v>
      </c>
      <c r="X222" s="5" t="s">
        <v>409</v>
      </c>
      <c r="Y222" s="28"/>
      <c r="Z222" s="5" t="s">
        <v>858</v>
      </c>
      <c r="AA222" s="5" t="s">
        <v>858</v>
      </c>
      <c r="AB222" s="24" t="s">
        <v>413</v>
      </c>
      <c r="AC222" s="14"/>
      <c r="AD222" s="14"/>
      <c r="AE222" s="14">
        <v>1</v>
      </c>
      <c r="AF222" s="14"/>
      <c r="AG222" s="14"/>
      <c r="AH222" s="14"/>
      <c r="AI222" s="14"/>
      <c r="AJ222" s="14"/>
      <c r="AK222" s="14"/>
      <c r="AL222" s="14"/>
      <c r="AM222" s="14"/>
      <c r="AN222" s="14"/>
      <c r="AO222" s="14"/>
      <c r="AP222" s="14"/>
      <c r="AQ222" s="14"/>
      <c r="AR222" s="14"/>
      <c r="AS222" s="14"/>
      <c r="AT222" s="14"/>
      <c r="AU222" s="14"/>
      <c r="AV222" s="14"/>
      <c r="AW222" s="14"/>
      <c r="AX222" s="14"/>
    </row>
    <row r="223" spans="1:50" ht="15.75" customHeight="1">
      <c r="A223" s="24" t="s">
        <v>104</v>
      </c>
      <c r="B223" s="25" t="str">
        <f t="shared" si="6"/>
        <v>C2C_100nm_tile3_1_</v>
      </c>
      <c r="C223" s="24" t="s">
        <v>1717</v>
      </c>
      <c r="D223" s="74" t="str">
        <f t="shared" si="7"/>
        <v>bossdb://lee2022/C2C_100nm_tile3_1_/</v>
      </c>
      <c r="E223" s="24" t="s">
        <v>2</v>
      </c>
      <c r="F223" s="5" t="s">
        <v>1013</v>
      </c>
      <c r="G223" s="5" t="s">
        <v>865</v>
      </c>
      <c r="H223" s="24" t="s">
        <v>1491</v>
      </c>
      <c r="I223" s="24" t="s">
        <v>1717</v>
      </c>
      <c r="J223" s="24" t="s">
        <v>1492</v>
      </c>
      <c r="K223" s="24" t="s">
        <v>867</v>
      </c>
      <c r="L223" s="24" t="s">
        <v>853</v>
      </c>
      <c r="M223" s="24" t="s">
        <v>962</v>
      </c>
      <c r="N223" s="24" t="s">
        <v>0</v>
      </c>
      <c r="O223" s="24" t="s">
        <v>1714</v>
      </c>
      <c r="P223" s="24" t="s">
        <v>848</v>
      </c>
      <c r="Q223" s="24" t="s">
        <v>848</v>
      </c>
      <c r="R223" s="24">
        <v>3</v>
      </c>
      <c r="S223" s="24" t="s">
        <v>1494</v>
      </c>
      <c r="T223" s="24" t="s">
        <v>962</v>
      </c>
      <c r="U223" s="24" t="s">
        <v>856</v>
      </c>
      <c r="V223" s="32" t="s">
        <v>857</v>
      </c>
      <c r="W223" s="14" t="b">
        <v>1</v>
      </c>
      <c r="X223" s="5" t="s">
        <v>409</v>
      </c>
      <c r="Y223" s="28"/>
      <c r="Z223" s="5" t="s">
        <v>858</v>
      </c>
      <c r="AA223" s="5" t="s">
        <v>858</v>
      </c>
      <c r="AB223" s="24" t="s">
        <v>413</v>
      </c>
      <c r="AC223" s="14"/>
      <c r="AD223" s="14"/>
      <c r="AE223" s="14">
        <v>1</v>
      </c>
      <c r="AF223" s="14"/>
      <c r="AG223" s="14"/>
      <c r="AH223" s="14"/>
      <c r="AI223" s="14"/>
      <c r="AJ223" s="14"/>
      <c r="AK223" s="14"/>
      <c r="AL223" s="14"/>
      <c r="AM223" s="14"/>
      <c r="AN223" s="14"/>
      <c r="AO223" s="14"/>
      <c r="AP223" s="14"/>
      <c r="AQ223" s="14"/>
      <c r="AR223" s="14"/>
      <c r="AS223" s="14"/>
      <c r="AT223" s="14"/>
      <c r="AU223" s="14"/>
      <c r="AV223" s="14"/>
      <c r="AW223" s="14"/>
      <c r="AX223" s="14"/>
    </row>
    <row r="224" spans="1:50" ht="15.75" customHeight="1">
      <c r="A224" s="24" t="s">
        <v>106</v>
      </c>
      <c r="B224" s="25" t="str">
        <f t="shared" si="6"/>
        <v>C2C_100nm_tile3_2_</v>
      </c>
      <c r="C224" s="24" t="s">
        <v>1718</v>
      </c>
      <c r="D224" s="74" t="str">
        <f t="shared" si="7"/>
        <v>bossdb://lee2022/C2C_100nm_tile3_2_/</v>
      </c>
      <c r="E224" s="24" t="s">
        <v>2</v>
      </c>
      <c r="F224" s="5" t="s">
        <v>1013</v>
      </c>
      <c r="G224" s="5" t="s">
        <v>865</v>
      </c>
      <c r="H224" s="24" t="s">
        <v>1491</v>
      </c>
      <c r="I224" s="24" t="s">
        <v>1718</v>
      </c>
      <c r="J224" s="24" t="s">
        <v>1492</v>
      </c>
      <c r="K224" s="24" t="s">
        <v>867</v>
      </c>
      <c r="L224" s="24" t="s">
        <v>853</v>
      </c>
      <c r="M224" s="24" t="s">
        <v>962</v>
      </c>
      <c r="N224" s="24" t="s">
        <v>0</v>
      </c>
      <c r="O224" s="24" t="s">
        <v>1715</v>
      </c>
      <c r="P224" s="24" t="s">
        <v>848</v>
      </c>
      <c r="Q224" s="24" t="s">
        <v>848</v>
      </c>
      <c r="R224" s="24">
        <v>3</v>
      </c>
      <c r="S224" s="24" t="s">
        <v>1494</v>
      </c>
      <c r="T224" s="24" t="s">
        <v>962</v>
      </c>
      <c r="U224" s="24" t="s">
        <v>856</v>
      </c>
      <c r="V224" s="32" t="s">
        <v>857</v>
      </c>
      <c r="W224" s="14" t="b">
        <v>1</v>
      </c>
      <c r="X224" s="5" t="s">
        <v>409</v>
      </c>
      <c r="Y224" s="28"/>
      <c r="Z224" s="5" t="s">
        <v>858</v>
      </c>
      <c r="AA224" s="5" t="s">
        <v>858</v>
      </c>
      <c r="AB224" s="24" t="s">
        <v>413</v>
      </c>
      <c r="AC224" s="14"/>
      <c r="AD224" s="14"/>
      <c r="AE224" s="14">
        <v>1</v>
      </c>
      <c r="AF224" s="14"/>
      <c r="AG224" s="14"/>
      <c r="AH224" s="14"/>
      <c r="AI224" s="14"/>
      <c r="AJ224" s="14"/>
      <c r="AK224" s="14"/>
      <c r="AL224" s="14"/>
      <c r="AM224" s="14"/>
      <c r="AN224" s="14"/>
      <c r="AO224" s="14"/>
      <c r="AP224" s="14"/>
      <c r="AQ224" s="14"/>
      <c r="AR224" s="14"/>
      <c r="AS224" s="14"/>
      <c r="AT224" s="14"/>
      <c r="AU224" s="14"/>
      <c r="AV224" s="14"/>
      <c r="AW224" s="14"/>
      <c r="AX224" s="14"/>
    </row>
    <row r="225" spans="1:50" ht="15.75" customHeight="1">
      <c r="A225" s="24" t="s">
        <v>108</v>
      </c>
      <c r="B225" s="25" t="str">
        <f t="shared" si="6"/>
        <v>C2C_100nm_tile3_3_</v>
      </c>
      <c r="C225" s="24" t="s">
        <v>1719</v>
      </c>
      <c r="D225" s="74" t="str">
        <f t="shared" si="7"/>
        <v>bossdb://lee2022/C2C_100nm_tile3_3_/</v>
      </c>
      <c r="E225" s="24" t="s">
        <v>2</v>
      </c>
      <c r="F225" s="5" t="s">
        <v>1013</v>
      </c>
      <c r="G225" s="5" t="s">
        <v>865</v>
      </c>
      <c r="H225" s="24" t="s">
        <v>1491</v>
      </c>
      <c r="I225" s="24" t="s">
        <v>1719</v>
      </c>
      <c r="J225" s="24" t="s">
        <v>1492</v>
      </c>
      <c r="K225" s="24" t="s">
        <v>867</v>
      </c>
      <c r="L225" s="24" t="s">
        <v>853</v>
      </c>
      <c r="M225" s="24" t="s">
        <v>962</v>
      </c>
      <c r="N225" s="24" t="s">
        <v>0</v>
      </c>
      <c r="O225" s="24" t="s">
        <v>1716</v>
      </c>
      <c r="P225" s="24" t="s">
        <v>848</v>
      </c>
      <c r="Q225" s="24" t="s">
        <v>848</v>
      </c>
      <c r="R225" s="24">
        <v>3</v>
      </c>
      <c r="S225" s="24" t="s">
        <v>1494</v>
      </c>
      <c r="T225" s="24" t="s">
        <v>962</v>
      </c>
      <c r="U225" s="24" t="s">
        <v>856</v>
      </c>
      <c r="V225" s="32" t="s">
        <v>857</v>
      </c>
      <c r="W225" s="14" t="b">
        <v>1</v>
      </c>
      <c r="X225" s="5" t="s">
        <v>409</v>
      </c>
      <c r="Y225" s="28"/>
      <c r="Z225" s="5" t="s">
        <v>858</v>
      </c>
      <c r="AA225" s="5" t="s">
        <v>858</v>
      </c>
      <c r="AB225" s="24" t="s">
        <v>413</v>
      </c>
      <c r="AC225" s="14"/>
      <c r="AD225" s="14"/>
      <c r="AE225" s="14">
        <v>1</v>
      </c>
      <c r="AF225" s="14"/>
      <c r="AG225" s="14"/>
      <c r="AH225" s="14"/>
      <c r="AI225" s="14"/>
      <c r="AJ225" s="14"/>
      <c r="AK225" s="14"/>
      <c r="AL225" s="14"/>
      <c r="AM225" s="14"/>
      <c r="AN225" s="14"/>
      <c r="AO225" s="14"/>
      <c r="AP225" s="14"/>
      <c r="AQ225" s="14"/>
      <c r="AR225" s="14"/>
      <c r="AS225" s="14"/>
      <c r="AT225" s="14"/>
      <c r="AU225" s="14"/>
      <c r="AV225" s="14"/>
      <c r="AW225" s="14"/>
      <c r="AX225" s="14"/>
    </row>
    <row r="226" spans="1:50" ht="15.75" customHeight="1">
      <c r="A226" s="24" t="s">
        <v>110</v>
      </c>
      <c r="B226" s="25" t="str">
        <f t="shared" si="6"/>
        <v>C2C_100nm_tile3_4_</v>
      </c>
      <c r="C226" s="24" t="s">
        <v>1720</v>
      </c>
      <c r="D226" s="74" t="str">
        <f t="shared" si="7"/>
        <v>bossdb://lee2022/C2C_100nm_tile3_4_/</v>
      </c>
      <c r="E226" s="24" t="s">
        <v>2</v>
      </c>
      <c r="F226" s="5" t="s">
        <v>1013</v>
      </c>
      <c r="G226" s="5" t="s">
        <v>865</v>
      </c>
      <c r="H226" s="24" t="s">
        <v>1491</v>
      </c>
      <c r="I226" s="24" t="s">
        <v>1720</v>
      </c>
      <c r="J226" s="24" t="s">
        <v>1492</v>
      </c>
      <c r="K226" s="24" t="s">
        <v>867</v>
      </c>
      <c r="L226" s="24" t="s">
        <v>853</v>
      </c>
      <c r="M226" s="24" t="s">
        <v>962</v>
      </c>
      <c r="N226" s="24" t="s">
        <v>0</v>
      </c>
      <c r="O226" s="24" t="s">
        <v>1717</v>
      </c>
      <c r="P226" s="24" t="s">
        <v>848</v>
      </c>
      <c r="Q226" s="24" t="s">
        <v>848</v>
      </c>
      <c r="R226" s="24">
        <v>3</v>
      </c>
      <c r="S226" s="24" t="s">
        <v>1494</v>
      </c>
      <c r="T226" s="24" t="s">
        <v>962</v>
      </c>
      <c r="U226" s="24" t="s">
        <v>856</v>
      </c>
      <c r="V226" s="32" t="s">
        <v>857</v>
      </c>
      <c r="W226" s="14" t="b">
        <v>1</v>
      </c>
      <c r="X226" s="5" t="s">
        <v>409</v>
      </c>
      <c r="Y226" s="28"/>
      <c r="Z226" s="5" t="s">
        <v>858</v>
      </c>
      <c r="AA226" s="5" t="s">
        <v>858</v>
      </c>
      <c r="AB226" s="24" t="s">
        <v>413</v>
      </c>
      <c r="AC226" s="14"/>
      <c r="AD226" s="14"/>
      <c r="AE226" s="14">
        <v>1</v>
      </c>
      <c r="AF226" s="14"/>
      <c r="AG226" s="14"/>
      <c r="AH226" s="14"/>
      <c r="AI226" s="14"/>
      <c r="AJ226" s="14"/>
      <c r="AK226" s="14"/>
      <c r="AL226" s="14"/>
      <c r="AM226" s="14"/>
      <c r="AN226" s="14"/>
      <c r="AO226" s="14"/>
      <c r="AP226" s="14"/>
      <c r="AQ226" s="14"/>
      <c r="AR226" s="14"/>
      <c r="AS226" s="14"/>
      <c r="AT226" s="14"/>
      <c r="AU226" s="14"/>
      <c r="AV226" s="14"/>
      <c r="AW226" s="14"/>
      <c r="AX226" s="14"/>
    </row>
    <row r="227" spans="1:50" ht="15.75" customHeight="1">
      <c r="A227" s="24" t="s">
        <v>112</v>
      </c>
      <c r="B227" s="25" t="str">
        <f t="shared" si="6"/>
        <v>C2C_ovw_150nm_sz1p1_</v>
      </c>
      <c r="C227" s="24" t="s">
        <v>1721</v>
      </c>
      <c r="D227" s="74" t="str">
        <f t="shared" si="7"/>
        <v>bossdb://lee2022/C2C_ovw_150nm_sz1p1_/</v>
      </c>
      <c r="E227" s="24" t="s">
        <v>2</v>
      </c>
      <c r="F227" s="5" t="s">
        <v>1013</v>
      </c>
      <c r="G227" s="5" t="s">
        <v>865</v>
      </c>
      <c r="H227" s="24" t="s">
        <v>1491</v>
      </c>
      <c r="I227" s="24" t="s">
        <v>1721</v>
      </c>
      <c r="J227" s="24" t="s">
        <v>1492</v>
      </c>
      <c r="K227" s="24" t="s">
        <v>867</v>
      </c>
      <c r="L227" s="24" t="s">
        <v>853</v>
      </c>
      <c r="M227" s="24" t="s">
        <v>962</v>
      </c>
      <c r="N227" s="24" t="s">
        <v>0</v>
      </c>
      <c r="O227" s="24" t="s">
        <v>1718</v>
      </c>
      <c r="P227" s="24" t="s">
        <v>848</v>
      </c>
      <c r="Q227" s="24" t="s">
        <v>848</v>
      </c>
      <c r="R227" s="24">
        <v>3</v>
      </c>
      <c r="S227" s="24" t="s">
        <v>1494</v>
      </c>
      <c r="T227" s="24" t="s">
        <v>962</v>
      </c>
      <c r="U227" s="24" t="s">
        <v>856</v>
      </c>
      <c r="V227" s="32" t="s">
        <v>857</v>
      </c>
      <c r="W227" s="14" t="b">
        <v>1</v>
      </c>
      <c r="X227" s="5" t="s">
        <v>409</v>
      </c>
      <c r="Y227" s="28"/>
      <c r="Z227" s="5" t="s">
        <v>858</v>
      </c>
      <c r="AA227" s="5" t="s">
        <v>858</v>
      </c>
      <c r="AB227" s="24" t="s">
        <v>413</v>
      </c>
      <c r="AC227" s="14"/>
      <c r="AD227" s="14"/>
      <c r="AE227" s="14">
        <v>1</v>
      </c>
      <c r="AF227" s="14"/>
      <c r="AG227" s="14"/>
      <c r="AH227" s="14"/>
      <c r="AI227" s="14"/>
      <c r="AJ227" s="14"/>
      <c r="AK227" s="14"/>
      <c r="AL227" s="14"/>
      <c r="AM227" s="14"/>
      <c r="AN227" s="14"/>
      <c r="AO227" s="14"/>
      <c r="AP227" s="14"/>
      <c r="AQ227" s="14"/>
      <c r="AR227" s="14"/>
      <c r="AS227" s="14"/>
      <c r="AT227" s="14"/>
      <c r="AU227" s="14"/>
      <c r="AV227" s="14"/>
      <c r="AW227" s="14"/>
      <c r="AX227" s="14"/>
    </row>
    <row r="228" spans="1:50" ht="15.75" customHeight="1">
      <c r="A228" s="24" t="s">
        <v>114</v>
      </c>
      <c r="B228" s="25" t="str">
        <f t="shared" si="6"/>
        <v>C2C_ovw_150nm_sz1p1_1_</v>
      </c>
      <c r="C228" s="24" t="s">
        <v>1722</v>
      </c>
      <c r="D228" s="74" t="str">
        <f t="shared" si="7"/>
        <v>bossdb://lee2022/C2C_ovw_150nm_sz1p1_1_/</v>
      </c>
      <c r="E228" s="24" t="s">
        <v>2</v>
      </c>
      <c r="F228" s="5" t="s">
        <v>1013</v>
      </c>
      <c r="G228" s="5" t="s">
        <v>865</v>
      </c>
      <c r="H228" s="24" t="s">
        <v>1491</v>
      </c>
      <c r="I228" s="24" t="s">
        <v>1722</v>
      </c>
      <c r="J228" s="24" t="s">
        <v>1492</v>
      </c>
      <c r="K228" s="24" t="s">
        <v>867</v>
      </c>
      <c r="L228" s="24" t="s">
        <v>853</v>
      </c>
      <c r="M228" s="24" t="s">
        <v>962</v>
      </c>
      <c r="N228" s="24" t="s">
        <v>0</v>
      </c>
      <c r="O228" s="24" t="s">
        <v>1719</v>
      </c>
      <c r="P228" s="24" t="s">
        <v>848</v>
      </c>
      <c r="Q228" s="24" t="s">
        <v>848</v>
      </c>
      <c r="R228" s="24">
        <v>3</v>
      </c>
      <c r="S228" s="24" t="s">
        <v>1494</v>
      </c>
      <c r="T228" s="24" t="s">
        <v>962</v>
      </c>
      <c r="U228" s="24" t="s">
        <v>856</v>
      </c>
      <c r="V228" s="32" t="s">
        <v>857</v>
      </c>
      <c r="W228" s="14" t="b">
        <v>1</v>
      </c>
      <c r="X228" s="5" t="s">
        <v>409</v>
      </c>
      <c r="Y228" s="28"/>
      <c r="Z228" s="5" t="s">
        <v>858</v>
      </c>
      <c r="AA228" s="5" t="s">
        <v>858</v>
      </c>
      <c r="AB228" s="24" t="s">
        <v>413</v>
      </c>
      <c r="AC228" s="14"/>
      <c r="AD228" s="14"/>
      <c r="AE228" s="14">
        <v>1</v>
      </c>
      <c r="AF228" s="14"/>
      <c r="AG228" s="14"/>
      <c r="AH228" s="14"/>
      <c r="AI228" s="14"/>
      <c r="AJ228" s="14"/>
      <c r="AK228" s="14"/>
      <c r="AL228" s="14"/>
      <c r="AM228" s="14"/>
      <c r="AN228" s="14"/>
      <c r="AO228" s="14"/>
      <c r="AP228" s="14"/>
      <c r="AQ228" s="14"/>
      <c r="AR228" s="14"/>
      <c r="AS228" s="14"/>
      <c r="AT228" s="14"/>
      <c r="AU228" s="14"/>
      <c r="AV228" s="14"/>
      <c r="AW228" s="14"/>
      <c r="AX228" s="14"/>
    </row>
    <row r="229" spans="1:50" ht="15.75" customHeight="1">
      <c r="A229" s="24" t="s">
        <v>116</v>
      </c>
      <c r="B229" s="25" t="str">
        <f t="shared" si="6"/>
        <v>C2C_ovw_150nm_sz1p4_</v>
      </c>
      <c r="C229" s="24" t="s">
        <v>1723</v>
      </c>
      <c r="D229" s="74" t="str">
        <f t="shared" si="7"/>
        <v>bossdb://lee2022/C2C_ovw_150nm_sz1p4_/</v>
      </c>
      <c r="E229" s="24" t="s">
        <v>2</v>
      </c>
      <c r="F229" s="5" t="s">
        <v>1013</v>
      </c>
      <c r="G229" s="5" t="s">
        <v>865</v>
      </c>
      <c r="H229" s="24" t="s">
        <v>1491</v>
      </c>
      <c r="I229" s="24" t="s">
        <v>1723</v>
      </c>
      <c r="J229" s="24" t="s">
        <v>1492</v>
      </c>
      <c r="K229" s="24" t="s">
        <v>867</v>
      </c>
      <c r="L229" s="24" t="s">
        <v>853</v>
      </c>
      <c r="M229" s="24" t="s">
        <v>962</v>
      </c>
      <c r="N229" s="24" t="s">
        <v>0</v>
      </c>
      <c r="O229" s="24" t="s">
        <v>1720</v>
      </c>
      <c r="P229" s="24" t="s">
        <v>848</v>
      </c>
      <c r="Q229" s="24" t="s">
        <v>848</v>
      </c>
      <c r="R229" s="24">
        <v>3</v>
      </c>
      <c r="S229" s="24" t="s">
        <v>1494</v>
      </c>
      <c r="T229" s="24" t="s">
        <v>962</v>
      </c>
      <c r="U229" s="24" t="s">
        <v>856</v>
      </c>
      <c r="V229" s="32" t="s">
        <v>857</v>
      </c>
      <c r="W229" s="14" t="b">
        <v>1</v>
      </c>
      <c r="X229" s="5" t="s">
        <v>409</v>
      </c>
      <c r="Y229" s="28"/>
      <c r="Z229" s="5" t="s">
        <v>858</v>
      </c>
      <c r="AA229" s="5" t="s">
        <v>858</v>
      </c>
      <c r="AB229" s="24" t="s">
        <v>413</v>
      </c>
      <c r="AC229" s="14"/>
      <c r="AD229" s="14"/>
      <c r="AE229" s="14">
        <v>1</v>
      </c>
      <c r="AF229" s="14"/>
      <c r="AG229" s="14"/>
      <c r="AH229" s="14"/>
      <c r="AI229" s="14"/>
      <c r="AJ229" s="14"/>
      <c r="AK229" s="14"/>
      <c r="AL229" s="14"/>
      <c r="AM229" s="14"/>
      <c r="AN229" s="14"/>
      <c r="AO229" s="14"/>
      <c r="AP229" s="14"/>
      <c r="AQ229" s="14"/>
      <c r="AR229" s="14"/>
      <c r="AS229" s="14"/>
      <c r="AT229" s="14"/>
      <c r="AU229" s="14"/>
      <c r="AV229" s="14"/>
      <c r="AW229" s="14"/>
      <c r="AX229" s="14"/>
    </row>
    <row r="230" spans="1:50" ht="15.75" customHeight="1">
      <c r="A230" s="24" t="s">
        <v>118</v>
      </c>
      <c r="B230" s="25" t="str">
        <f t="shared" si="6"/>
        <v>C2C_ovw_150nm_sz1p4_1_</v>
      </c>
      <c r="C230" s="24" t="s">
        <v>1724</v>
      </c>
      <c r="D230" s="74" t="str">
        <f t="shared" si="7"/>
        <v>bossdb://lee2022/C2C_ovw_150nm_sz1p4_1_/</v>
      </c>
      <c r="E230" s="24" t="s">
        <v>2</v>
      </c>
      <c r="F230" s="5" t="s">
        <v>1013</v>
      </c>
      <c r="G230" s="5" t="s">
        <v>865</v>
      </c>
      <c r="H230" s="24" t="s">
        <v>1491</v>
      </c>
      <c r="I230" s="24" t="s">
        <v>1724</v>
      </c>
      <c r="J230" s="24" t="s">
        <v>1492</v>
      </c>
      <c r="K230" s="24" t="s">
        <v>867</v>
      </c>
      <c r="L230" s="24" t="s">
        <v>853</v>
      </c>
      <c r="M230" s="24" t="s">
        <v>962</v>
      </c>
      <c r="N230" s="24" t="s">
        <v>0</v>
      </c>
      <c r="O230" s="24" t="s">
        <v>1721</v>
      </c>
      <c r="P230" s="24" t="s">
        <v>848</v>
      </c>
      <c r="Q230" s="24" t="s">
        <v>848</v>
      </c>
      <c r="R230" s="24">
        <v>3</v>
      </c>
      <c r="S230" s="24" t="s">
        <v>1494</v>
      </c>
      <c r="T230" s="24" t="s">
        <v>962</v>
      </c>
      <c r="U230" s="24" t="s">
        <v>856</v>
      </c>
      <c r="V230" s="32" t="s">
        <v>857</v>
      </c>
      <c r="W230" s="14" t="b">
        <v>1</v>
      </c>
      <c r="X230" s="5" t="s">
        <v>409</v>
      </c>
      <c r="Y230" s="28"/>
      <c r="Z230" s="5" t="s">
        <v>858</v>
      </c>
      <c r="AA230" s="5" t="s">
        <v>858</v>
      </c>
      <c r="AB230" s="24" t="s">
        <v>413</v>
      </c>
      <c r="AC230" s="14"/>
      <c r="AD230" s="14"/>
      <c r="AE230" s="14">
        <v>1</v>
      </c>
      <c r="AF230" s="14"/>
      <c r="AG230" s="14"/>
      <c r="AH230" s="14"/>
      <c r="AI230" s="14"/>
      <c r="AJ230" s="14"/>
      <c r="AK230" s="14"/>
      <c r="AL230" s="14"/>
      <c r="AM230" s="14"/>
      <c r="AN230" s="14"/>
      <c r="AO230" s="14"/>
      <c r="AP230" s="14"/>
      <c r="AQ230" s="14"/>
      <c r="AR230" s="14"/>
      <c r="AS230" s="14"/>
      <c r="AT230" s="14"/>
      <c r="AU230" s="14"/>
      <c r="AV230" s="14"/>
      <c r="AW230" s="14"/>
      <c r="AX230" s="14"/>
    </row>
    <row r="231" spans="1:50" ht="15.75" customHeight="1">
      <c r="A231" s="24" t="s">
        <v>120</v>
      </c>
      <c r="B231" s="25" t="str">
        <f t="shared" si="6"/>
        <v>C2D_060nm_tile1_</v>
      </c>
      <c r="C231" s="24" t="s">
        <v>1725</v>
      </c>
      <c r="D231" s="74" t="str">
        <f t="shared" si="7"/>
        <v>bossdb://lee2022/C2D_060nm_tile1_/</v>
      </c>
      <c r="E231" s="24" t="s">
        <v>2</v>
      </c>
      <c r="F231" s="5" t="s">
        <v>1013</v>
      </c>
      <c r="G231" s="5" t="s">
        <v>865</v>
      </c>
      <c r="H231" s="24" t="s">
        <v>1491</v>
      </c>
      <c r="I231" s="24" t="s">
        <v>1725</v>
      </c>
      <c r="J231" s="24" t="s">
        <v>1492</v>
      </c>
      <c r="K231" s="24" t="s">
        <v>867</v>
      </c>
      <c r="L231" s="24" t="s">
        <v>853</v>
      </c>
      <c r="M231" s="24" t="s">
        <v>962</v>
      </c>
      <c r="N231" s="24" t="s">
        <v>0</v>
      </c>
      <c r="O231" s="24" t="s">
        <v>1722</v>
      </c>
      <c r="P231" s="24" t="s">
        <v>848</v>
      </c>
      <c r="Q231" s="24" t="s">
        <v>848</v>
      </c>
      <c r="R231" s="24">
        <v>3</v>
      </c>
      <c r="S231" s="24" t="s">
        <v>1494</v>
      </c>
      <c r="T231" s="24" t="s">
        <v>962</v>
      </c>
      <c r="U231" s="24" t="s">
        <v>856</v>
      </c>
      <c r="V231" s="32" t="s">
        <v>857</v>
      </c>
      <c r="W231" s="14" t="b">
        <v>1</v>
      </c>
      <c r="X231" s="5" t="s">
        <v>409</v>
      </c>
      <c r="Y231" s="28"/>
      <c r="Z231" s="5" t="s">
        <v>858</v>
      </c>
      <c r="AA231" s="5" t="s">
        <v>858</v>
      </c>
      <c r="AB231" s="24" t="s">
        <v>413</v>
      </c>
      <c r="AC231" s="14"/>
      <c r="AD231" s="14"/>
      <c r="AE231" s="14">
        <v>1</v>
      </c>
      <c r="AF231" s="14"/>
      <c r="AG231" s="14"/>
      <c r="AH231" s="14"/>
      <c r="AI231" s="14"/>
      <c r="AJ231" s="14"/>
      <c r="AK231" s="14"/>
      <c r="AL231" s="14"/>
      <c r="AM231" s="14"/>
      <c r="AN231" s="14"/>
      <c r="AO231" s="14"/>
      <c r="AP231" s="14"/>
      <c r="AQ231" s="14"/>
      <c r="AR231" s="14"/>
      <c r="AS231" s="14"/>
      <c r="AT231" s="14"/>
      <c r="AU231" s="14"/>
      <c r="AV231" s="14"/>
      <c r="AW231" s="14"/>
      <c r="AX231" s="14"/>
    </row>
    <row r="232" spans="1:50" ht="15.75" customHeight="1">
      <c r="A232" s="24" t="s">
        <v>122</v>
      </c>
      <c r="B232" s="25" t="str">
        <f t="shared" si="6"/>
        <v>C2D_060nm_tile1_1_</v>
      </c>
      <c r="C232" s="24" t="s">
        <v>1726</v>
      </c>
      <c r="D232" s="74" t="str">
        <f t="shared" si="7"/>
        <v>bossdb://lee2022/C2D_060nm_tile1_1_/</v>
      </c>
      <c r="E232" s="24" t="s">
        <v>2</v>
      </c>
      <c r="F232" s="5" t="s">
        <v>1013</v>
      </c>
      <c r="G232" s="5" t="s">
        <v>865</v>
      </c>
      <c r="H232" s="24" t="s">
        <v>1491</v>
      </c>
      <c r="I232" s="24" t="s">
        <v>1726</v>
      </c>
      <c r="J232" s="24" t="s">
        <v>1492</v>
      </c>
      <c r="K232" s="24" t="s">
        <v>867</v>
      </c>
      <c r="L232" s="24" t="s">
        <v>853</v>
      </c>
      <c r="M232" s="24" t="s">
        <v>962</v>
      </c>
      <c r="N232" s="24" t="s">
        <v>0</v>
      </c>
      <c r="O232" s="24" t="s">
        <v>1723</v>
      </c>
      <c r="P232" s="24" t="s">
        <v>848</v>
      </c>
      <c r="Q232" s="24" t="s">
        <v>848</v>
      </c>
      <c r="R232" s="24">
        <v>3</v>
      </c>
      <c r="S232" s="24" t="s">
        <v>1494</v>
      </c>
      <c r="T232" s="24" t="s">
        <v>962</v>
      </c>
      <c r="U232" s="24" t="s">
        <v>856</v>
      </c>
      <c r="V232" s="32" t="s">
        <v>857</v>
      </c>
      <c r="W232" s="14" t="b">
        <v>1</v>
      </c>
      <c r="X232" s="5" t="s">
        <v>409</v>
      </c>
      <c r="Y232" s="28"/>
      <c r="Z232" s="5" t="s">
        <v>858</v>
      </c>
      <c r="AA232" s="5" t="s">
        <v>858</v>
      </c>
      <c r="AB232" s="24" t="s">
        <v>413</v>
      </c>
      <c r="AC232" s="14"/>
      <c r="AD232" s="14"/>
      <c r="AE232" s="14">
        <v>1</v>
      </c>
      <c r="AF232" s="14"/>
      <c r="AG232" s="14"/>
      <c r="AH232" s="14"/>
      <c r="AI232" s="14"/>
      <c r="AJ232" s="14"/>
      <c r="AK232" s="14"/>
      <c r="AL232" s="14"/>
      <c r="AM232" s="14"/>
      <c r="AN232" s="14"/>
      <c r="AO232" s="14"/>
      <c r="AP232" s="14"/>
      <c r="AQ232" s="14"/>
      <c r="AR232" s="14"/>
      <c r="AS232" s="14"/>
      <c r="AT232" s="14"/>
      <c r="AU232" s="14"/>
      <c r="AV232" s="14"/>
      <c r="AW232" s="14"/>
      <c r="AX232" s="14"/>
    </row>
    <row r="233" spans="1:50" ht="15.75" customHeight="1">
      <c r="A233" s="24" t="s">
        <v>124</v>
      </c>
      <c r="B233" s="25" t="str">
        <f t="shared" si="6"/>
        <v>C2D_060nm_tile1_2_</v>
      </c>
      <c r="C233" s="24" t="s">
        <v>1727</v>
      </c>
      <c r="D233" s="74" t="str">
        <f t="shared" si="7"/>
        <v>bossdb://lee2022/C2D_060nm_tile1_2_/</v>
      </c>
      <c r="E233" s="24" t="s">
        <v>2</v>
      </c>
      <c r="F233" s="5" t="s">
        <v>1013</v>
      </c>
      <c r="G233" s="5" t="s">
        <v>865</v>
      </c>
      <c r="H233" s="24" t="s">
        <v>1491</v>
      </c>
      <c r="I233" s="24" t="s">
        <v>1727</v>
      </c>
      <c r="J233" s="24" t="s">
        <v>1492</v>
      </c>
      <c r="K233" s="24" t="s">
        <v>867</v>
      </c>
      <c r="L233" s="24" t="s">
        <v>853</v>
      </c>
      <c r="M233" s="24" t="s">
        <v>962</v>
      </c>
      <c r="N233" s="24" t="s">
        <v>0</v>
      </c>
      <c r="O233" s="24" t="s">
        <v>1724</v>
      </c>
      <c r="P233" s="24" t="s">
        <v>848</v>
      </c>
      <c r="Q233" s="24" t="s">
        <v>848</v>
      </c>
      <c r="R233" s="24">
        <v>3</v>
      </c>
      <c r="S233" s="24" t="s">
        <v>1494</v>
      </c>
      <c r="T233" s="24" t="s">
        <v>962</v>
      </c>
      <c r="U233" s="24" t="s">
        <v>856</v>
      </c>
      <c r="V233" s="32" t="s">
        <v>857</v>
      </c>
      <c r="W233" s="14" t="b">
        <v>1</v>
      </c>
      <c r="X233" s="5" t="s">
        <v>409</v>
      </c>
      <c r="Y233" s="28"/>
      <c r="Z233" s="5" t="s">
        <v>858</v>
      </c>
      <c r="AA233" s="5" t="s">
        <v>858</v>
      </c>
      <c r="AB233" s="24" t="s">
        <v>413</v>
      </c>
      <c r="AC233" s="14"/>
      <c r="AD233" s="14"/>
      <c r="AE233" s="14">
        <v>1</v>
      </c>
      <c r="AF233" s="14"/>
      <c r="AG233" s="14"/>
      <c r="AH233" s="14"/>
      <c r="AI233" s="14"/>
      <c r="AJ233" s="14"/>
      <c r="AK233" s="14"/>
      <c r="AL233" s="14"/>
      <c r="AM233" s="14"/>
      <c r="AN233" s="14"/>
      <c r="AO233" s="14"/>
      <c r="AP233" s="14"/>
      <c r="AQ233" s="14"/>
      <c r="AR233" s="14"/>
      <c r="AS233" s="14"/>
      <c r="AT233" s="14"/>
      <c r="AU233" s="14"/>
      <c r="AV233" s="14"/>
      <c r="AW233" s="14"/>
      <c r="AX233" s="14"/>
    </row>
    <row r="234" spans="1:50" ht="15.75" customHeight="1">
      <c r="A234" s="24" t="s">
        <v>126</v>
      </c>
      <c r="B234" s="25" t="str">
        <f t="shared" si="6"/>
        <v>C2D_060nm_tile1_3_</v>
      </c>
      <c r="C234" s="24" t="s">
        <v>1728</v>
      </c>
      <c r="D234" s="74" t="str">
        <f t="shared" si="7"/>
        <v>bossdb://lee2022/C2D_060nm_tile1_3_/</v>
      </c>
      <c r="E234" s="24" t="s">
        <v>2</v>
      </c>
      <c r="F234" s="5" t="s">
        <v>1013</v>
      </c>
      <c r="G234" s="5" t="s">
        <v>865</v>
      </c>
      <c r="H234" s="24" t="s">
        <v>1491</v>
      </c>
      <c r="I234" s="24" t="s">
        <v>1728</v>
      </c>
      <c r="J234" s="24" t="s">
        <v>1492</v>
      </c>
      <c r="K234" s="24" t="s">
        <v>867</v>
      </c>
      <c r="L234" s="24" t="s">
        <v>853</v>
      </c>
      <c r="M234" s="24" t="s">
        <v>962</v>
      </c>
      <c r="N234" s="24" t="s">
        <v>0</v>
      </c>
      <c r="O234" s="24" t="s">
        <v>1725</v>
      </c>
      <c r="P234" s="24" t="s">
        <v>848</v>
      </c>
      <c r="Q234" s="24" t="s">
        <v>848</v>
      </c>
      <c r="R234" s="24">
        <v>3</v>
      </c>
      <c r="S234" s="24" t="s">
        <v>1494</v>
      </c>
      <c r="T234" s="24" t="s">
        <v>962</v>
      </c>
      <c r="U234" s="24" t="s">
        <v>856</v>
      </c>
      <c r="V234" s="32" t="s">
        <v>857</v>
      </c>
      <c r="W234" s="14" t="b">
        <v>1</v>
      </c>
      <c r="X234" s="5" t="s">
        <v>409</v>
      </c>
      <c r="Y234" s="28"/>
      <c r="Z234" s="5" t="s">
        <v>858</v>
      </c>
      <c r="AA234" s="5" t="s">
        <v>858</v>
      </c>
      <c r="AB234" s="24" t="s">
        <v>413</v>
      </c>
      <c r="AC234" s="14"/>
      <c r="AD234" s="14"/>
      <c r="AE234" s="14">
        <v>1</v>
      </c>
      <c r="AF234" s="14"/>
      <c r="AG234" s="14"/>
      <c r="AH234" s="14"/>
      <c r="AI234" s="14"/>
      <c r="AJ234" s="14"/>
      <c r="AK234" s="14"/>
      <c r="AL234" s="14"/>
      <c r="AM234" s="14"/>
      <c r="AN234" s="14"/>
      <c r="AO234" s="14"/>
      <c r="AP234" s="14"/>
      <c r="AQ234" s="14"/>
      <c r="AR234" s="14"/>
      <c r="AS234" s="14"/>
      <c r="AT234" s="14"/>
      <c r="AU234" s="14"/>
      <c r="AV234" s="14"/>
      <c r="AW234" s="14"/>
      <c r="AX234" s="14"/>
    </row>
    <row r="235" spans="1:50" ht="15.75" customHeight="1">
      <c r="A235" s="24" t="s">
        <v>128</v>
      </c>
      <c r="B235" s="25" t="str">
        <f t="shared" si="6"/>
        <v>C2D_060nm_tile1_4_</v>
      </c>
      <c r="C235" s="24" t="s">
        <v>1729</v>
      </c>
      <c r="D235" s="74" t="str">
        <f t="shared" si="7"/>
        <v>bossdb://lee2022/C2D_060nm_tile1_4_/</v>
      </c>
      <c r="E235" s="24" t="s">
        <v>2</v>
      </c>
      <c r="F235" s="5" t="s">
        <v>1013</v>
      </c>
      <c r="G235" s="5" t="s">
        <v>865</v>
      </c>
      <c r="H235" s="24" t="s">
        <v>1491</v>
      </c>
      <c r="I235" s="24" t="s">
        <v>1729</v>
      </c>
      <c r="J235" s="24" t="s">
        <v>1492</v>
      </c>
      <c r="K235" s="24" t="s">
        <v>867</v>
      </c>
      <c r="L235" s="24" t="s">
        <v>853</v>
      </c>
      <c r="M235" s="24" t="s">
        <v>962</v>
      </c>
      <c r="N235" s="24" t="s">
        <v>0</v>
      </c>
      <c r="O235" s="24" t="s">
        <v>1726</v>
      </c>
      <c r="P235" s="24" t="s">
        <v>848</v>
      </c>
      <c r="Q235" s="24" t="s">
        <v>848</v>
      </c>
      <c r="R235" s="24">
        <v>3</v>
      </c>
      <c r="S235" s="24" t="s">
        <v>1494</v>
      </c>
      <c r="T235" s="24" t="s">
        <v>962</v>
      </c>
      <c r="U235" s="24" t="s">
        <v>856</v>
      </c>
      <c r="V235" s="32" t="s">
        <v>857</v>
      </c>
      <c r="W235" s="14" t="b">
        <v>1</v>
      </c>
      <c r="X235" s="5" t="s">
        <v>409</v>
      </c>
      <c r="Y235" s="28"/>
      <c r="Z235" s="5" t="s">
        <v>858</v>
      </c>
      <c r="AA235" s="5" t="s">
        <v>858</v>
      </c>
      <c r="AB235" s="24" t="s">
        <v>413</v>
      </c>
      <c r="AC235" s="14"/>
      <c r="AD235" s="14"/>
      <c r="AE235" s="14">
        <v>1</v>
      </c>
      <c r="AF235" s="14"/>
      <c r="AG235" s="14"/>
      <c r="AH235" s="14"/>
      <c r="AI235" s="14"/>
      <c r="AJ235" s="14"/>
      <c r="AK235" s="14"/>
      <c r="AL235" s="14"/>
      <c r="AM235" s="14"/>
      <c r="AN235" s="14"/>
      <c r="AO235" s="14"/>
      <c r="AP235" s="14"/>
      <c r="AQ235" s="14"/>
      <c r="AR235" s="14"/>
      <c r="AS235" s="14"/>
      <c r="AT235" s="14"/>
      <c r="AU235" s="14"/>
      <c r="AV235" s="14"/>
      <c r="AW235" s="14"/>
      <c r="AX235" s="14"/>
    </row>
    <row r="236" spans="1:50" ht="15.75" customHeight="1">
      <c r="A236" s="24" t="s">
        <v>130</v>
      </c>
      <c r="B236" s="25" t="str">
        <f t="shared" si="6"/>
        <v>C2D_100nm_tile1_</v>
      </c>
      <c r="C236" s="24" t="s">
        <v>1730</v>
      </c>
      <c r="D236" s="74" t="str">
        <f t="shared" si="7"/>
        <v>bossdb://lee2022/C2D_100nm_tile1_/</v>
      </c>
      <c r="E236" s="24" t="s">
        <v>2</v>
      </c>
      <c r="F236" s="5" t="s">
        <v>1013</v>
      </c>
      <c r="G236" s="5" t="s">
        <v>865</v>
      </c>
      <c r="H236" s="24" t="s">
        <v>1491</v>
      </c>
      <c r="I236" s="24" t="s">
        <v>1730</v>
      </c>
      <c r="J236" s="24" t="s">
        <v>1492</v>
      </c>
      <c r="K236" s="24" t="s">
        <v>867</v>
      </c>
      <c r="L236" s="24" t="s">
        <v>853</v>
      </c>
      <c r="M236" s="24" t="s">
        <v>962</v>
      </c>
      <c r="N236" s="24" t="s">
        <v>0</v>
      </c>
      <c r="O236" s="24" t="s">
        <v>1727</v>
      </c>
      <c r="P236" s="24" t="s">
        <v>848</v>
      </c>
      <c r="Q236" s="24" t="s">
        <v>848</v>
      </c>
      <c r="R236" s="24">
        <v>3</v>
      </c>
      <c r="S236" s="24" t="s">
        <v>1494</v>
      </c>
      <c r="T236" s="24" t="s">
        <v>962</v>
      </c>
      <c r="U236" s="24" t="s">
        <v>856</v>
      </c>
      <c r="V236" s="32" t="s">
        <v>857</v>
      </c>
      <c r="W236" s="14" t="b">
        <v>1</v>
      </c>
      <c r="X236" s="5" t="s">
        <v>409</v>
      </c>
      <c r="Y236" s="28"/>
      <c r="Z236" s="5" t="s">
        <v>858</v>
      </c>
      <c r="AA236" s="5" t="s">
        <v>858</v>
      </c>
      <c r="AB236" s="24" t="s">
        <v>413</v>
      </c>
      <c r="AC236" s="14"/>
      <c r="AD236" s="14"/>
      <c r="AE236" s="14">
        <v>1</v>
      </c>
      <c r="AF236" s="14"/>
      <c r="AG236" s="14"/>
      <c r="AH236" s="14"/>
      <c r="AI236" s="14"/>
      <c r="AJ236" s="14"/>
      <c r="AK236" s="14"/>
      <c r="AL236" s="14"/>
      <c r="AM236" s="14"/>
      <c r="AN236" s="14"/>
      <c r="AO236" s="14"/>
      <c r="AP236" s="14"/>
      <c r="AQ236" s="14"/>
      <c r="AR236" s="14"/>
      <c r="AS236" s="14"/>
      <c r="AT236" s="14"/>
      <c r="AU236" s="14"/>
      <c r="AV236" s="14"/>
      <c r="AW236" s="14"/>
      <c r="AX236" s="14"/>
    </row>
    <row r="237" spans="1:50" ht="15.75" customHeight="1">
      <c r="A237" s="24" t="s">
        <v>132</v>
      </c>
      <c r="B237" s="25" t="str">
        <f t="shared" si="6"/>
        <v>C2D_100nm_tile1_1_</v>
      </c>
      <c r="C237" s="24" t="s">
        <v>1731</v>
      </c>
      <c r="D237" s="74" t="str">
        <f t="shared" si="7"/>
        <v>bossdb://lee2022/C2D_100nm_tile1_1_/</v>
      </c>
      <c r="E237" s="24" t="s">
        <v>2</v>
      </c>
      <c r="F237" s="5" t="s">
        <v>1013</v>
      </c>
      <c r="G237" s="5" t="s">
        <v>865</v>
      </c>
      <c r="H237" s="24" t="s">
        <v>1491</v>
      </c>
      <c r="I237" s="24" t="s">
        <v>1731</v>
      </c>
      <c r="J237" s="24" t="s">
        <v>1492</v>
      </c>
      <c r="K237" s="24" t="s">
        <v>867</v>
      </c>
      <c r="L237" s="24" t="s">
        <v>853</v>
      </c>
      <c r="M237" s="24" t="s">
        <v>962</v>
      </c>
      <c r="N237" s="24" t="s">
        <v>0</v>
      </c>
      <c r="O237" s="24" t="s">
        <v>1728</v>
      </c>
      <c r="P237" s="24" t="s">
        <v>848</v>
      </c>
      <c r="Q237" s="24" t="s">
        <v>848</v>
      </c>
      <c r="R237" s="24">
        <v>3</v>
      </c>
      <c r="S237" s="24" t="s">
        <v>1494</v>
      </c>
      <c r="T237" s="24" t="s">
        <v>962</v>
      </c>
      <c r="U237" s="24" t="s">
        <v>856</v>
      </c>
      <c r="V237" s="32" t="s">
        <v>857</v>
      </c>
      <c r="W237" s="14" t="b">
        <v>1</v>
      </c>
      <c r="X237" s="5" t="s">
        <v>409</v>
      </c>
      <c r="Y237" s="28"/>
      <c r="Z237" s="5" t="s">
        <v>858</v>
      </c>
      <c r="AA237" s="5" t="s">
        <v>858</v>
      </c>
      <c r="AB237" s="24" t="s">
        <v>413</v>
      </c>
      <c r="AC237" s="14"/>
      <c r="AD237" s="14"/>
      <c r="AE237" s="14">
        <v>1</v>
      </c>
      <c r="AF237" s="14"/>
      <c r="AG237" s="14"/>
      <c r="AH237" s="14"/>
      <c r="AI237" s="14"/>
      <c r="AJ237" s="14"/>
      <c r="AK237" s="14"/>
      <c r="AL237" s="14"/>
      <c r="AM237" s="14"/>
      <c r="AN237" s="14"/>
      <c r="AO237" s="14"/>
      <c r="AP237" s="14"/>
      <c r="AQ237" s="14"/>
      <c r="AR237" s="14"/>
      <c r="AS237" s="14"/>
      <c r="AT237" s="14"/>
      <c r="AU237" s="14"/>
      <c r="AV237" s="14"/>
      <c r="AW237" s="14"/>
      <c r="AX237" s="14"/>
    </row>
    <row r="238" spans="1:50" ht="15.75" customHeight="1">
      <c r="A238" s="24" t="s">
        <v>134</v>
      </c>
      <c r="B238" s="25" t="str">
        <f t="shared" si="6"/>
        <v>C2D_100nm_tile1_2_</v>
      </c>
      <c r="C238" s="24" t="s">
        <v>1732</v>
      </c>
      <c r="D238" s="74" t="str">
        <f t="shared" si="7"/>
        <v>bossdb://lee2022/C2D_100nm_tile1_2_/</v>
      </c>
      <c r="E238" s="24" t="s">
        <v>2</v>
      </c>
      <c r="F238" s="5" t="s">
        <v>1013</v>
      </c>
      <c r="G238" s="5" t="s">
        <v>865</v>
      </c>
      <c r="H238" s="24" t="s">
        <v>1491</v>
      </c>
      <c r="I238" s="24" t="s">
        <v>1732</v>
      </c>
      <c r="J238" s="24" t="s">
        <v>1492</v>
      </c>
      <c r="K238" s="24" t="s">
        <v>867</v>
      </c>
      <c r="L238" s="24" t="s">
        <v>853</v>
      </c>
      <c r="M238" s="24" t="s">
        <v>962</v>
      </c>
      <c r="N238" s="24" t="s">
        <v>0</v>
      </c>
      <c r="O238" s="24" t="s">
        <v>1729</v>
      </c>
      <c r="P238" s="24" t="s">
        <v>848</v>
      </c>
      <c r="Q238" s="24" t="s">
        <v>848</v>
      </c>
      <c r="R238" s="24">
        <v>3</v>
      </c>
      <c r="S238" s="24" t="s">
        <v>1494</v>
      </c>
      <c r="T238" s="24" t="s">
        <v>962</v>
      </c>
      <c r="U238" s="24" t="s">
        <v>856</v>
      </c>
      <c r="V238" s="32" t="s">
        <v>857</v>
      </c>
      <c r="W238" s="14" t="b">
        <v>1</v>
      </c>
      <c r="X238" s="5" t="s">
        <v>409</v>
      </c>
      <c r="Y238" s="28"/>
      <c r="Z238" s="5" t="s">
        <v>858</v>
      </c>
      <c r="AA238" s="5" t="s">
        <v>858</v>
      </c>
      <c r="AB238" s="24" t="s">
        <v>413</v>
      </c>
      <c r="AC238" s="14"/>
      <c r="AD238" s="14"/>
      <c r="AE238" s="14">
        <v>1</v>
      </c>
      <c r="AF238" s="14"/>
      <c r="AG238" s="14"/>
      <c r="AH238" s="14"/>
      <c r="AI238" s="14"/>
      <c r="AJ238" s="14"/>
      <c r="AK238" s="14"/>
      <c r="AL238" s="14"/>
      <c r="AM238" s="14"/>
      <c r="AN238" s="14"/>
      <c r="AO238" s="14"/>
      <c r="AP238" s="14"/>
      <c r="AQ238" s="14"/>
      <c r="AR238" s="14"/>
      <c r="AS238" s="14"/>
      <c r="AT238" s="14"/>
      <c r="AU238" s="14"/>
      <c r="AV238" s="14"/>
      <c r="AW238" s="14"/>
      <c r="AX238" s="14"/>
    </row>
    <row r="239" spans="1:50" ht="15.75" customHeight="1">
      <c r="A239" s="24" t="s">
        <v>136</v>
      </c>
      <c r="B239" s="25" t="str">
        <f t="shared" si="6"/>
        <v>C2D_100nm_tile1_3_</v>
      </c>
      <c r="C239" s="24" t="s">
        <v>1733</v>
      </c>
      <c r="D239" s="74" t="str">
        <f t="shared" si="7"/>
        <v>bossdb://lee2022/C2D_100nm_tile1_3_/</v>
      </c>
      <c r="E239" s="24" t="s">
        <v>2</v>
      </c>
      <c r="F239" s="5" t="s">
        <v>1013</v>
      </c>
      <c r="G239" s="5" t="s">
        <v>865</v>
      </c>
      <c r="H239" s="24" t="s">
        <v>1491</v>
      </c>
      <c r="I239" s="24" t="s">
        <v>1733</v>
      </c>
      <c r="J239" s="24" t="s">
        <v>1492</v>
      </c>
      <c r="K239" s="24" t="s">
        <v>867</v>
      </c>
      <c r="L239" s="24" t="s">
        <v>853</v>
      </c>
      <c r="M239" s="24" t="s">
        <v>962</v>
      </c>
      <c r="N239" s="24" t="s">
        <v>0</v>
      </c>
      <c r="O239" s="24" t="s">
        <v>1730</v>
      </c>
      <c r="P239" s="24" t="s">
        <v>848</v>
      </c>
      <c r="Q239" s="24" t="s">
        <v>848</v>
      </c>
      <c r="R239" s="24">
        <v>3</v>
      </c>
      <c r="S239" s="24" t="s">
        <v>1494</v>
      </c>
      <c r="T239" s="24" t="s">
        <v>962</v>
      </c>
      <c r="U239" s="24" t="s">
        <v>856</v>
      </c>
      <c r="V239" s="32" t="s">
        <v>857</v>
      </c>
      <c r="W239" s="14" t="b">
        <v>1</v>
      </c>
      <c r="X239" s="5" t="s">
        <v>409</v>
      </c>
      <c r="Y239" s="28"/>
      <c r="Z239" s="5" t="s">
        <v>858</v>
      </c>
      <c r="AA239" s="5" t="s">
        <v>858</v>
      </c>
      <c r="AB239" s="24" t="s">
        <v>413</v>
      </c>
      <c r="AC239" s="14"/>
      <c r="AD239" s="14"/>
      <c r="AE239" s="14">
        <v>1</v>
      </c>
      <c r="AF239" s="14"/>
      <c r="AG239" s="14"/>
      <c r="AH239" s="14"/>
      <c r="AI239" s="14"/>
      <c r="AJ239" s="14"/>
      <c r="AK239" s="14"/>
      <c r="AL239" s="14"/>
      <c r="AM239" s="14"/>
      <c r="AN239" s="14"/>
      <c r="AO239" s="14"/>
      <c r="AP239" s="14"/>
      <c r="AQ239" s="14"/>
      <c r="AR239" s="14"/>
      <c r="AS239" s="14"/>
      <c r="AT239" s="14"/>
      <c r="AU239" s="14"/>
      <c r="AV239" s="14"/>
      <c r="AW239" s="14"/>
      <c r="AX239" s="14"/>
    </row>
    <row r="240" spans="1:50" ht="15.75" customHeight="1">
      <c r="A240" s="24" t="s">
        <v>138</v>
      </c>
      <c r="B240" s="25" t="str">
        <f t="shared" si="6"/>
        <v>C2D_100nm_tile1_4_</v>
      </c>
      <c r="C240" s="24" t="s">
        <v>1734</v>
      </c>
      <c r="D240" s="74" t="str">
        <f t="shared" si="7"/>
        <v>bossdb://lee2022/C2D_100nm_tile1_4_/</v>
      </c>
      <c r="E240" s="24" t="s">
        <v>2</v>
      </c>
      <c r="F240" s="5" t="s">
        <v>1013</v>
      </c>
      <c r="G240" s="5" t="s">
        <v>865</v>
      </c>
      <c r="H240" s="24" t="s">
        <v>1491</v>
      </c>
      <c r="I240" s="24" t="s">
        <v>1734</v>
      </c>
      <c r="J240" s="24" t="s">
        <v>1492</v>
      </c>
      <c r="K240" s="24" t="s">
        <v>867</v>
      </c>
      <c r="L240" s="24" t="s">
        <v>853</v>
      </c>
      <c r="M240" s="24" t="s">
        <v>962</v>
      </c>
      <c r="N240" s="24" t="s">
        <v>0</v>
      </c>
      <c r="O240" s="24" t="s">
        <v>1731</v>
      </c>
      <c r="P240" s="24" t="s">
        <v>848</v>
      </c>
      <c r="Q240" s="24" t="s">
        <v>848</v>
      </c>
      <c r="R240" s="24">
        <v>3</v>
      </c>
      <c r="S240" s="24" t="s">
        <v>1494</v>
      </c>
      <c r="T240" s="24" t="s">
        <v>962</v>
      </c>
      <c r="U240" s="24" t="s">
        <v>856</v>
      </c>
      <c r="V240" s="32" t="s">
        <v>857</v>
      </c>
      <c r="W240" s="14" t="b">
        <v>1</v>
      </c>
      <c r="X240" s="5" t="s">
        <v>409</v>
      </c>
      <c r="Y240" s="28"/>
      <c r="Z240" s="5" t="s">
        <v>858</v>
      </c>
      <c r="AA240" s="5" t="s">
        <v>858</v>
      </c>
      <c r="AB240" s="24" t="s">
        <v>413</v>
      </c>
      <c r="AC240" s="14"/>
      <c r="AD240" s="14"/>
      <c r="AE240" s="14">
        <v>1</v>
      </c>
      <c r="AF240" s="14"/>
      <c r="AG240" s="14"/>
      <c r="AH240" s="14"/>
      <c r="AI240" s="14"/>
      <c r="AJ240" s="14"/>
      <c r="AK240" s="14"/>
      <c r="AL240" s="14"/>
      <c r="AM240" s="14"/>
      <c r="AN240" s="14"/>
      <c r="AO240" s="14"/>
      <c r="AP240" s="14"/>
      <c r="AQ240" s="14"/>
      <c r="AR240" s="14"/>
      <c r="AS240" s="14"/>
      <c r="AT240" s="14"/>
      <c r="AU240" s="14"/>
      <c r="AV240" s="14"/>
      <c r="AW240" s="14"/>
      <c r="AX240" s="14"/>
    </row>
    <row r="241" spans="1:50" ht="15.75" customHeight="1">
      <c r="A241" s="24" t="s">
        <v>140</v>
      </c>
      <c r="B241" s="25" t="str">
        <f t="shared" si="6"/>
        <v>C2D_100nm_tile2_</v>
      </c>
      <c r="C241" s="24" t="s">
        <v>1735</v>
      </c>
      <c r="D241" s="74" t="str">
        <f t="shared" si="7"/>
        <v>bossdb://lee2022/C2D_100nm_tile2_/</v>
      </c>
      <c r="E241" s="24" t="s">
        <v>2</v>
      </c>
      <c r="F241" s="5" t="s">
        <v>1013</v>
      </c>
      <c r="G241" s="5" t="s">
        <v>865</v>
      </c>
      <c r="H241" s="24" t="s">
        <v>1491</v>
      </c>
      <c r="I241" s="24" t="s">
        <v>1735</v>
      </c>
      <c r="J241" s="24" t="s">
        <v>1492</v>
      </c>
      <c r="K241" s="24" t="s">
        <v>867</v>
      </c>
      <c r="L241" s="24" t="s">
        <v>853</v>
      </c>
      <c r="M241" s="24" t="s">
        <v>962</v>
      </c>
      <c r="N241" s="24" t="s">
        <v>0</v>
      </c>
      <c r="O241" s="24" t="s">
        <v>1732</v>
      </c>
      <c r="P241" s="24" t="s">
        <v>848</v>
      </c>
      <c r="Q241" s="24" t="s">
        <v>848</v>
      </c>
      <c r="R241" s="24">
        <v>3</v>
      </c>
      <c r="S241" s="24" t="s">
        <v>1494</v>
      </c>
      <c r="T241" s="24" t="s">
        <v>962</v>
      </c>
      <c r="U241" s="24" t="s">
        <v>856</v>
      </c>
      <c r="V241" s="32" t="s">
        <v>857</v>
      </c>
      <c r="W241" s="14" t="b">
        <v>1</v>
      </c>
      <c r="X241" s="5" t="s">
        <v>409</v>
      </c>
      <c r="Y241" s="28"/>
      <c r="Z241" s="5" t="s">
        <v>858</v>
      </c>
      <c r="AA241" s="5" t="s">
        <v>858</v>
      </c>
      <c r="AB241" s="24" t="s">
        <v>413</v>
      </c>
      <c r="AC241" s="14"/>
      <c r="AD241" s="14"/>
      <c r="AE241" s="14">
        <v>1</v>
      </c>
      <c r="AF241" s="14"/>
      <c r="AG241" s="14"/>
      <c r="AH241" s="14"/>
      <c r="AI241" s="14"/>
      <c r="AJ241" s="14"/>
      <c r="AK241" s="14"/>
      <c r="AL241" s="14"/>
      <c r="AM241" s="14"/>
      <c r="AN241" s="14"/>
      <c r="AO241" s="14"/>
      <c r="AP241" s="14"/>
      <c r="AQ241" s="14"/>
      <c r="AR241" s="14"/>
      <c r="AS241" s="14"/>
      <c r="AT241" s="14"/>
      <c r="AU241" s="14"/>
      <c r="AV241" s="14"/>
      <c r="AW241" s="14"/>
      <c r="AX241" s="14"/>
    </row>
    <row r="242" spans="1:50" ht="15.75" customHeight="1">
      <c r="A242" s="24" t="s">
        <v>142</v>
      </c>
      <c r="B242" s="25" t="str">
        <f t="shared" si="6"/>
        <v>C2D_100nm_tile2_1_</v>
      </c>
      <c r="C242" s="24" t="s">
        <v>1736</v>
      </c>
      <c r="D242" s="74" t="str">
        <f t="shared" si="7"/>
        <v>bossdb://lee2022/C2D_100nm_tile2_1_/</v>
      </c>
      <c r="E242" s="24" t="s">
        <v>2</v>
      </c>
      <c r="F242" s="5" t="s">
        <v>1013</v>
      </c>
      <c r="G242" s="5" t="s">
        <v>865</v>
      </c>
      <c r="H242" s="24" t="s">
        <v>1491</v>
      </c>
      <c r="I242" s="24" t="s">
        <v>1736</v>
      </c>
      <c r="J242" s="24" t="s">
        <v>1492</v>
      </c>
      <c r="K242" s="24" t="s">
        <v>867</v>
      </c>
      <c r="L242" s="24" t="s">
        <v>853</v>
      </c>
      <c r="M242" s="24" t="s">
        <v>962</v>
      </c>
      <c r="N242" s="24" t="s">
        <v>0</v>
      </c>
      <c r="O242" s="24" t="s">
        <v>1733</v>
      </c>
      <c r="P242" s="24" t="s">
        <v>848</v>
      </c>
      <c r="Q242" s="24" t="s">
        <v>848</v>
      </c>
      <c r="R242" s="24">
        <v>3</v>
      </c>
      <c r="S242" s="24" t="s">
        <v>1494</v>
      </c>
      <c r="T242" s="24" t="s">
        <v>962</v>
      </c>
      <c r="U242" s="24" t="s">
        <v>856</v>
      </c>
      <c r="V242" s="32" t="s">
        <v>857</v>
      </c>
      <c r="W242" s="14" t="b">
        <v>1</v>
      </c>
      <c r="X242" s="5" t="s">
        <v>409</v>
      </c>
      <c r="Y242" s="28"/>
      <c r="Z242" s="5" t="s">
        <v>858</v>
      </c>
      <c r="AA242" s="5" t="s">
        <v>858</v>
      </c>
      <c r="AB242" s="24" t="s">
        <v>413</v>
      </c>
      <c r="AC242" s="14"/>
      <c r="AD242" s="14"/>
      <c r="AE242" s="14">
        <v>1</v>
      </c>
      <c r="AF242" s="14"/>
      <c r="AG242" s="14"/>
      <c r="AH242" s="14"/>
      <c r="AI242" s="14"/>
      <c r="AJ242" s="14"/>
      <c r="AK242" s="14"/>
      <c r="AL242" s="14"/>
      <c r="AM242" s="14"/>
      <c r="AN242" s="14"/>
      <c r="AO242" s="14"/>
      <c r="AP242" s="14"/>
      <c r="AQ242" s="14"/>
      <c r="AR242" s="14"/>
      <c r="AS242" s="14"/>
      <c r="AT242" s="14"/>
      <c r="AU242" s="14"/>
      <c r="AV242" s="14"/>
      <c r="AW242" s="14"/>
      <c r="AX242" s="14"/>
    </row>
    <row r="243" spans="1:50" ht="15.75" customHeight="1">
      <c r="A243" s="24" t="s">
        <v>144</v>
      </c>
      <c r="B243" s="25" t="str">
        <f t="shared" si="6"/>
        <v>C2D_100nm_tile2_2_</v>
      </c>
      <c r="C243" s="24" t="s">
        <v>1737</v>
      </c>
      <c r="D243" s="74" t="str">
        <f t="shared" si="7"/>
        <v>bossdb://lee2022/C2D_100nm_tile2_2_/</v>
      </c>
      <c r="E243" s="24" t="s">
        <v>2</v>
      </c>
      <c r="F243" s="5" t="s">
        <v>1013</v>
      </c>
      <c r="G243" s="5" t="s">
        <v>865</v>
      </c>
      <c r="H243" s="24" t="s">
        <v>1491</v>
      </c>
      <c r="I243" s="24" t="s">
        <v>1737</v>
      </c>
      <c r="J243" s="24" t="s">
        <v>1492</v>
      </c>
      <c r="K243" s="24" t="s">
        <v>867</v>
      </c>
      <c r="L243" s="24" t="s">
        <v>853</v>
      </c>
      <c r="M243" s="24" t="s">
        <v>962</v>
      </c>
      <c r="N243" s="24" t="s">
        <v>0</v>
      </c>
      <c r="O243" s="24" t="s">
        <v>1734</v>
      </c>
      <c r="P243" s="24" t="s">
        <v>848</v>
      </c>
      <c r="Q243" s="24" t="s">
        <v>848</v>
      </c>
      <c r="R243" s="24">
        <v>3</v>
      </c>
      <c r="S243" s="24" t="s">
        <v>1494</v>
      </c>
      <c r="T243" s="24" t="s">
        <v>962</v>
      </c>
      <c r="U243" s="24" t="s">
        <v>856</v>
      </c>
      <c r="V243" s="32" t="s">
        <v>857</v>
      </c>
      <c r="W243" s="14" t="b">
        <v>1</v>
      </c>
      <c r="X243" s="5" t="s">
        <v>409</v>
      </c>
      <c r="Y243" s="28"/>
      <c r="Z243" s="5" t="s">
        <v>858</v>
      </c>
      <c r="AA243" s="5" t="s">
        <v>858</v>
      </c>
      <c r="AB243" s="24" t="s">
        <v>413</v>
      </c>
      <c r="AC243" s="14"/>
      <c r="AD243" s="14"/>
      <c r="AE243" s="14">
        <v>1</v>
      </c>
      <c r="AF243" s="14"/>
      <c r="AG243" s="14"/>
      <c r="AH243" s="14"/>
      <c r="AI243" s="14"/>
      <c r="AJ243" s="14"/>
      <c r="AK243" s="14"/>
      <c r="AL243" s="14"/>
      <c r="AM243" s="14"/>
      <c r="AN243" s="14"/>
      <c r="AO243" s="14"/>
      <c r="AP243" s="14"/>
      <c r="AQ243" s="14"/>
      <c r="AR243" s="14"/>
      <c r="AS243" s="14"/>
      <c r="AT243" s="14"/>
      <c r="AU243" s="14"/>
      <c r="AV243" s="14"/>
      <c r="AW243" s="14"/>
      <c r="AX243" s="14"/>
    </row>
    <row r="244" spans="1:50" ht="15.75" customHeight="1">
      <c r="A244" s="24" t="s">
        <v>146</v>
      </c>
      <c r="B244" s="25" t="str">
        <f t="shared" si="6"/>
        <v>C2D_100nm_tile2_3_</v>
      </c>
      <c r="C244" s="24" t="s">
        <v>1738</v>
      </c>
      <c r="D244" s="74" t="str">
        <f t="shared" si="7"/>
        <v>bossdb://lee2022/C2D_100nm_tile2_3_/</v>
      </c>
      <c r="E244" s="24" t="s">
        <v>2</v>
      </c>
      <c r="F244" s="5" t="s">
        <v>1013</v>
      </c>
      <c r="G244" s="5" t="s">
        <v>865</v>
      </c>
      <c r="H244" s="24" t="s">
        <v>1491</v>
      </c>
      <c r="I244" s="24" t="s">
        <v>1738</v>
      </c>
      <c r="J244" s="24" t="s">
        <v>1492</v>
      </c>
      <c r="K244" s="24" t="s">
        <v>867</v>
      </c>
      <c r="L244" s="24" t="s">
        <v>853</v>
      </c>
      <c r="M244" s="24" t="s">
        <v>962</v>
      </c>
      <c r="N244" s="24" t="s">
        <v>0</v>
      </c>
      <c r="O244" s="24" t="s">
        <v>1735</v>
      </c>
      <c r="P244" s="24" t="s">
        <v>848</v>
      </c>
      <c r="Q244" s="24" t="s">
        <v>848</v>
      </c>
      <c r="R244" s="24">
        <v>3</v>
      </c>
      <c r="S244" s="24" t="s">
        <v>1494</v>
      </c>
      <c r="T244" s="24" t="s">
        <v>962</v>
      </c>
      <c r="U244" s="24" t="s">
        <v>856</v>
      </c>
      <c r="V244" s="32" t="s">
        <v>857</v>
      </c>
      <c r="W244" s="14" t="b">
        <v>1</v>
      </c>
      <c r="X244" s="5" t="s">
        <v>409</v>
      </c>
      <c r="Y244" s="28"/>
      <c r="Z244" s="5" t="s">
        <v>858</v>
      </c>
      <c r="AA244" s="5" t="s">
        <v>858</v>
      </c>
      <c r="AB244" s="24" t="s">
        <v>413</v>
      </c>
      <c r="AC244" s="14"/>
      <c r="AD244" s="14"/>
      <c r="AE244" s="14">
        <v>1</v>
      </c>
      <c r="AF244" s="14"/>
      <c r="AG244" s="14"/>
      <c r="AH244" s="14"/>
      <c r="AI244" s="14"/>
      <c r="AJ244" s="14"/>
      <c r="AK244" s="14"/>
      <c r="AL244" s="14"/>
      <c r="AM244" s="14"/>
      <c r="AN244" s="14"/>
      <c r="AO244" s="14"/>
      <c r="AP244" s="14"/>
      <c r="AQ244" s="14"/>
      <c r="AR244" s="14"/>
      <c r="AS244" s="14"/>
      <c r="AT244" s="14"/>
      <c r="AU244" s="14"/>
      <c r="AV244" s="14"/>
      <c r="AW244" s="14"/>
      <c r="AX244" s="14"/>
    </row>
    <row r="245" spans="1:50" ht="15.75" customHeight="1">
      <c r="A245" s="24" t="s">
        <v>148</v>
      </c>
      <c r="B245" s="25" t="str">
        <f t="shared" si="6"/>
        <v>C2D_100nm_tile2_4_</v>
      </c>
      <c r="C245" s="24" t="s">
        <v>1739</v>
      </c>
      <c r="D245" s="74" t="str">
        <f t="shared" si="7"/>
        <v>bossdb://lee2022/C2D_100nm_tile2_4_/</v>
      </c>
      <c r="E245" s="24" t="s">
        <v>2</v>
      </c>
      <c r="F245" s="5" t="s">
        <v>1013</v>
      </c>
      <c r="G245" s="5" t="s">
        <v>865</v>
      </c>
      <c r="H245" s="24" t="s">
        <v>1491</v>
      </c>
      <c r="I245" s="24" t="s">
        <v>1739</v>
      </c>
      <c r="J245" s="24" t="s">
        <v>1492</v>
      </c>
      <c r="K245" s="24" t="s">
        <v>867</v>
      </c>
      <c r="L245" s="24" t="s">
        <v>853</v>
      </c>
      <c r="M245" s="24" t="s">
        <v>962</v>
      </c>
      <c r="N245" s="24" t="s">
        <v>0</v>
      </c>
      <c r="O245" s="24" t="s">
        <v>1736</v>
      </c>
      <c r="P245" s="24" t="s">
        <v>848</v>
      </c>
      <c r="Q245" s="24" t="s">
        <v>848</v>
      </c>
      <c r="R245" s="24">
        <v>3</v>
      </c>
      <c r="S245" s="24" t="s">
        <v>1494</v>
      </c>
      <c r="T245" s="24" t="s">
        <v>962</v>
      </c>
      <c r="U245" s="24" t="s">
        <v>856</v>
      </c>
      <c r="V245" s="32" t="s">
        <v>857</v>
      </c>
      <c r="W245" s="14" t="b">
        <v>1</v>
      </c>
      <c r="X245" s="5" t="s">
        <v>409</v>
      </c>
      <c r="Y245" s="28"/>
      <c r="Z245" s="5" t="s">
        <v>858</v>
      </c>
      <c r="AA245" s="5" t="s">
        <v>858</v>
      </c>
      <c r="AB245" s="24" t="s">
        <v>413</v>
      </c>
      <c r="AC245" s="14"/>
      <c r="AD245" s="14"/>
      <c r="AE245" s="14">
        <v>1</v>
      </c>
      <c r="AF245" s="14"/>
      <c r="AG245" s="14"/>
      <c r="AH245" s="14"/>
      <c r="AI245" s="14"/>
      <c r="AJ245" s="14"/>
      <c r="AK245" s="14"/>
      <c r="AL245" s="14"/>
      <c r="AM245" s="14"/>
      <c r="AN245" s="14"/>
      <c r="AO245" s="14"/>
      <c r="AP245" s="14"/>
      <c r="AQ245" s="14"/>
      <c r="AR245" s="14"/>
      <c r="AS245" s="14"/>
      <c r="AT245" s="14"/>
      <c r="AU245" s="14"/>
      <c r="AV245" s="14"/>
      <c r="AW245" s="14"/>
      <c r="AX245" s="14"/>
    </row>
    <row r="246" spans="1:50" ht="15.75" customHeight="1">
      <c r="A246" s="24" t="s">
        <v>152</v>
      </c>
      <c r="B246" s="25" t="str">
        <f t="shared" si="6"/>
        <v>C2D_100nm_tile3_1_</v>
      </c>
      <c r="C246" s="24" t="s">
        <v>1740</v>
      </c>
      <c r="D246" s="74" t="str">
        <f t="shared" si="7"/>
        <v>bossdb://lee2022/C2D_100nm_tile3_1_/</v>
      </c>
      <c r="E246" s="24" t="s">
        <v>2</v>
      </c>
      <c r="F246" s="5" t="s">
        <v>1013</v>
      </c>
      <c r="G246" s="5" t="s">
        <v>865</v>
      </c>
      <c r="H246" s="24" t="s">
        <v>1491</v>
      </c>
      <c r="I246" s="24" t="s">
        <v>1740</v>
      </c>
      <c r="J246" s="24" t="s">
        <v>1492</v>
      </c>
      <c r="K246" s="24" t="s">
        <v>867</v>
      </c>
      <c r="L246" s="24" t="s">
        <v>853</v>
      </c>
      <c r="M246" s="24" t="s">
        <v>962</v>
      </c>
      <c r="N246" s="24" t="s">
        <v>0</v>
      </c>
      <c r="O246" s="24" t="s">
        <v>1737</v>
      </c>
      <c r="P246" s="24" t="s">
        <v>848</v>
      </c>
      <c r="Q246" s="24" t="s">
        <v>848</v>
      </c>
      <c r="R246" s="24">
        <v>3</v>
      </c>
      <c r="S246" s="24" t="s">
        <v>1494</v>
      </c>
      <c r="T246" s="24" t="s">
        <v>962</v>
      </c>
      <c r="U246" s="24" t="s">
        <v>856</v>
      </c>
      <c r="V246" s="32" t="s">
        <v>857</v>
      </c>
      <c r="W246" s="14" t="b">
        <v>1</v>
      </c>
      <c r="X246" s="5" t="s">
        <v>409</v>
      </c>
      <c r="Y246" s="28"/>
      <c r="Z246" s="5" t="s">
        <v>858</v>
      </c>
      <c r="AA246" s="5" t="s">
        <v>858</v>
      </c>
      <c r="AB246" s="24" t="s">
        <v>413</v>
      </c>
      <c r="AC246" s="14"/>
      <c r="AD246" s="14"/>
      <c r="AE246" s="14">
        <v>1</v>
      </c>
      <c r="AF246" s="14"/>
      <c r="AG246" s="14"/>
      <c r="AH246" s="14"/>
      <c r="AI246" s="14"/>
      <c r="AJ246" s="14"/>
      <c r="AK246" s="14"/>
      <c r="AL246" s="14"/>
      <c r="AM246" s="14"/>
      <c r="AN246" s="14"/>
      <c r="AO246" s="14"/>
      <c r="AP246" s="14"/>
      <c r="AQ246" s="14"/>
      <c r="AR246" s="14"/>
      <c r="AS246" s="14"/>
      <c r="AT246" s="14"/>
      <c r="AU246" s="14"/>
      <c r="AV246" s="14"/>
      <c r="AW246" s="14"/>
      <c r="AX246" s="14"/>
    </row>
    <row r="247" spans="1:50" ht="15.75" customHeight="1">
      <c r="A247" s="24" t="s">
        <v>154</v>
      </c>
      <c r="B247" s="25" t="str">
        <f t="shared" si="6"/>
        <v>C2D_100nm_tile3_2_</v>
      </c>
      <c r="C247" s="24" t="s">
        <v>1741</v>
      </c>
      <c r="D247" s="74" t="str">
        <f t="shared" si="7"/>
        <v>bossdb://lee2022/C2D_100nm_tile3_2_/</v>
      </c>
      <c r="E247" s="24" t="s">
        <v>2</v>
      </c>
      <c r="F247" s="5" t="s">
        <v>1013</v>
      </c>
      <c r="G247" s="5" t="s">
        <v>865</v>
      </c>
      <c r="H247" s="24" t="s">
        <v>1491</v>
      </c>
      <c r="I247" s="24" t="s">
        <v>1741</v>
      </c>
      <c r="J247" s="24" t="s">
        <v>1492</v>
      </c>
      <c r="K247" s="24" t="s">
        <v>867</v>
      </c>
      <c r="L247" s="24" t="s">
        <v>853</v>
      </c>
      <c r="M247" s="24" t="s">
        <v>962</v>
      </c>
      <c r="N247" s="24" t="s">
        <v>0</v>
      </c>
      <c r="O247" s="24" t="s">
        <v>1738</v>
      </c>
      <c r="P247" s="24" t="s">
        <v>848</v>
      </c>
      <c r="Q247" s="24" t="s">
        <v>848</v>
      </c>
      <c r="R247" s="24">
        <v>3</v>
      </c>
      <c r="S247" s="24" t="s">
        <v>1494</v>
      </c>
      <c r="T247" s="24" t="s">
        <v>962</v>
      </c>
      <c r="U247" s="24" t="s">
        <v>856</v>
      </c>
      <c r="V247" s="32" t="s">
        <v>857</v>
      </c>
      <c r="W247" s="14" t="b">
        <v>1</v>
      </c>
      <c r="X247" s="43" t="s">
        <v>409</v>
      </c>
      <c r="Y247" s="43"/>
      <c r="Z247" s="43" t="s">
        <v>858</v>
      </c>
      <c r="AA247" s="43" t="s">
        <v>858</v>
      </c>
      <c r="AB247" s="14" t="s">
        <v>413</v>
      </c>
      <c r="AC247" s="14"/>
      <c r="AD247" s="14"/>
      <c r="AE247" s="14">
        <v>1</v>
      </c>
      <c r="AF247" s="14"/>
      <c r="AG247" s="14"/>
      <c r="AH247" s="14"/>
      <c r="AI247" s="14"/>
      <c r="AJ247" s="14"/>
      <c r="AK247" s="14"/>
      <c r="AL247" s="14"/>
      <c r="AM247" s="14"/>
      <c r="AN247" s="14"/>
      <c r="AO247" s="14"/>
      <c r="AP247" s="14"/>
      <c r="AQ247" s="14"/>
      <c r="AR247" s="14"/>
      <c r="AS247" s="14"/>
      <c r="AT247" s="14"/>
      <c r="AU247" s="14"/>
      <c r="AV247" s="14"/>
      <c r="AW247" s="14"/>
      <c r="AX247" s="14"/>
    </row>
    <row r="248" spans="1:50" ht="15.75" customHeight="1">
      <c r="A248" s="24" t="s">
        <v>156</v>
      </c>
      <c r="B248" s="25" t="str">
        <f t="shared" si="6"/>
        <v>C2D_100nm_tile3_3_</v>
      </c>
      <c r="C248" s="24" t="s">
        <v>1742</v>
      </c>
      <c r="D248" s="74" t="str">
        <f t="shared" si="7"/>
        <v>bossdb://lee2022/C2D_100nm_tile3_3_/</v>
      </c>
      <c r="E248" s="24" t="s">
        <v>2</v>
      </c>
      <c r="F248" s="5" t="s">
        <v>1013</v>
      </c>
      <c r="G248" s="5" t="s">
        <v>865</v>
      </c>
      <c r="H248" s="24" t="s">
        <v>1491</v>
      </c>
      <c r="I248" s="24" t="s">
        <v>1742</v>
      </c>
      <c r="J248" s="24" t="s">
        <v>1492</v>
      </c>
      <c r="K248" s="24" t="s">
        <v>867</v>
      </c>
      <c r="L248" s="24" t="s">
        <v>853</v>
      </c>
      <c r="M248" s="24" t="s">
        <v>962</v>
      </c>
      <c r="N248" s="24" t="s">
        <v>0</v>
      </c>
      <c r="O248" s="24" t="s">
        <v>1739</v>
      </c>
      <c r="P248" s="24" t="s">
        <v>848</v>
      </c>
      <c r="Q248" s="24" t="s">
        <v>848</v>
      </c>
      <c r="R248" s="24">
        <v>3</v>
      </c>
      <c r="S248" s="24" t="s">
        <v>1494</v>
      </c>
      <c r="T248" s="24" t="s">
        <v>962</v>
      </c>
      <c r="U248" s="24" t="s">
        <v>856</v>
      </c>
      <c r="V248" s="32" t="s">
        <v>857</v>
      </c>
      <c r="W248" s="14" t="b">
        <v>1</v>
      </c>
      <c r="X248" s="43" t="s">
        <v>409</v>
      </c>
      <c r="Y248" s="43"/>
      <c r="Z248" s="43" t="s">
        <v>858</v>
      </c>
      <c r="AA248" s="43" t="s">
        <v>858</v>
      </c>
      <c r="AB248" s="14" t="s">
        <v>413</v>
      </c>
      <c r="AC248" s="14"/>
      <c r="AD248" s="14"/>
      <c r="AE248" s="14">
        <v>1</v>
      </c>
      <c r="AF248" s="14"/>
      <c r="AG248" s="14"/>
      <c r="AH248" s="14"/>
      <c r="AI248" s="14"/>
      <c r="AJ248" s="14"/>
      <c r="AK248" s="14"/>
      <c r="AL248" s="14"/>
      <c r="AM248" s="14"/>
      <c r="AN248" s="14"/>
      <c r="AO248" s="14"/>
      <c r="AP248" s="14"/>
      <c r="AQ248" s="14"/>
      <c r="AR248" s="14"/>
      <c r="AS248" s="14"/>
      <c r="AT248" s="14"/>
      <c r="AU248" s="14"/>
      <c r="AV248" s="14"/>
      <c r="AW248" s="14"/>
      <c r="AX248" s="14"/>
    </row>
    <row r="249" spans="1:50" ht="15.75" customHeight="1">
      <c r="A249" s="24" t="s">
        <v>158</v>
      </c>
      <c r="B249" s="25" t="str">
        <f t="shared" si="6"/>
        <v>C2D_100nm_tile3_4_</v>
      </c>
      <c r="C249" s="24" t="s">
        <v>1743</v>
      </c>
      <c r="D249" s="74" t="str">
        <f t="shared" si="7"/>
        <v>bossdb://lee2022/C2D_100nm_tile3_4_/</v>
      </c>
      <c r="E249" s="24" t="s">
        <v>2</v>
      </c>
      <c r="F249" s="5" t="s">
        <v>1013</v>
      </c>
      <c r="G249" s="5" t="s">
        <v>865</v>
      </c>
      <c r="H249" s="24" t="s">
        <v>1491</v>
      </c>
      <c r="I249" s="24" t="s">
        <v>1743</v>
      </c>
      <c r="J249" s="24" t="s">
        <v>1492</v>
      </c>
      <c r="K249" s="24" t="s">
        <v>867</v>
      </c>
      <c r="L249" s="24" t="s">
        <v>853</v>
      </c>
      <c r="M249" s="24" t="s">
        <v>962</v>
      </c>
      <c r="N249" s="24" t="s">
        <v>0</v>
      </c>
      <c r="O249" s="24" t="s">
        <v>1740</v>
      </c>
      <c r="P249" s="24" t="s">
        <v>848</v>
      </c>
      <c r="Q249" s="24" t="s">
        <v>848</v>
      </c>
      <c r="R249" s="24">
        <v>3</v>
      </c>
      <c r="S249" s="24" t="s">
        <v>1494</v>
      </c>
      <c r="T249" s="24" t="s">
        <v>962</v>
      </c>
      <c r="U249" s="24" t="s">
        <v>856</v>
      </c>
      <c r="V249" s="32" t="s">
        <v>857</v>
      </c>
      <c r="W249" s="14" t="b">
        <v>1</v>
      </c>
      <c r="X249" s="43" t="s">
        <v>409</v>
      </c>
      <c r="Y249" s="43"/>
      <c r="Z249" s="43" t="s">
        <v>858</v>
      </c>
      <c r="AA249" s="43" t="s">
        <v>858</v>
      </c>
      <c r="AB249" s="14" t="s">
        <v>413</v>
      </c>
      <c r="AC249" s="14"/>
      <c r="AD249" s="14"/>
      <c r="AE249" s="14">
        <v>1</v>
      </c>
      <c r="AF249" s="14"/>
      <c r="AG249" s="14"/>
      <c r="AH249" s="14"/>
      <c r="AI249" s="14"/>
      <c r="AJ249" s="14"/>
      <c r="AK249" s="14"/>
      <c r="AL249" s="14"/>
      <c r="AM249" s="14"/>
      <c r="AN249" s="14"/>
      <c r="AO249" s="14"/>
      <c r="AP249" s="14"/>
      <c r="AQ249" s="14"/>
      <c r="AR249" s="14"/>
      <c r="AS249" s="14"/>
      <c r="AT249" s="14"/>
      <c r="AU249" s="14"/>
      <c r="AV249" s="14"/>
      <c r="AW249" s="14"/>
      <c r="AX249" s="14"/>
    </row>
    <row r="250" spans="1:50" ht="15.75" customHeight="1">
      <c r="A250" s="24" t="s">
        <v>162</v>
      </c>
      <c r="B250" s="25" t="str">
        <f t="shared" si="6"/>
        <v>C2D_100nm_tile4_1_</v>
      </c>
      <c r="C250" s="24" t="s">
        <v>1744</v>
      </c>
      <c r="D250" s="74" t="str">
        <f t="shared" si="7"/>
        <v>bossdb://lee2022/C2D_100nm_tile4_1_/</v>
      </c>
      <c r="E250" s="24" t="s">
        <v>2</v>
      </c>
      <c r="F250" s="5" t="s">
        <v>1013</v>
      </c>
      <c r="G250" s="5" t="s">
        <v>865</v>
      </c>
      <c r="H250" s="24" t="s">
        <v>1491</v>
      </c>
      <c r="I250" s="24" t="s">
        <v>1744</v>
      </c>
      <c r="J250" s="24" t="s">
        <v>1492</v>
      </c>
      <c r="K250" s="24" t="s">
        <v>867</v>
      </c>
      <c r="L250" s="24" t="s">
        <v>853</v>
      </c>
      <c r="M250" s="24" t="s">
        <v>962</v>
      </c>
      <c r="N250" s="24" t="s">
        <v>0</v>
      </c>
      <c r="O250" s="24" t="s">
        <v>1741</v>
      </c>
      <c r="P250" s="24" t="s">
        <v>848</v>
      </c>
      <c r="Q250" s="24" t="s">
        <v>848</v>
      </c>
      <c r="R250" s="24">
        <v>3</v>
      </c>
      <c r="S250" s="24" t="s">
        <v>1494</v>
      </c>
      <c r="T250" s="24" t="s">
        <v>962</v>
      </c>
      <c r="U250" s="24" t="s">
        <v>856</v>
      </c>
      <c r="V250" s="32" t="s">
        <v>857</v>
      </c>
      <c r="W250" s="14" t="b">
        <v>1</v>
      </c>
      <c r="X250" s="43" t="s">
        <v>409</v>
      </c>
      <c r="Y250" s="43"/>
      <c r="Z250" s="43" t="s">
        <v>858</v>
      </c>
      <c r="AA250" s="43" t="s">
        <v>858</v>
      </c>
      <c r="AB250" s="14" t="s">
        <v>413</v>
      </c>
      <c r="AC250" s="14"/>
      <c r="AD250" s="14"/>
      <c r="AE250" s="14">
        <v>1</v>
      </c>
      <c r="AF250" s="14"/>
      <c r="AG250" s="14"/>
      <c r="AH250" s="14"/>
      <c r="AI250" s="14"/>
      <c r="AJ250" s="14"/>
      <c r="AK250" s="14"/>
      <c r="AL250" s="14"/>
      <c r="AM250" s="14"/>
      <c r="AN250" s="14"/>
      <c r="AO250" s="14"/>
      <c r="AP250" s="14"/>
      <c r="AQ250" s="14"/>
      <c r="AR250" s="14"/>
      <c r="AS250" s="14"/>
      <c r="AT250" s="14"/>
      <c r="AU250" s="14"/>
      <c r="AV250" s="14"/>
      <c r="AW250" s="14"/>
      <c r="AX250" s="14"/>
    </row>
    <row r="251" spans="1:50" ht="15.75" customHeight="1">
      <c r="A251" s="24" t="s">
        <v>164</v>
      </c>
      <c r="B251" s="25" t="str">
        <f t="shared" si="6"/>
        <v>C2D_100nm_tile4_2_</v>
      </c>
      <c r="C251" s="24" t="s">
        <v>1745</v>
      </c>
      <c r="D251" s="74" t="str">
        <f t="shared" si="7"/>
        <v>bossdb://lee2022/C2D_100nm_tile4_2_/</v>
      </c>
      <c r="E251" s="24" t="s">
        <v>2</v>
      </c>
      <c r="F251" s="5" t="s">
        <v>1013</v>
      </c>
      <c r="G251" s="5" t="s">
        <v>865</v>
      </c>
      <c r="H251" s="24" t="s">
        <v>1491</v>
      </c>
      <c r="I251" s="24" t="s">
        <v>1745</v>
      </c>
      <c r="J251" s="24" t="s">
        <v>1492</v>
      </c>
      <c r="K251" s="24" t="s">
        <v>867</v>
      </c>
      <c r="L251" s="24" t="s">
        <v>853</v>
      </c>
      <c r="M251" s="24" t="s">
        <v>962</v>
      </c>
      <c r="N251" s="24" t="s">
        <v>0</v>
      </c>
      <c r="O251" s="24" t="s">
        <v>1742</v>
      </c>
      <c r="P251" s="24" t="s">
        <v>848</v>
      </c>
      <c r="Q251" s="24" t="s">
        <v>848</v>
      </c>
      <c r="R251" s="24">
        <v>3</v>
      </c>
      <c r="S251" s="24" t="s">
        <v>1494</v>
      </c>
      <c r="T251" s="24" t="s">
        <v>962</v>
      </c>
      <c r="U251" s="24" t="s">
        <v>856</v>
      </c>
      <c r="V251" s="32" t="s">
        <v>857</v>
      </c>
      <c r="W251" s="14" t="b">
        <v>1</v>
      </c>
      <c r="X251" s="43" t="s">
        <v>409</v>
      </c>
      <c r="Y251" s="43"/>
      <c r="Z251" s="43" t="s">
        <v>858</v>
      </c>
      <c r="AA251" s="43" t="s">
        <v>858</v>
      </c>
      <c r="AB251" s="14" t="s">
        <v>413</v>
      </c>
      <c r="AC251" s="14"/>
      <c r="AD251" s="14"/>
      <c r="AE251" s="14">
        <v>1</v>
      </c>
      <c r="AF251" s="14"/>
      <c r="AG251" s="14"/>
      <c r="AH251" s="14"/>
      <c r="AI251" s="14"/>
      <c r="AJ251" s="14"/>
      <c r="AK251" s="14"/>
      <c r="AL251" s="14"/>
      <c r="AM251" s="14"/>
      <c r="AN251" s="14"/>
      <c r="AO251" s="14"/>
      <c r="AP251" s="14"/>
      <c r="AQ251" s="14"/>
      <c r="AR251" s="14"/>
      <c r="AS251" s="14"/>
      <c r="AT251" s="14"/>
      <c r="AU251" s="14"/>
      <c r="AV251" s="14"/>
      <c r="AW251" s="14"/>
      <c r="AX251" s="14"/>
    </row>
    <row r="252" spans="1:50" ht="15.75" customHeight="1">
      <c r="A252" s="24" t="s">
        <v>166</v>
      </c>
      <c r="B252" s="25" t="str">
        <f t="shared" si="6"/>
        <v>C2D_100nm_tile4_3_</v>
      </c>
      <c r="C252" s="24" t="s">
        <v>1746</v>
      </c>
      <c r="D252" s="74" t="str">
        <f t="shared" si="7"/>
        <v>bossdb://lee2022/C2D_100nm_tile4_3_/</v>
      </c>
      <c r="E252" s="24" t="s">
        <v>2</v>
      </c>
      <c r="F252" s="5" t="s">
        <v>1013</v>
      </c>
      <c r="G252" s="5" t="s">
        <v>865</v>
      </c>
      <c r="H252" s="24" t="s">
        <v>1491</v>
      </c>
      <c r="I252" s="24" t="s">
        <v>1746</v>
      </c>
      <c r="J252" s="24" t="s">
        <v>1492</v>
      </c>
      <c r="K252" s="24" t="s">
        <v>867</v>
      </c>
      <c r="L252" s="24" t="s">
        <v>853</v>
      </c>
      <c r="M252" s="24" t="s">
        <v>962</v>
      </c>
      <c r="N252" s="24" t="s">
        <v>0</v>
      </c>
      <c r="O252" s="24" t="s">
        <v>1743</v>
      </c>
      <c r="P252" s="24" t="s">
        <v>848</v>
      </c>
      <c r="Q252" s="24" t="s">
        <v>848</v>
      </c>
      <c r="R252" s="24">
        <v>3</v>
      </c>
      <c r="S252" s="24" t="s">
        <v>1494</v>
      </c>
      <c r="T252" s="24" t="s">
        <v>962</v>
      </c>
      <c r="U252" s="24" t="s">
        <v>856</v>
      </c>
      <c r="V252" s="32" t="s">
        <v>857</v>
      </c>
      <c r="W252" s="14" t="b">
        <v>1</v>
      </c>
      <c r="X252" s="43" t="s">
        <v>409</v>
      </c>
      <c r="Y252" s="43"/>
      <c r="Z252" s="43" t="s">
        <v>858</v>
      </c>
      <c r="AA252" s="43" t="s">
        <v>858</v>
      </c>
      <c r="AB252" s="14" t="s">
        <v>413</v>
      </c>
      <c r="AC252" s="14"/>
      <c r="AD252" s="14"/>
      <c r="AE252" s="14">
        <v>1</v>
      </c>
      <c r="AF252" s="14"/>
      <c r="AG252" s="14"/>
      <c r="AH252" s="14"/>
      <c r="AI252" s="14"/>
      <c r="AJ252" s="14"/>
      <c r="AK252" s="14"/>
      <c r="AL252" s="14"/>
      <c r="AM252" s="14"/>
      <c r="AN252" s="14"/>
      <c r="AO252" s="14"/>
      <c r="AP252" s="14"/>
      <c r="AQ252" s="14"/>
      <c r="AR252" s="14"/>
      <c r="AS252" s="14"/>
      <c r="AT252" s="14"/>
      <c r="AU252" s="14"/>
      <c r="AV252" s="14"/>
      <c r="AW252" s="14"/>
      <c r="AX252" s="14"/>
    </row>
    <row r="253" spans="1:50" ht="15.75" customHeight="1">
      <c r="A253" s="24" t="s">
        <v>168</v>
      </c>
      <c r="B253" s="25" t="str">
        <f t="shared" si="6"/>
        <v>C2D_ovw_160nm_sz1_</v>
      </c>
      <c r="C253" s="24" t="s">
        <v>1747</v>
      </c>
      <c r="D253" s="74" t="str">
        <f t="shared" si="7"/>
        <v>bossdb://lee2022/C2D_ovw_160nm_sz1_/</v>
      </c>
      <c r="E253" s="24" t="s">
        <v>2</v>
      </c>
      <c r="F253" s="5" t="s">
        <v>1013</v>
      </c>
      <c r="G253" s="5" t="s">
        <v>865</v>
      </c>
      <c r="H253" s="24" t="s">
        <v>1491</v>
      </c>
      <c r="I253" s="24" t="s">
        <v>1747</v>
      </c>
      <c r="J253" s="24" t="s">
        <v>1492</v>
      </c>
      <c r="K253" s="24" t="s">
        <v>867</v>
      </c>
      <c r="L253" s="24" t="s">
        <v>853</v>
      </c>
      <c r="M253" s="24" t="s">
        <v>962</v>
      </c>
      <c r="N253" s="24" t="s">
        <v>0</v>
      </c>
      <c r="O253" s="24" t="s">
        <v>1744</v>
      </c>
      <c r="P253" s="24" t="s">
        <v>848</v>
      </c>
      <c r="Q253" s="24" t="s">
        <v>848</v>
      </c>
      <c r="R253" s="24">
        <v>3</v>
      </c>
      <c r="S253" s="24" t="s">
        <v>1494</v>
      </c>
      <c r="T253" s="24" t="s">
        <v>962</v>
      </c>
      <c r="U253" s="24" t="s">
        <v>856</v>
      </c>
      <c r="V253" s="32" t="s">
        <v>857</v>
      </c>
      <c r="W253" s="14" t="b">
        <v>1</v>
      </c>
      <c r="X253" s="43" t="s">
        <v>409</v>
      </c>
      <c r="Y253" s="43"/>
      <c r="Z253" s="43" t="s">
        <v>858</v>
      </c>
      <c r="AA253" s="43" t="s">
        <v>858</v>
      </c>
      <c r="AB253" s="14" t="s">
        <v>413</v>
      </c>
      <c r="AC253" s="14"/>
      <c r="AD253" s="14"/>
      <c r="AE253" s="14">
        <v>1</v>
      </c>
      <c r="AF253" s="14"/>
      <c r="AG253" s="14"/>
      <c r="AH253" s="14"/>
      <c r="AI253" s="14"/>
      <c r="AJ253" s="14"/>
      <c r="AK253" s="14"/>
      <c r="AL253" s="14"/>
      <c r="AM253" s="14"/>
      <c r="AN253" s="14"/>
      <c r="AO253" s="14"/>
      <c r="AP253" s="14"/>
      <c r="AQ253" s="14"/>
      <c r="AR253" s="14"/>
      <c r="AS253" s="14"/>
      <c r="AT253" s="14"/>
      <c r="AU253" s="14"/>
      <c r="AV253" s="14"/>
      <c r="AW253" s="14"/>
      <c r="AX253" s="14"/>
    </row>
    <row r="254" spans="1:50" ht="15.75" customHeight="1">
      <c r="A254" s="24" t="s">
        <v>170</v>
      </c>
      <c r="B254" s="25" t="str">
        <f t="shared" si="6"/>
        <v>C2D_ovw_160nm_sz1_1_</v>
      </c>
      <c r="C254" s="24" t="s">
        <v>1748</v>
      </c>
      <c r="D254" s="74" t="str">
        <f t="shared" si="7"/>
        <v>bossdb://lee2022/C2D_ovw_160nm_sz1_1_/</v>
      </c>
      <c r="E254" s="24" t="s">
        <v>2</v>
      </c>
      <c r="F254" s="5" t="s">
        <v>1013</v>
      </c>
      <c r="G254" s="5" t="s">
        <v>865</v>
      </c>
      <c r="H254" s="24" t="s">
        <v>1491</v>
      </c>
      <c r="I254" s="24" t="s">
        <v>1748</v>
      </c>
      <c r="J254" s="24" t="s">
        <v>1492</v>
      </c>
      <c r="K254" s="24" t="s">
        <v>867</v>
      </c>
      <c r="L254" s="24" t="s">
        <v>853</v>
      </c>
      <c r="M254" s="24" t="s">
        <v>962</v>
      </c>
      <c r="N254" s="24" t="s">
        <v>0</v>
      </c>
      <c r="O254" s="24" t="s">
        <v>1745</v>
      </c>
      <c r="P254" s="24" t="s">
        <v>848</v>
      </c>
      <c r="Q254" s="24" t="s">
        <v>848</v>
      </c>
      <c r="R254" s="24">
        <v>3</v>
      </c>
      <c r="S254" s="24" t="s">
        <v>1494</v>
      </c>
      <c r="T254" s="24" t="s">
        <v>962</v>
      </c>
      <c r="U254" s="24" t="s">
        <v>856</v>
      </c>
      <c r="V254" s="32" t="s">
        <v>857</v>
      </c>
      <c r="W254" s="14" t="b">
        <v>1</v>
      </c>
      <c r="X254" s="43" t="s">
        <v>409</v>
      </c>
      <c r="Y254" s="43"/>
      <c r="Z254" s="43" t="s">
        <v>858</v>
      </c>
      <c r="AA254" s="43" t="s">
        <v>858</v>
      </c>
      <c r="AB254" s="14" t="s">
        <v>413</v>
      </c>
      <c r="AC254" s="14"/>
      <c r="AD254" s="14"/>
      <c r="AE254" s="14">
        <v>1</v>
      </c>
      <c r="AF254" s="14"/>
      <c r="AG254" s="14"/>
      <c r="AH254" s="14"/>
      <c r="AI254" s="14"/>
      <c r="AJ254" s="14"/>
      <c r="AK254" s="14"/>
      <c r="AL254" s="14"/>
      <c r="AM254" s="14"/>
      <c r="AN254" s="14"/>
      <c r="AO254" s="14"/>
      <c r="AP254" s="14"/>
      <c r="AQ254" s="14"/>
      <c r="AR254" s="14"/>
      <c r="AS254" s="14"/>
      <c r="AT254" s="14"/>
      <c r="AU254" s="14"/>
      <c r="AV254" s="14"/>
      <c r="AW254" s="14"/>
      <c r="AX254" s="14"/>
    </row>
    <row r="255" spans="1:50" ht="15.75" customHeight="1">
      <c r="A255" s="24" t="s">
        <v>172</v>
      </c>
      <c r="B255" s="25" t="str">
        <f t="shared" si="6"/>
        <v>pfinAaron</v>
      </c>
      <c r="C255" s="24" t="s">
        <v>1749</v>
      </c>
      <c r="D255" s="74" t="str">
        <f t="shared" si="7"/>
        <v>bossdb://lee2022/pfinAaron/</v>
      </c>
      <c r="E255" s="24" t="s">
        <v>2</v>
      </c>
      <c r="F255" s="5" t="s">
        <v>1013</v>
      </c>
      <c r="G255" s="5" t="s">
        <v>865</v>
      </c>
      <c r="H255" s="24" t="s">
        <v>1491</v>
      </c>
      <c r="I255" s="24" t="s">
        <v>1749</v>
      </c>
      <c r="J255" s="24" t="s">
        <v>1492</v>
      </c>
      <c r="K255" s="24" t="s">
        <v>867</v>
      </c>
      <c r="L255" s="24" t="s">
        <v>853</v>
      </c>
      <c r="M255" s="24" t="s">
        <v>962</v>
      </c>
      <c r="N255" s="24" t="s">
        <v>0</v>
      </c>
      <c r="O255" s="24" t="s">
        <v>1746</v>
      </c>
      <c r="P255" s="24" t="s">
        <v>848</v>
      </c>
      <c r="Q255" s="24" t="s">
        <v>848</v>
      </c>
      <c r="R255" s="24">
        <v>3</v>
      </c>
      <c r="S255" s="24" t="s">
        <v>1494</v>
      </c>
      <c r="T255" s="24" t="s">
        <v>962</v>
      </c>
      <c r="U255" s="24" t="s">
        <v>856</v>
      </c>
      <c r="V255" s="32" t="s">
        <v>857</v>
      </c>
      <c r="W255" s="14" t="b">
        <v>1</v>
      </c>
      <c r="X255" s="43" t="s">
        <v>409</v>
      </c>
      <c r="Y255" s="43"/>
      <c r="Z255" s="43" t="s">
        <v>858</v>
      </c>
      <c r="AA255" s="43" t="s">
        <v>858</v>
      </c>
      <c r="AB255" s="14" t="s">
        <v>413</v>
      </c>
      <c r="AC255" s="14"/>
      <c r="AD255" s="14"/>
      <c r="AE255" s="14">
        <v>1</v>
      </c>
      <c r="AF255" s="14"/>
      <c r="AG255" s="14"/>
      <c r="AH255" s="14"/>
      <c r="AI255" s="14"/>
      <c r="AJ255" s="14"/>
      <c r="AK255" s="14"/>
      <c r="AL255" s="14"/>
      <c r="AM255" s="14"/>
      <c r="AN255" s="14"/>
      <c r="AO255" s="14"/>
      <c r="AP255" s="14"/>
      <c r="AQ255" s="14"/>
      <c r="AR255" s="14"/>
      <c r="AS255" s="14"/>
      <c r="AT255" s="14"/>
      <c r="AU255" s="14"/>
      <c r="AV255" s="14"/>
      <c r="AW255" s="14"/>
      <c r="AX255" s="14"/>
    </row>
    <row r="256" spans="1:50" ht="15.75" customHeight="1">
      <c r="A256" s="24" t="s">
        <v>174</v>
      </c>
      <c r="B256" s="25" t="str">
        <f t="shared" si="6"/>
        <v>pfinAaron_090nm_</v>
      </c>
      <c r="C256" s="24" t="s">
        <v>1750</v>
      </c>
      <c r="D256" s="74" t="str">
        <f t="shared" si="7"/>
        <v>bossdb://lee2022/pfinAaron_090nm_/</v>
      </c>
      <c r="E256" s="24" t="s">
        <v>2</v>
      </c>
      <c r="F256" s="5" t="s">
        <v>1013</v>
      </c>
      <c r="G256" s="5" t="s">
        <v>865</v>
      </c>
      <c r="H256" s="24" t="s">
        <v>1491</v>
      </c>
      <c r="I256" s="24" t="s">
        <v>1750</v>
      </c>
      <c r="J256" s="24" t="s">
        <v>1492</v>
      </c>
      <c r="K256" s="24" t="s">
        <v>867</v>
      </c>
      <c r="L256" s="24" t="s">
        <v>853</v>
      </c>
      <c r="M256" s="24" t="s">
        <v>962</v>
      </c>
      <c r="N256" s="24" t="s">
        <v>0</v>
      </c>
      <c r="O256" s="24" t="s">
        <v>1</v>
      </c>
      <c r="P256" s="24" t="s">
        <v>848</v>
      </c>
      <c r="Q256" s="24" t="s">
        <v>848</v>
      </c>
      <c r="R256" s="24">
        <v>3</v>
      </c>
      <c r="S256" s="24" t="s">
        <v>1494</v>
      </c>
      <c r="T256" s="24" t="s">
        <v>962</v>
      </c>
      <c r="U256" s="24" t="s">
        <v>856</v>
      </c>
      <c r="V256" s="32" t="s">
        <v>857</v>
      </c>
      <c r="W256" s="14" t="b">
        <v>1</v>
      </c>
      <c r="X256" s="43" t="s">
        <v>409</v>
      </c>
      <c r="Y256" s="43"/>
      <c r="Z256" s="43" t="s">
        <v>858</v>
      </c>
      <c r="AA256" s="43" t="s">
        <v>858</v>
      </c>
      <c r="AB256" s="14" t="s">
        <v>413</v>
      </c>
      <c r="AC256" s="14"/>
      <c r="AD256" s="14"/>
      <c r="AE256" s="14">
        <v>1</v>
      </c>
      <c r="AF256" s="14"/>
      <c r="AG256" s="14"/>
      <c r="AH256" s="14"/>
      <c r="AI256" s="14"/>
      <c r="AJ256" s="14"/>
      <c r="AK256" s="14"/>
      <c r="AL256" s="14"/>
      <c r="AM256" s="14"/>
      <c r="AN256" s="14"/>
      <c r="AO256" s="14"/>
      <c r="AP256" s="14"/>
      <c r="AQ256" s="14"/>
      <c r="AR256" s="14"/>
      <c r="AS256" s="14"/>
      <c r="AT256" s="14"/>
      <c r="AU256" s="14"/>
      <c r="AV256" s="14"/>
      <c r="AW256" s="14"/>
      <c r="AX256" s="14"/>
    </row>
    <row r="257" spans="1:50" ht="15.75" customHeight="1">
      <c r="A257" s="5" t="s">
        <v>405</v>
      </c>
      <c r="B257" s="5" t="s">
        <v>405</v>
      </c>
      <c r="C257" s="5" t="s">
        <v>847</v>
      </c>
      <c r="D257" s="7" t="s">
        <v>2039</v>
      </c>
      <c r="E257" s="24" t="s">
        <v>2</v>
      </c>
      <c r="F257" s="5" t="s">
        <v>849</v>
      </c>
      <c r="G257" s="5" t="s">
        <v>850</v>
      </c>
      <c r="H257" s="24" t="s">
        <v>1</v>
      </c>
      <c r="I257" s="5" t="s">
        <v>851</v>
      </c>
      <c r="J257" s="20"/>
      <c r="K257" s="5" t="s">
        <v>852</v>
      </c>
      <c r="L257" s="5" t="s">
        <v>853</v>
      </c>
      <c r="M257" s="5" t="s">
        <v>890</v>
      </c>
      <c r="N257" s="24" t="s">
        <v>0</v>
      </c>
      <c r="O257" s="24" t="s">
        <v>1</v>
      </c>
      <c r="P257" s="24" t="s">
        <v>848</v>
      </c>
      <c r="Q257" s="24" t="s">
        <v>848</v>
      </c>
      <c r="R257" s="5" t="s">
        <v>854</v>
      </c>
      <c r="S257" s="33" t="s">
        <v>855</v>
      </c>
      <c r="T257" s="24" t="s">
        <v>962</v>
      </c>
      <c r="U257" s="14" t="s">
        <v>856</v>
      </c>
      <c r="V257" s="34" t="s">
        <v>857</v>
      </c>
      <c r="W257" s="14" t="b">
        <v>1</v>
      </c>
      <c r="X257" s="43" t="s">
        <v>409</v>
      </c>
      <c r="Y257" s="43" t="s">
        <v>412</v>
      </c>
      <c r="Z257" s="43" t="s">
        <v>858</v>
      </c>
      <c r="AA257" s="43" t="s">
        <v>858</v>
      </c>
      <c r="AB257" s="43" t="s">
        <v>413</v>
      </c>
      <c r="AC257" s="14"/>
      <c r="AD257" s="14"/>
      <c r="AE257" s="14">
        <v>1</v>
      </c>
      <c r="AF257" s="80" t="s">
        <v>406</v>
      </c>
      <c r="AG257" s="14"/>
      <c r="AH257" s="14"/>
      <c r="AI257" s="14"/>
      <c r="AJ257" s="14"/>
      <c r="AK257" s="14"/>
      <c r="AL257" s="14"/>
      <c r="AM257" s="14"/>
      <c r="AN257" s="14"/>
      <c r="AO257" s="14"/>
      <c r="AP257" s="14"/>
      <c r="AQ257" s="14"/>
      <c r="AR257" s="14"/>
      <c r="AS257" s="14"/>
      <c r="AT257" s="14"/>
      <c r="AU257" s="14"/>
      <c r="AV257" s="14"/>
      <c r="AW257" s="14"/>
      <c r="AX257" s="14"/>
    </row>
    <row r="258" spans="1:50" ht="15.75" customHeight="1">
      <c r="A258" s="5" t="s">
        <v>414</v>
      </c>
      <c r="B258" s="5" t="s">
        <v>414</v>
      </c>
      <c r="C258" s="5" t="s">
        <v>851</v>
      </c>
      <c r="D258" s="7" t="str">
        <f>CONCATENATE("bossdb://mulcahy2020/",B258,"/")</f>
        <v>bossdb://mulcahy2020/16h_L1/</v>
      </c>
      <c r="E258" s="24" t="s">
        <v>2</v>
      </c>
      <c r="F258" s="5" t="s">
        <v>849</v>
      </c>
      <c r="G258" s="5" t="s">
        <v>850</v>
      </c>
      <c r="H258" s="24" t="s">
        <v>1</v>
      </c>
      <c r="I258" s="5" t="s">
        <v>859</v>
      </c>
      <c r="J258" s="20"/>
      <c r="K258" s="5" t="s">
        <v>852</v>
      </c>
      <c r="L258" s="5" t="s">
        <v>853</v>
      </c>
      <c r="M258" s="5" t="s">
        <v>890</v>
      </c>
      <c r="N258" s="24" t="s">
        <v>0</v>
      </c>
      <c r="O258" s="24" t="s">
        <v>1</v>
      </c>
      <c r="P258" s="24" t="s">
        <v>848</v>
      </c>
      <c r="Q258" s="24" t="s">
        <v>848</v>
      </c>
      <c r="R258" s="5" t="s">
        <v>854</v>
      </c>
      <c r="S258" s="5" t="s">
        <v>860</v>
      </c>
      <c r="T258" s="24" t="s">
        <v>962</v>
      </c>
      <c r="U258" s="14" t="s">
        <v>856</v>
      </c>
      <c r="V258" s="34" t="s">
        <v>857</v>
      </c>
      <c r="W258" s="14" t="b">
        <v>1</v>
      </c>
      <c r="X258" s="43" t="s">
        <v>409</v>
      </c>
      <c r="Y258" s="14" t="s">
        <v>412</v>
      </c>
      <c r="Z258" s="43" t="s">
        <v>858</v>
      </c>
      <c r="AA258" s="43" t="s">
        <v>858</v>
      </c>
      <c r="AB258" s="43" t="s">
        <v>413</v>
      </c>
      <c r="AC258" s="14"/>
      <c r="AD258" s="14"/>
      <c r="AE258" s="14">
        <v>1</v>
      </c>
      <c r="AF258" s="80" t="s">
        <v>406</v>
      </c>
      <c r="AG258" s="14"/>
      <c r="AH258" s="14"/>
      <c r="AI258" s="14"/>
      <c r="AJ258" s="14"/>
      <c r="AK258" s="14"/>
      <c r="AL258" s="14"/>
      <c r="AM258" s="14"/>
      <c r="AN258" s="14"/>
      <c r="AO258" s="14"/>
      <c r="AP258" s="14"/>
      <c r="AQ258" s="14"/>
      <c r="AR258" s="14"/>
      <c r="AS258" s="14"/>
      <c r="AT258" s="14"/>
      <c r="AU258" s="14"/>
      <c r="AV258" s="14"/>
      <c r="AW258" s="14"/>
      <c r="AX258" s="14"/>
    </row>
    <row r="259" spans="1:50" ht="15.75" customHeight="1">
      <c r="A259" s="5" t="s">
        <v>416</v>
      </c>
      <c r="B259" s="5" t="s">
        <v>416</v>
      </c>
      <c r="C259" s="5" t="s">
        <v>859</v>
      </c>
      <c r="D259" s="7" t="str">
        <f>CONCATENATE("bossdb://mulcahy2020/",B259,"/")</f>
        <v>bossdb://mulcahy2020/18h_L2/</v>
      </c>
      <c r="E259" s="24" t="s">
        <v>2</v>
      </c>
      <c r="F259" s="5" t="s">
        <v>849</v>
      </c>
      <c r="G259" s="5" t="s">
        <v>850</v>
      </c>
      <c r="H259" s="24" t="s">
        <v>1</v>
      </c>
      <c r="I259" s="5" t="s">
        <v>861</v>
      </c>
      <c r="J259" s="20"/>
      <c r="K259" s="5" t="s">
        <v>852</v>
      </c>
      <c r="L259" s="5" t="s">
        <v>853</v>
      </c>
      <c r="M259" s="5" t="s">
        <v>890</v>
      </c>
      <c r="N259" s="24" t="s">
        <v>0</v>
      </c>
      <c r="O259" s="24" t="s">
        <v>1</v>
      </c>
      <c r="P259" s="24" t="s">
        <v>848</v>
      </c>
      <c r="Q259" s="24" t="s">
        <v>848</v>
      </c>
      <c r="R259" s="5" t="s">
        <v>854</v>
      </c>
      <c r="S259" s="5" t="s">
        <v>860</v>
      </c>
      <c r="T259" s="24" t="s">
        <v>962</v>
      </c>
      <c r="U259" s="14" t="s">
        <v>856</v>
      </c>
      <c r="V259" s="34" t="s">
        <v>857</v>
      </c>
      <c r="W259" s="14" t="b">
        <v>1</v>
      </c>
      <c r="X259" s="43" t="s">
        <v>409</v>
      </c>
      <c r="Y259" s="14" t="s">
        <v>412</v>
      </c>
      <c r="Z259" s="43" t="s">
        <v>858</v>
      </c>
      <c r="AA259" s="43" t="s">
        <v>858</v>
      </c>
      <c r="AB259" s="43" t="s">
        <v>413</v>
      </c>
      <c r="AC259" s="14"/>
      <c r="AD259" s="14"/>
      <c r="AE259" s="14">
        <v>1</v>
      </c>
      <c r="AF259" s="80" t="s">
        <v>406</v>
      </c>
      <c r="AG259" s="14"/>
      <c r="AH259" s="14"/>
      <c r="AI259" s="14"/>
      <c r="AJ259" s="14"/>
      <c r="AK259" s="14"/>
      <c r="AL259" s="14"/>
      <c r="AM259" s="14"/>
      <c r="AN259" s="14"/>
      <c r="AO259" s="14"/>
      <c r="AP259" s="14"/>
      <c r="AQ259" s="14"/>
      <c r="AR259" s="14"/>
      <c r="AS259" s="14"/>
      <c r="AT259" s="14"/>
      <c r="AU259" s="14"/>
      <c r="AV259" s="14"/>
      <c r="AW259" s="14"/>
      <c r="AX259" s="14"/>
    </row>
    <row r="260" spans="1:50" ht="15.75" customHeight="1">
      <c r="A260" s="5" t="s">
        <v>418</v>
      </c>
      <c r="B260" s="5" t="s">
        <v>418</v>
      </c>
      <c r="C260" s="5" t="s">
        <v>861</v>
      </c>
      <c r="D260" s="7" t="str">
        <f>CONCATENATE("bossdb://mulcahy2020/",B260,"/")</f>
        <v>bossdb://mulcahy2020/1h_L1/</v>
      </c>
      <c r="E260" s="24" t="s">
        <v>2</v>
      </c>
      <c r="F260" s="5" t="s">
        <v>849</v>
      </c>
      <c r="G260" s="5" t="s">
        <v>850</v>
      </c>
      <c r="H260" s="24" t="s">
        <v>1</v>
      </c>
      <c r="I260" s="5" t="s">
        <v>862</v>
      </c>
      <c r="J260" s="20"/>
      <c r="K260" s="5" t="s">
        <v>852</v>
      </c>
      <c r="L260" s="5" t="s">
        <v>853</v>
      </c>
      <c r="M260" s="5" t="s">
        <v>890</v>
      </c>
      <c r="N260" s="24" t="s">
        <v>0</v>
      </c>
      <c r="O260" s="24" t="s">
        <v>1</v>
      </c>
      <c r="P260" s="5" t="s">
        <v>848</v>
      </c>
      <c r="Q260" s="24" t="s">
        <v>848</v>
      </c>
      <c r="R260" s="5" t="s">
        <v>854</v>
      </c>
      <c r="S260" s="33" t="s">
        <v>855</v>
      </c>
      <c r="T260" s="24" t="s">
        <v>962</v>
      </c>
      <c r="U260" s="14" t="s">
        <v>856</v>
      </c>
      <c r="V260" s="34" t="s">
        <v>857</v>
      </c>
      <c r="W260" s="14" t="b">
        <v>1</v>
      </c>
      <c r="X260" s="43" t="s">
        <v>409</v>
      </c>
      <c r="Y260" s="14" t="s">
        <v>412</v>
      </c>
      <c r="Z260" s="43" t="s">
        <v>858</v>
      </c>
      <c r="AA260" s="43" t="s">
        <v>858</v>
      </c>
      <c r="AB260" s="43" t="s">
        <v>413</v>
      </c>
      <c r="AC260" s="14"/>
      <c r="AD260" s="14"/>
      <c r="AE260" s="14">
        <v>1</v>
      </c>
      <c r="AF260" s="80" t="s">
        <v>406</v>
      </c>
      <c r="AG260" s="14"/>
      <c r="AH260" s="14"/>
      <c r="AI260" s="14"/>
      <c r="AJ260" s="14"/>
      <c r="AK260" s="14"/>
      <c r="AL260" s="14"/>
      <c r="AM260" s="14"/>
      <c r="AN260" s="14"/>
      <c r="AO260" s="14"/>
      <c r="AP260" s="14"/>
      <c r="AQ260" s="14"/>
      <c r="AR260" s="14"/>
      <c r="AS260" s="14"/>
      <c r="AT260" s="14"/>
      <c r="AU260" s="14"/>
      <c r="AV260" s="14"/>
      <c r="AW260" s="14"/>
      <c r="AX260" s="14"/>
    </row>
    <row r="261" spans="1:50" ht="15.75" customHeight="1">
      <c r="A261" s="5" t="s">
        <v>420</v>
      </c>
      <c r="B261" s="5" t="s">
        <v>420</v>
      </c>
      <c r="C261" s="5" t="s">
        <v>862</v>
      </c>
      <c r="D261" s="7" t="str">
        <f>CONCATENATE("bossdb://mulcahy2020/",B261,"/")</f>
        <v>bossdb://mulcahy2020/23h_L2/</v>
      </c>
      <c r="E261" s="24" t="s">
        <v>2</v>
      </c>
      <c r="F261" s="5" t="s">
        <v>849</v>
      </c>
      <c r="G261" s="5" t="s">
        <v>850</v>
      </c>
      <c r="H261" s="24" t="s">
        <v>1</v>
      </c>
      <c r="I261" s="5" t="s">
        <v>863</v>
      </c>
      <c r="J261" s="20"/>
      <c r="K261" s="5" t="s">
        <v>852</v>
      </c>
      <c r="L261" s="5" t="s">
        <v>853</v>
      </c>
      <c r="M261" s="5" t="s">
        <v>890</v>
      </c>
      <c r="N261" s="24" t="s">
        <v>0</v>
      </c>
      <c r="O261" s="24" t="s">
        <v>1</v>
      </c>
      <c r="P261" s="5" t="s">
        <v>848</v>
      </c>
      <c r="Q261" s="24" t="s">
        <v>848</v>
      </c>
      <c r="R261" s="5" t="s">
        <v>854</v>
      </c>
      <c r="S261" s="5" t="s">
        <v>860</v>
      </c>
      <c r="T261" s="24" t="s">
        <v>962</v>
      </c>
      <c r="U261" s="14" t="s">
        <v>856</v>
      </c>
      <c r="V261" s="34" t="s">
        <v>857</v>
      </c>
      <c r="W261" s="14" t="b">
        <v>1</v>
      </c>
      <c r="X261" s="43" t="s">
        <v>409</v>
      </c>
      <c r="Y261" s="43" t="s">
        <v>412</v>
      </c>
      <c r="Z261" s="43" t="s">
        <v>858</v>
      </c>
      <c r="AA261" s="43" t="s">
        <v>858</v>
      </c>
      <c r="AB261" s="43" t="s">
        <v>413</v>
      </c>
      <c r="AC261" s="14"/>
      <c r="AD261" s="14"/>
      <c r="AE261" s="14">
        <v>1</v>
      </c>
      <c r="AF261" s="80" t="s">
        <v>406</v>
      </c>
      <c r="AG261" s="14"/>
      <c r="AH261" s="14"/>
      <c r="AI261" s="14"/>
      <c r="AJ261" s="14"/>
      <c r="AK261" s="14"/>
      <c r="AL261" s="14"/>
      <c r="AM261" s="14"/>
      <c r="AN261" s="14"/>
      <c r="AO261" s="14"/>
      <c r="AP261" s="14"/>
      <c r="AQ261" s="14"/>
      <c r="AR261" s="14"/>
      <c r="AS261" s="14"/>
      <c r="AT261" s="14"/>
      <c r="AU261" s="14"/>
      <c r="AV261" s="14"/>
      <c r="AW261" s="14"/>
      <c r="AX261" s="14"/>
    </row>
    <row r="262" spans="1:50" ht="15.75" customHeight="1">
      <c r="A262" s="5" t="s">
        <v>422</v>
      </c>
      <c r="B262" s="5" t="s">
        <v>422</v>
      </c>
      <c r="C262" s="5" t="s">
        <v>863</v>
      </c>
      <c r="D262" s="7" t="str">
        <f t="shared" ref="D262:D274" si="8">CONCATENATE("bossdb://wildenberg2021/",B262,"/")</f>
        <v>bossdb://wildenberg2021/NAc_dat1_saline_control_axons_2ndmouse_15nm_bottom/</v>
      </c>
      <c r="E262" s="24" t="s">
        <v>2</v>
      </c>
      <c r="F262" s="5" t="s">
        <v>864</v>
      </c>
      <c r="G262" s="5" t="s">
        <v>865</v>
      </c>
      <c r="H262" s="24" t="s">
        <v>1</v>
      </c>
      <c r="I262" s="5" t="s">
        <v>866</v>
      </c>
      <c r="J262" s="20"/>
      <c r="K262" s="5" t="s">
        <v>867</v>
      </c>
      <c r="L262" s="5" t="s">
        <v>853</v>
      </c>
      <c r="M262" s="5" t="s">
        <v>868</v>
      </c>
      <c r="N262" s="24" t="s">
        <v>0</v>
      </c>
      <c r="O262" s="24" t="s">
        <v>1</v>
      </c>
      <c r="P262" s="5" t="s">
        <v>848</v>
      </c>
      <c r="Q262" s="24" t="s">
        <v>848</v>
      </c>
      <c r="R262" s="5" t="s">
        <v>854</v>
      </c>
      <c r="S262" s="5" t="s">
        <v>869</v>
      </c>
      <c r="T262" s="24" t="s">
        <v>962</v>
      </c>
      <c r="U262" s="14" t="s">
        <v>856</v>
      </c>
      <c r="V262" s="34" t="s">
        <v>857</v>
      </c>
      <c r="W262" s="14" t="b">
        <v>1</v>
      </c>
      <c r="X262" s="43" t="s">
        <v>409</v>
      </c>
      <c r="Y262" s="43" t="s">
        <v>426</v>
      </c>
      <c r="Z262" s="43" t="s">
        <v>858</v>
      </c>
      <c r="AA262" s="43" t="s">
        <v>858</v>
      </c>
      <c r="AB262" s="43" t="s">
        <v>413</v>
      </c>
      <c r="AC262" s="14"/>
      <c r="AD262" s="14"/>
      <c r="AE262" s="14">
        <v>1</v>
      </c>
      <c r="AF262" s="78" t="s">
        <v>406</v>
      </c>
      <c r="AG262" s="14"/>
      <c r="AH262" s="14"/>
      <c r="AI262" s="14"/>
      <c r="AJ262" s="14"/>
      <c r="AK262" s="14"/>
      <c r="AL262" s="14"/>
      <c r="AM262" s="14"/>
      <c r="AN262" s="14"/>
      <c r="AO262" s="14"/>
      <c r="AP262" s="14"/>
      <c r="AQ262" s="14"/>
      <c r="AR262" s="14"/>
      <c r="AS262" s="14"/>
      <c r="AT262" s="14"/>
      <c r="AU262" s="14"/>
      <c r="AV262" s="14"/>
      <c r="AW262" s="14"/>
      <c r="AX262" s="14"/>
    </row>
    <row r="263" spans="1:50" ht="15.75" customHeight="1">
      <c r="A263" s="5" t="s">
        <v>427</v>
      </c>
      <c r="B263" s="5" t="s">
        <v>427</v>
      </c>
      <c r="C263" s="5" t="s">
        <v>866</v>
      </c>
      <c r="D263" s="7" t="str">
        <f t="shared" si="8"/>
        <v>bossdb://wildenberg2021/NAc_dat1_saline_control_axons_2ndmouse_15nm_top/</v>
      </c>
      <c r="E263" s="24" t="s">
        <v>2</v>
      </c>
      <c r="F263" s="5" t="s">
        <v>864</v>
      </c>
      <c r="G263" s="5" t="s">
        <v>865</v>
      </c>
      <c r="H263" s="24" t="s">
        <v>1</v>
      </c>
      <c r="I263" s="5" t="s">
        <v>870</v>
      </c>
      <c r="J263" s="20"/>
      <c r="K263" s="5" t="s">
        <v>867</v>
      </c>
      <c r="L263" s="5" t="s">
        <v>853</v>
      </c>
      <c r="M263" s="5" t="s">
        <v>868</v>
      </c>
      <c r="N263" s="24" t="s">
        <v>0</v>
      </c>
      <c r="O263" s="24" t="s">
        <v>1</v>
      </c>
      <c r="P263" s="5" t="s">
        <v>848</v>
      </c>
      <c r="Q263" s="24" t="s">
        <v>848</v>
      </c>
      <c r="R263" s="5" t="s">
        <v>854</v>
      </c>
      <c r="S263" s="5" t="s">
        <v>869</v>
      </c>
      <c r="T263" s="24" t="s">
        <v>962</v>
      </c>
      <c r="U263" s="14" t="s">
        <v>856</v>
      </c>
      <c r="V263" s="34" t="s">
        <v>857</v>
      </c>
      <c r="W263" s="14" t="b">
        <v>1</v>
      </c>
      <c r="X263" s="43" t="s">
        <v>409</v>
      </c>
      <c r="Y263" s="14" t="s">
        <v>426</v>
      </c>
      <c r="Z263" s="43" t="s">
        <v>858</v>
      </c>
      <c r="AA263" s="43" t="s">
        <v>858</v>
      </c>
      <c r="AB263" s="43" t="s">
        <v>413</v>
      </c>
      <c r="AC263" s="14"/>
      <c r="AD263" s="14"/>
      <c r="AE263" s="14">
        <v>1</v>
      </c>
      <c r="AF263" s="69" t="s">
        <v>423</v>
      </c>
      <c r="AG263" s="14"/>
      <c r="AH263" s="14"/>
      <c r="AI263" s="14"/>
      <c r="AJ263" s="14"/>
      <c r="AK263" s="14"/>
      <c r="AL263" s="14"/>
      <c r="AM263" s="14"/>
      <c r="AN263" s="14"/>
      <c r="AO263" s="14"/>
      <c r="AP263" s="14"/>
      <c r="AQ263" s="14"/>
      <c r="AR263" s="14"/>
      <c r="AS263" s="14"/>
      <c r="AT263" s="14"/>
      <c r="AU263" s="14"/>
      <c r="AV263" s="14"/>
      <c r="AW263" s="14"/>
      <c r="AX263" s="14"/>
    </row>
    <row r="264" spans="1:50" ht="15.75" customHeight="1">
      <c r="A264" s="5" t="s">
        <v>429</v>
      </c>
      <c r="B264" s="5" t="s">
        <v>429</v>
      </c>
      <c r="C264" s="5" t="s">
        <v>870</v>
      </c>
      <c r="D264" s="7" t="str">
        <f t="shared" si="8"/>
        <v>bossdb://wildenberg2021/NAc_dat1_saline_control_axons_2ndmouse_7nm/</v>
      </c>
      <c r="E264" s="24" t="s">
        <v>2</v>
      </c>
      <c r="F264" s="5" t="s">
        <v>864</v>
      </c>
      <c r="G264" s="5" t="s">
        <v>865</v>
      </c>
      <c r="H264" s="24" t="s">
        <v>1</v>
      </c>
      <c r="I264" s="5" t="s">
        <v>871</v>
      </c>
      <c r="J264" s="20"/>
      <c r="K264" s="5" t="s">
        <v>867</v>
      </c>
      <c r="L264" s="5" t="s">
        <v>853</v>
      </c>
      <c r="M264" s="5" t="s">
        <v>868</v>
      </c>
      <c r="N264" s="24" t="s">
        <v>0</v>
      </c>
      <c r="O264" s="24" t="s">
        <v>1</v>
      </c>
      <c r="P264" s="5" t="s">
        <v>848</v>
      </c>
      <c r="Q264" s="24" t="s">
        <v>848</v>
      </c>
      <c r="R264" s="5" t="s">
        <v>854</v>
      </c>
      <c r="S264" s="5" t="s">
        <v>869</v>
      </c>
      <c r="T264" s="24" t="s">
        <v>962</v>
      </c>
      <c r="U264" s="14" t="s">
        <v>856</v>
      </c>
      <c r="V264" s="34" t="s">
        <v>857</v>
      </c>
      <c r="W264" s="14" t="b">
        <v>1</v>
      </c>
      <c r="X264" s="43" t="s">
        <v>409</v>
      </c>
      <c r="Y264" s="14" t="s">
        <v>426</v>
      </c>
      <c r="Z264" s="43" t="s">
        <v>858</v>
      </c>
      <c r="AA264" s="43" t="s">
        <v>858</v>
      </c>
      <c r="AB264" s="43" t="s">
        <v>413</v>
      </c>
      <c r="AC264" s="14"/>
      <c r="AD264" s="14"/>
      <c r="AE264" s="14">
        <v>1</v>
      </c>
      <c r="AF264" s="69" t="s">
        <v>423</v>
      </c>
      <c r="AG264" s="14"/>
      <c r="AH264" s="14"/>
      <c r="AI264" s="14"/>
      <c r="AJ264" s="14"/>
      <c r="AK264" s="14"/>
      <c r="AL264" s="14"/>
      <c r="AM264" s="14"/>
      <c r="AN264" s="14"/>
      <c r="AO264" s="14"/>
      <c r="AP264" s="14"/>
      <c r="AQ264" s="14"/>
      <c r="AR264" s="14"/>
      <c r="AS264" s="14"/>
      <c r="AT264" s="14"/>
      <c r="AU264" s="14"/>
      <c r="AV264" s="14"/>
      <c r="AW264" s="14"/>
      <c r="AX264" s="14"/>
    </row>
    <row r="265" spans="1:50" ht="15.75" customHeight="1">
      <c r="A265" s="5" t="s">
        <v>431</v>
      </c>
      <c r="B265" s="5" t="s">
        <v>431</v>
      </c>
      <c r="C265" s="5" t="s">
        <v>871</v>
      </c>
      <c r="D265" s="7" t="str">
        <f t="shared" si="8"/>
        <v>bossdb://wildenberg2021/Nac_dat29_cocaine_axon_2ndmouse_15nm_aligned/</v>
      </c>
      <c r="E265" s="24" t="s">
        <v>2</v>
      </c>
      <c r="F265" s="5" t="s">
        <v>864</v>
      </c>
      <c r="G265" s="5" t="s">
        <v>865</v>
      </c>
      <c r="H265" s="24" t="s">
        <v>1</v>
      </c>
      <c r="I265" s="5" t="s">
        <v>872</v>
      </c>
      <c r="J265" s="20"/>
      <c r="K265" s="5" t="s">
        <v>867</v>
      </c>
      <c r="L265" s="5" t="s">
        <v>853</v>
      </c>
      <c r="M265" s="5" t="s">
        <v>868</v>
      </c>
      <c r="N265" s="24" t="s">
        <v>0</v>
      </c>
      <c r="O265" s="24" t="s">
        <v>1</v>
      </c>
      <c r="P265" s="5" t="s">
        <v>848</v>
      </c>
      <c r="Q265" s="24" t="s">
        <v>848</v>
      </c>
      <c r="R265" s="5" t="s">
        <v>854</v>
      </c>
      <c r="S265" s="5" t="s">
        <v>869</v>
      </c>
      <c r="T265" s="24" t="s">
        <v>962</v>
      </c>
      <c r="U265" s="14" t="s">
        <v>856</v>
      </c>
      <c r="V265" s="34" t="s">
        <v>857</v>
      </c>
      <c r="W265" s="14" t="b">
        <v>1</v>
      </c>
      <c r="X265" s="43" t="s">
        <v>409</v>
      </c>
      <c r="Y265" s="14" t="s">
        <v>426</v>
      </c>
      <c r="Z265" s="43" t="s">
        <v>858</v>
      </c>
      <c r="AA265" s="43" t="s">
        <v>858</v>
      </c>
      <c r="AB265" s="43" t="s">
        <v>413</v>
      </c>
      <c r="AC265" s="14"/>
      <c r="AD265" s="14"/>
      <c r="AE265" s="14">
        <v>1</v>
      </c>
      <c r="AF265" s="69" t="s">
        <v>423</v>
      </c>
      <c r="AG265" s="14"/>
      <c r="AH265" s="14"/>
      <c r="AI265" s="14"/>
      <c r="AJ265" s="14"/>
      <c r="AK265" s="14"/>
      <c r="AL265" s="14"/>
      <c r="AM265" s="14"/>
      <c r="AN265" s="14"/>
      <c r="AO265" s="14"/>
      <c r="AP265" s="14"/>
      <c r="AQ265" s="14"/>
      <c r="AR265" s="14"/>
      <c r="AS265" s="14"/>
      <c r="AT265" s="14"/>
      <c r="AU265" s="14"/>
      <c r="AV265" s="14"/>
      <c r="AW265" s="14"/>
      <c r="AX265" s="14"/>
    </row>
    <row r="266" spans="1:50" ht="15.75" customHeight="1">
      <c r="A266" s="5" t="s">
        <v>433</v>
      </c>
      <c r="B266" s="5" t="s">
        <v>433</v>
      </c>
      <c r="C266" s="5" t="s">
        <v>872</v>
      </c>
      <c r="D266" s="7" t="str">
        <f t="shared" si="8"/>
        <v>bossdb://wildenberg2021/NAc_dat2b_saline_control_axons_1stmouse_20nm_aligned/</v>
      </c>
      <c r="E266" s="24" t="s">
        <v>2</v>
      </c>
      <c r="F266" s="5" t="s">
        <v>864</v>
      </c>
      <c r="G266" s="5" t="s">
        <v>865</v>
      </c>
      <c r="H266" s="24" t="s">
        <v>1</v>
      </c>
      <c r="I266" s="5" t="s">
        <v>873</v>
      </c>
      <c r="J266" s="20"/>
      <c r="K266" s="5" t="s">
        <v>867</v>
      </c>
      <c r="L266" s="5" t="s">
        <v>853</v>
      </c>
      <c r="M266" s="5" t="s">
        <v>868</v>
      </c>
      <c r="N266" s="24" t="s">
        <v>0</v>
      </c>
      <c r="O266" s="24" t="s">
        <v>1</v>
      </c>
      <c r="P266" s="5" t="s">
        <v>848</v>
      </c>
      <c r="Q266" s="24" t="s">
        <v>848</v>
      </c>
      <c r="R266" s="5" t="s">
        <v>854</v>
      </c>
      <c r="S266" s="5" t="s">
        <v>869</v>
      </c>
      <c r="T266" s="24" t="s">
        <v>962</v>
      </c>
      <c r="U266" s="14" t="s">
        <v>856</v>
      </c>
      <c r="V266" s="34" t="s">
        <v>857</v>
      </c>
      <c r="W266" s="14" t="b">
        <v>1</v>
      </c>
      <c r="X266" s="43" t="s">
        <v>409</v>
      </c>
      <c r="Y266" s="14" t="s">
        <v>426</v>
      </c>
      <c r="Z266" s="43" t="s">
        <v>858</v>
      </c>
      <c r="AA266" s="43" t="s">
        <v>858</v>
      </c>
      <c r="AB266" s="43" t="s">
        <v>413</v>
      </c>
      <c r="AC266" s="14"/>
      <c r="AD266" s="14"/>
      <c r="AE266" s="14">
        <v>1</v>
      </c>
      <c r="AF266" s="69" t="s">
        <v>423</v>
      </c>
      <c r="AG266" s="14"/>
      <c r="AH266" s="14"/>
      <c r="AI266" s="14"/>
      <c r="AJ266" s="14"/>
      <c r="AK266" s="14"/>
      <c r="AL266" s="14"/>
      <c r="AM266" s="14"/>
      <c r="AN266" s="14"/>
      <c r="AO266" s="14"/>
      <c r="AP266" s="14"/>
      <c r="AQ266" s="14"/>
      <c r="AR266" s="14"/>
      <c r="AS266" s="14"/>
      <c r="AT266" s="14"/>
      <c r="AU266" s="14"/>
      <c r="AV266" s="14"/>
      <c r="AW266" s="14"/>
      <c r="AX266" s="14"/>
    </row>
    <row r="267" spans="1:50" ht="15.75" customHeight="1">
      <c r="A267" s="5" t="s">
        <v>435</v>
      </c>
      <c r="B267" s="5" t="s">
        <v>435</v>
      </c>
      <c r="C267" s="5" t="s">
        <v>873</v>
      </c>
      <c r="D267" s="7" t="str">
        <f t="shared" si="8"/>
        <v>bossdb://wildenberg2021/NAc_dat2b_saline_control_axons_1stmouse_6nm_aligned/</v>
      </c>
      <c r="E267" s="24" t="s">
        <v>2</v>
      </c>
      <c r="F267" s="5" t="s">
        <v>864</v>
      </c>
      <c r="G267" s="5" t="s">
        <v>865</v>
      </c>
      <c r="H267" s="24" t="s">
        <v>1</v>
      </c>
      <c r="I267" s="5" t="s">
        <v>874</v>
      </c>
      <c r="J267" s="20"/>
      <c r="K267" s="5" t="s">
        <v>867</v>
      </c>
      <c r="L267" s="5" t="s">
        <v>853</v>
      </c>
      <c r="M267" s="5" t="s">
        <v>868</v>
      </c>
      <c r="N267" s="24" t="s">
        <v>0</v>
      </c>
      <c r="O267" s="24" t="s">
        <v>1</v>
      </c>
      <c r="P267" s="5" t="s">
        <v>848</v>
      </c>
      <c r="Q267" s="24" t="s">
        <v>848</v>
      </c>
      <c r="R267" s="5" t="s">
        <v>854</v>
      </c>
      <c r="S267" s="5" t="s">
        <v>869</v>
      </c>
      <c r="T267" s="24" t="s">
        <v>962</v>
      </c>
      <c r="U267" s="14" t="s">
        <v>856</v>
      </c>
      <c r="V267" s="34" t="s">
        <v>857</v>
      </c>
      <c r="W267" s="14" t="b">
        <v>1</v>
      </c>
      <c r="X267" s="43" t="s">
        <v>409</v>
      </c>
      <c r="Y267" s="14" t="s">
        <v>426</v>
      </c>
      <c r="Z267" s="43" t="s">
        <v>858</v>
      </c>
      <c r="AA267" s="43" t="s">
        <v>858</v>
      </c>
      <c r="AB267" s="43" t="s">
        <v>413</v>
      </c>
      <c r="AC267" s="14"/>
      <c r="AD267" s="14"/>
      <c r="AE267" s="14">
        <v>1</v>
      </c>
      <c r="AF267" s="69" t="s">
        <v>423</v>
      </c>
      <c r="AG267" s="14"/>
      <c r="AH267" s="14"/>
      <c r="AI267" s="14"/>
      <c r="AJ267" s="14"/>
      <c r="AK267" s="14"/>
      <c r="AL267" s="14"/>
      <c r="AM267" s="14"/>
      <c r="AN267" s="14"/>
      <c r="AO267" s="14"/>
      <c r="AP267" s="14"/>
      <c r="AQ267" s="14"/>
      <c r="AR267" s="14"/>
      <c r="AS267" s="14"/>
      <c r="AT267" s="14"/>
      <c r="AU267" s="14"/>
      <c r="AV267" s="14"/>
      <c r="AW267" s="14"/>
      <c r="AX267" s="14"/>
    </row>
    <row r="268" spans="1:50" ht="15.75" customHeight="1">
      <c r="A268" s="5" t="s">
        <v>437</v>
      </c>
      <c r="B268" s="5" t="s">
        <v>437</v>
      </c>
      <c r="C268" s="5" t="s">
        <v>874</v>
      </c>
      <c r="D268" s="7" t="str">
        <f t="shared" si="8"/>
        <v>bossdb://wildenberg2021/NAc_dat30_cocaine_axon_1stmouse_aligned_6nm/</v>
      </c>
      <c r="E268" s="24" t="s">
        <v>2</v>
      </c>
      <c r="F268" s="5" t="s">
        <v>864</v>
      </c>
      <c r="G268" s="5" t="s">
        <v>865</v>
      </c>
      <c r="H268" s="24" t="s">
        <v>1</v>
      </c>
      <c r="I268" s="5" t="s">
        <v>875</v>
      </c>
      <c r="J268" s="20"/>
      <c r="K268" s="5" t="s">
        <v>867</v>
      </c>
      <c r="L268" s="5" t="s">
        <v>853</v>
      </c>
      <c r="M268" s="5" t="s">
        <v>868</v>
      </c>
      <c r="N268" s="24" t="s">
        <v>0</v>
      </c>
      <c r="O268" s="24" t="s">
        <v>1</v>
      </c>
      <c r="P268" s="5" t="s">
        <v>848</v>
      </c>
      <c r="Q268" s="24" t="s">
        <v>848</v>
      </c>
      <c r="R268" s="5" t="s">
        <v>854</v>
      </c>
      <c r="S268" s="5" t="s">
        <v>869</v>
      </c>
      <c r="T268" s="24" t="s">
        <v>962</v>
      </c>
      <c r="U268" s="14" t="s">
        <v>856</v>
      </c>
      <c r="V268" s="34" t="s">
        <v>857</v>
      </c>
      <c r="W268" s="14" t="b">
        <v>1</v>
      </c>
      <c r="X268" s="43" t="s">
        <v>409</v>
      </c>
      <c r="Y268" s="14" t="s">
        <v>426</v>
      </c>
      <c r="Z268" s="43" t="s">
        <v>858</v>
      </c>
      <c r="AA268" s="43" t="s">
        <v>858</v>
      </c>
      <c r="AB268" s="43" t="s">
        <v>413</v>
      </c>
      <c r="AC268" s="14"/>
      <c r="AD268" s="14"/>
      <c r="AE268" s="14">
        <v>1</v>
      </c>
      <c r="AF268" s="69" t="s">
        <v>423</v>
      </c>
      <c r="AG268" s="14"/>
      <c r="AH268" s="14"/>
      <c r="AI268" s="14"/>
      <c r="AJ268" s="14"/>
      <c r="AK268" s="14"/>
      <c r="AL268" s="14"/>
      <c r="AM268" s="14"/>
      <c r="AN268" s="14"/>
      <c r="AO268" s="14"/>
      <c r="AP268" s="14"/>
      <c r="AQ268" s="14"/>
      <c r="AR268" s="14"/>
      <c r="AS268" s="14"/>
      <c r="AT268" s="14"/>
      <c r="AU268" s="14"/>
      <c r="AV268" s="14"/>
      <c r="AW268" s="14"/>
      <c r="AX268" s="14"/>
    </row>
    <row r="269" spans="1:50" ht="15.75" customHeight="1">
      <c r="A269" s="5" t="s">
        <v>439</v>
      </c>
      <c r="B269" s="5" t="s">
        <v>439</v>
      </c>
      <c r="C269" s="5" t="s">
        <v>875</v>
      </c>
      <c r="D269" s="7" t="str">
        <f t="shared" si="8"/>
        <v>bossdb://wildenberg2021/NAc_dat30_cocaine_axon_1stmouse_aligned_6nm_2ndstack/</v>
      </c>
      <c r="E269" s="24" t="s">
        <v>2</v>
      </c>
      <c r="F269" s="5" t="s">
        <v>864</v>
      </c>
      <c r="G269" s="5" t="s">
        <v>865</v>
      </c>
      <c r="H269" s="24" t="s">
        <v>1</v>
      </c>
      <c r="I269" s="5" t="s">
        <v>876</v>
      </c>
      <c r="J269" s="20"/>
      <c r="K269" s="5" t="s">
        <v>867</v>
      </c>
      <c r="L269" s="5" t="s">
        <v>853</v>
      </c>
      <c r="M269" s="5" t="s">
        <v>868</v>
      </c>
      <c r="N269" s="24" t="s">
        <v>0</v>
      </c>
      <c r="O269" s="24" t="s">
        <v>1</v>
      </c>
      <c r="P269" s="5" t="s">
        <v>848</v>
      </c>
      <c r="Q269" s="24" t="s">
        <v>848</v>
      </c>
      <c r="R269" s="5" t="s">
        <v>854</v>
      </c>
      <c r="S269" s="5" t="s">
        <v>869</v>
      </c>
      <c r="T269" s="24" t="s">
        <v>962</v>
      </c>
      <c r="U269" s="14" t="s">
        <v>856</v>
      </c>
      <c r="V269" s="34" t="s">
        <v>857</v>
      </c>
      <c r="W269" s="14" t="b">
        <v>1</v>
      </c>
      <c r="X269" s="43" t="s">
        <v>409</v>
      </c>
      <c r="Y269" s="14" t="s">
        <v>426</v>
      </c>
      <c r="Z269" s="43" t="s">
        <v>858</v>
      </c>
      <c r="AA269" s="43" t="s">
        <v>858</v>
      </c>
      <c r="AB269" s="43" t="s">
        <v>413</v>
      </c>
      <c r="AC269" s="14"/>
      <c r="AD269" s="14"/>
      <c r="AE269" s="14">
        <v>1</v>
      </c>
      <c r="AF269" s="69" t="s">
        <v>423</v>
      </c>
      <c r="AG269" s="14"/>
      <c r="AH269" s="14"/>
      <c r="AI269" s="14"/>
      <c r="AJ269" s="14"/>
      <c r="AK269" s="14"/>
      <c r="AL269" s="14"/>
      <c r="AM269" s="14"/>
      <c r="AN269" s="14"/>
      <c r="AO269" s="14"/>
      <c r="AP269" s="14"/>
      <c r="AQ269" s="14"/>
      <c r="AR269" s="14"/>
      <c r="AS269" s="14"/>
      <c r="AT269" s="14"/>
      <c r="AU269" s="14"/>
      <c r="AV269" s="14"/>
      <c r="AW269" s="14"/>
      <c r="AX269" s="14"/>
    </row>
    <row r="270" spans="1:50" ht="15.75" customHeight="1">
      <c r="A270" s="5" t="s">
        <v>441</v>
      </c>
      <c r="B270" s="5" t="s">
        <v>441</v>
      </c>
      <c r="C270" s="5" t="s">
        <v>876</v>
      </c>
      <c r="D270" s="7" t="str">
        <f t="shared" si="8"/>
        <v>bossdb://wildenberg2021/NAc_dat30_cocaine_axons_1stmouse_20nm_aligned/</v>
      </c>
      <c r="E270" s="24" t="s">
        <v>2</v>
      </c>
      <c r="F270" s="5" t="s">
        <v>864</v>
      </c>
      <c r="G270" s="5" t="s">
        <v>865</v>
      </c>
      <c r="H270" s="24" t="s">
        <v>1</v>
      </c>
      <c r="I270" s="5" t="s">
        <v>877</v>
      </c>
      <c r="J270" s="20"/>
      <c r="K270" s="5" t="s">
        <v>867</v>
      </c>
      <c r="L270" s="5" t="s">
        <v>853</v>
      </c>
      <c r="M270" s="5" t="s">
        <v>868</v>
      </c>
      <c r="N270" s="24" t="s">
        <v>0</v>
      </c>
      <c r="O270" s="24" t="s">
        <v>1</v>
      </c>
      <c r="P270" s="5" t="s">
        <v>848</v>
      </c>
      <c r="Q270" s="24" t="s">
        <v>848</v>
      </c>
      <c r="R270" s="5" t="s">
        <v>854</v>
      </c>
      <c r="S270" s="5" t="s">
        <v>869</v>
      </c>
      <c r="T270" s="24" t="s">
        <v>962</v>
      </c>
      <c r="U270" s="14" t="s">
        <v>856</v>
      </c>
      <c r="V270" s="34" t="s">
        <v>857</v>
      </c>
      <c r="W270" s="14" t="b">
        <v>1</v>
      </c>
      <c r="X270" s="43" t="s">
        <v>409</v>
      </c>
      <c r="Y270" s="14" t="s">
        <v>426</v>
      </c>
      <c r="Z270" s="43" t="s">
        <v>858</v>
      </c>
      <c r="AA270" s="43" t="s">
        <v>858</v>
      </c>
      <c r="AB270" s="43" t="s">
        <v>413</v>
      </c>
      <c r="AC270" s="14"/>
      <c r="AD270" s="14"/>
      <c r="AE270" s="14">
        <v>1</v>
      </c>
      <c r="AF270" s="69" t="s">
        <v>423</v>
      </c>
      <c r="AG270" s="14"/>
      <c r="AH270" s="14"/>
      <c r="AI270" s="14"/>
      <c r="AJ270" s="14"/>
      <c r="AK270" s="14"/>
      <c r="AL270" s="14"/>
      <c r="AM270" s="14"/>
      <c r="AN270" s="14"/>
      <c r="AO270" s="14"/>
      <c r="AP270" s="14"/>
      <c r="AQ270" s="14"/>
      <c r="AR270" s="14"/>
      <c r="AS270" s="14"/>
      <c r="AT270" s="14"/>
      <c r="AU270" s="14"/>
      <c r="AV270" s="14"/>
      <c r="AW270" s="14"/>
      <c r="AX270" s="14"/>
    </row>
    <row r="271" spans="1:50" ht="15.75" customHeight="1">
      <c r="A271" s="5" t="s">
        <v>443</v>
      </c>
      <c r="B271" s="5" t="s">
        <v>443</v>
      </c>
      <c r="C271" s="5" t="s">
        <v>877</v>
      </c>
      <c r="D271" s="7" t="str">
        <f t="shared" si="8"/>
        <v>bossdb://wildenberg2021/NAc_mito_apex_aligned01_6nm/</v>
      </c>
      <c r="E271" s="24" t="s">
        <v>2</v>
      </c>
      <c r="F271" s="5" t="s">
        <v>864</v>
      </c>
      <c r="G271" s="5" t="s">
        <v>865</v>
      </c>
      <c r="H271" s="24" t="s">
        <v>1</v>
      </c>
      <c r="I271" s="5" t="s">
        <v>878</v>
      </c>
      <c r="J271" s="20"/>
      <c r="K271" s="5" t="s">
        <v>867</v>
      </c>
      <c r="L271" s="5" t="s">
        <v>853</v>
      </c>
      <c r="M271" s="5" t="s">
        <v>868</v>
      </c>
      <c r="N271" s="24" t="s">
        <v>0</v>
      </c>
      <c r="O271" s="24" t="s">
        <v>1</v>
      </c>
      <c r="P271" s="5" t="s">
        <v>848</v>
      </c>
      <c r="Q271" s="24" t="s">
        <v>848</v>
      </c>
      <c r="R271" s="5" t="s">
        <v>854</v>
      </c>
      <c r="S271" s="5" t="s">
        <v>869</v>
      </c>
      <c r="T271" s="24" t="s">
        <v>962</v>
      </c>
      <c r="U271" s="14" t="s">
        <v>856</v>
      </c>
      <c r="V271" s="34" t="s">
        <v>857</v>
      </c>
      <c r="W271" s="14" t="b">
        <v>1</v>
      </c>
      <c r="X271" s="43" t="s">
        <v>409</v>
      </c>
      <c r="Y271" s="14" t="s">
        <v>426</v>
      </c>
      <c r="Z271" s="43" t="s">
        <v>858</v>
      </c>
      <c r="AA271" s="43" t="s">
        <v>858</v>
      </c>
      <c r="AB271" s="43" t="s">
        <v>413</v>
      </c>
      <c r="AC271" s="14"/>
      <c r="AD271" s="14"/>
      <c r="AE271" s="14">
        <v>1</v>
      </c>
      <c r="AF271" s="69" t="s">
        <v>423</v>
      </c>
      <c r="AG271" s="14"/>
      <c r="AH271" s="14"/>
      <c r="AI271" s="14"/>
      <c r="AJ271" s="14"/>
      <c r="AK271" s="14"/>
      <c r="AL271" s="14"/>
      <c r="AM271" s="14"/>
      <c r="AN271" s="14"/>
      <c r="AO271" s="14"/>
      <c r="AP271" s="14"/>
      <c r="AQ271" s="14"/>
      <c r="AR271" s="14"/>
      <c r="AS271" s="14"/>
      <c r="AT271" s="14"/>
      <c r="AU271" s="14"/>
      <c r="AV271" s="14"/>
      <c r="AW271" s="14"/>
      <c r="AX271" s="14"/>
    </row>
    <row r="272" spans="1:50" ht="15.75" customHeight="1">
      <c r="A272" s="5" t="s">
        <v>445</v>
      </c>
      <c r="B272" s="5" t="s">
        <v>445</v>
      </c>
      <c r="C272" s="5" t="s">
        <v>878</v>
      </c>
      <c r="D272" s="7" t="str">
        <f t="shared" si="8"/>
        <v>bossdb://wildenberg2021/NAc_mito_apex_aligned02_6nm/</v>
      </c>
      <c r="E272" s="24" t="s">
        <v>2</v>
      </c>
      <c r="F272" s="5" t="s">
        <v>864</v>
      </c>
      <c r="G272" s="5" t="s">
        <v>865</v>
      </c>
      <c r="H272" s="24" t="s">
        <v>1</v>
      </c>
      <c r="I272" s="5" t="s">
        <v>879</v>
      </c>
      <c r="J272" s="20"/>
      <c r="K272" s="5" t="s">
        <v>867</v>
      </c>
      <c r="L272" s="5" t="s">
        <v>853</v>
      </c>
      <c r="M272" s="5" t="s">
        <v>868</v>
      </c>
      <c r="N272" s="24" t="s">
        <v>0</v>
      </c>
      <c r="O272" s="24" t="s">
        <v>1</v>
      </c>
      <c r="P272" s="5" t="s">
        <v>848</v>
      </c>
      <c r="Q272" s="24" t="s">
        <v>848</v>
      </c>
      <c r="R272" s="5" t="s">
        <v>854</v>
      </c>
      <c r="S272" s="5" t="s">
        <v>869</v>
      </c>
      <c r="T272" s="24" t="s">
        <v>962</v>
      </c>
      <c r="U272" s="14" t="s">
        <v>856</v>
      </c>
      <c r="V272" s="34" t="s">
        <v>857</v>
      </c>
      <c r="W272" s="14" t="b">
        <v>1</v>
      </c>
      <c r="X272" s="43" t="s">
        <v>409</v>
      </c>
      <c r="Y272" s="14" t="s">
        <v>426</v>
      </c>
      <c r="Z272" s="43" t="s">
        <v>858</v>
      </c>
      <c r="AA272" s="43" t="s">
        <v>858</v>
      </c>
      <c r="AB272" s="43" t="s">
        <v>413</v>
      </c>
      <c r="AC272" s="14"/>
      <c r="AD272" s="14"/>
      <c r="AE272" s="14">
        <v>1</v>
      </c>
      <c r="AF272" s="69" t="s">
        <v>423</v>
      </c>
      <c r="AG272" s="14"/>
      <c r="AH272" s="14"/>
      <c r="AI272" s="14"/>
      <c r="AJ272" s="14"/>
      <c r="AK272" s="14"/>
      <c r="AL272" s="14"/>
      <c r="AM272" s="14"/>
      <c r="AN272" s="14"/>
      <c r="AO272" s="14"/>
      <c r="AP272" s="14"/>
      <c r="AQ272" s="14"/>
      <c r="AR272" s="14"/>
      <c r="AS272" s="14"/>
      <c r="AT272" s="14"/>
      <c r="AU272" s="14"/>
      <c r="AV272" s="14"/>
      <c r="AW272" s="14"/>
      <c r="AX272" s="14"/>
    </row>
    <row r="273" spans="1:50" ht="15.75" customHeight="1">
      <c r="A273" s="5" t="s">
        <v>447</v>
      </c>
      <c r="B273" s="5" t="s">
        <v>447</v>
      </c>
      <c r="C273" s="5" t="s">
        <v>879</v>
      </c>
      <c r="D273" s="7" t="str">
        <f t="shared" si="8"/>
        <v>bossdb://wildenberg2021/VTA_dat12a_saline_control_Dendrites_6nm_aligned/</v>
      </c>
      <c r="E273" s="24" t="s">
        <v>2</v>
      </c>
      <c r="F273" s="5" t="s">
        <v>864</v>
      </c>
      <c r="G273" s="5" t="s">
        <v>865</v>
      </c>
      <c r="H273" s="24" t="s">
        <v>1</v>
      </c>
      <c r="I273" s="5" t="s">
        <v>880</v>
      </c>
      <c r="J273" s="20"/>
      <c r="K273" s="5" t="s">
        <v>867</v>
      </c>
      <c r="L273" s="5" t="s">
        <v>853</v>
      </c>
      <c r="M273" s="5" t="s">
        <v>868</v>
      </c>
      <c r="N273" s="24" t="s">
        <v>0</v>
      </c>
      <c r="O273" s="24" t="s">
        <v>1</v>
      </c>
      <c r="P273" s="5" t="s">
        <v>848</v>
      </c>
      <c r="Q273" s="24" t="s">
        <v>848</v>
      </c>
      <c r="R273" s="5" t="s">
        <v>854</v>
      </c>
      <c r="S273" s="5" t="s">
        <v>869</v>
      </c>
      <c r="T273" s="24" t="s">
        <v>962</v>
      </c>
      <c r="U273" s="14" t="s">
        <v>856</v>
      </c>
      <c r="V273" s="34" t="s">
        <v>857</v>
      </c>
      <c r="W273" s="14" t="b">
        <v>1</v>
      </c>
      <c r="X273" s="43" t="s">
        <v>409</v>
      </c>
      <c r="Y273" s="14" t="s">
        <v>426</v>
      </c>
      <c r="Z273" s="43" t="s">
        <v>858</v>
      </c>
      <c r="AA273" s="43" t="s">
        <v>858</v>
      </c>
      <c r="AB273" s="43" t="s">
        <v>413</v>
      </c>
      <c r="AC273" s="14"/>
      <c r="AD273" s="14"/>
      <c r="AE273" s="14">
        <v>1</v>
      </c>
      <c r="AF273" s="69" t="s">
        <v>423</v>
      </c>
      <c r="AG273" s="14"/>
      <c r="AH273" s="14"/>
      <c r="AI273" s="14"/>
      <c r="AJ273" s="14"/>
      <c r="AK273" s="14"/>
      <c r="AL273" s="14"/>
      <c r="AM273" s="14"/>
      <c r="AN273" s="14"/>
      <c r="AO273" s="14"/>
      <c r="AP273" s="14"/>
      <c r="AQ273" s="14"/>
      <c r="AR273" s="14"/>
      <c r="AS273" s="14"/>
      <c r="AT273" s="14"/>
      <c r="AU273" s="14"/>
      <c r="AV273" s="14"/>
      <c r="AW273" s="14"/>
      <c r="AX273" s="14"/>
    </row>
    <row r="274" spans="1:50" ht="15.75" customHeight="1">
      <c r="A274" s="5" t="s">
        <v>449</v>
      </c>
      <c r="B274" s="5" t="s">
        <v>449</v>
      </c>
      <c r="C274" s="5" t="s">
        <v>880</v>
      </c>
      <c r="D274" s="7" t="str">
        <f t="shared" si="8"/>
        <v>bossdb://wildenberg2021/VTA_dat39_cocaine_Dendrites_6nm_aligned/</v>
      </c>
      <c r="E274" s="24" t="s">
        <v>2</v>
      </c>
      <c r="F274" s="5" t="s">
        <v>864</v>
      </c>
      <c r="G274" s="5" t="s">
        <v>865</v>
      </c>
      <c r="H274" s="24" t="s">
        <v>1</v>
      </c>
      <c r="I274" s="5" t="s">
        <v>881</v>
      </c>
      <c r="J274" s="20"/>
      <c r="K274" s="5" t="s">
        <v>867</v>
      </c>
      <c r="L274" s="5" t="s">
        <v>853</v>
      </c>
      <c r="M274" s="5" t="s">
        <v>868</v>
      </c>
      <c r="N274" s="24" t="s">
        <v>0</v>
      </c>
      <c r="O274" s="24" t="s">
        <v>1</v>
      </c>
      <c r="P274" s="5" t="s">
        <v>848</v>
      </c>
      <c r="Q274" s="24" t="s">
        <v>848</v>
      </c>
      <c r="R274" s="5" t="s">
        <v>854</v>
      </c>
      <c r="S274" s="5" t="s">
        <v>869</v>
      </c>
      <c r="T274" s="24" t="s">
        <v>962</v>
      </c>
      <c r="U274" s="14" t="s">
        <v>856</v>
      </c>
      <c r="V274" s="34" t="s">
        <v>857</v>
      </c>
      <c r="W274" s="14" t="b">
        <v>1</v>
      </c>
      <c r="X274" s="43" t="s">
        <v>409</v>
      </c>
      <c r="Y274" s="43" t="s">
        <v>426</v>
      </c>
      <c r="Z274" s="43" t="s">
        <v>858</v>
      </c>
      <c r="AA274" s="43" t="s">
        <v>858</v>
      </c>
      <c r="AB274" s="43" t="s">
        <v>413</v>
      </c>
      <c r="AC274" s="14"/>
      <c r="AD274" s="14"/>
      <c r="AE274" s="14">
        <v>1</v>
      </c>
      <c r="AF274" s="69" t="s">
        <v>423</v>
      </c>
      <c r="AG274" s="14"/>
      <c r="AH274" s="14"/>
      <c r="AI274" s="14"/>
      <c r="AJ274" s="14"/>
      <c r="AK274" s="14"/>
      <c r="AL274" s="14"/>
      <c r="AM274" s="14"/>
      <c r="AN274" s="14"/>
      <c r="AO274" s="14"/>
      <c r="AP274" s="14"/>
      <c r="AQ274" s="14"/>
      <c r="AR274" s="14"/>
      <c r="AS274" s="14"/>
      <c r="AT274" s="14"/>
      <c r="AU274" s="14"/>
      <c r="AV274" s="14"/>
      <c r="AW274" s="14"/>
      <c r="AX274" s="14"/>
    </row>
    <row r="275" spans="1:50" ht="15.75" customHeight="1">
      <c r="A275" s="5" t="s">
        <v>451</v>
      </c>
      <c r="B275" s="5" t="s">
        <v>451</v>
      </c>
      <c r="C275" s="5" t="s">
        <v>881</v>
      </c>
      <c r="D275" s="7" t="str">
        <f>CONCATENATE("bossdb://ishibbashi2021/",B275,"/")</f>
        <v>bossdb://ishibbashi2021/EM1/</v>
      </c>
      <c r="E275" s="24" t="s">
        <v>2</v>
      </c>
      <c r="F275" s="5" t="s">
        <v>864</v>
      </c>
      <c r="G275" s="5" t="s">
        <v>865</v>
      </c>
      <c r="H275" s="24" t="s">
        <v>1</v>
      </c>
      <c r="I275" s="5" t="s">
        <v>882</v>
      </c>
      <c r="J275" s="20"/>
      <c r="K275" s="5" t="s">
        <v>852</v>
      </c>
      <c r="L275" s="5" t="s">
        <v>853</v>
      </c>
      <c r="M275" s="22"/>
      <c r="N275" s="24" t="s">
        <v>0</v>
      </c>
      <c r="O275" s="24" t="s">
        <v>1</v>
      </c>
      <c r="P275" s="5" t="s">
        <v>848</v>
      </c>
      <c r="Q275" s="24" t="s">
        <v>848</v>
      </c>
      <c r="R275" s="5" t="s">
        <v>854</v>
      </c>
      <c r="S275" s="5" t="s">
        <v>883</v>
      </c>
      <c r="T275" s="5" t="s">
        <v>884</v>
      </c>
      <c r="U275" s="14" t="s">
        <v>856</v>
      </c>
      <c r="V275" s="34" t="s">
        <v>857</v>
      </c>
      <c r="W275" s="14" t="b">
        <v>1</v>
      </c>
      <c r="X275" s="43" t="s">
        <v>409</v>
      </c>
      <c r="Y275" s="43" t="s">
        <v>454</v>
      </c>
      <c r="Z275" s="43" t="s">
        <v>858</v>
      </c>
      <c r="AA275" s="43" t="s">
        <v>858</v>
      </c>
      <c r="AB275" s="43" t="s">
        <v>413</v>
      </c>
      <c r="AC275" s="14"/>
      <c r="AD275" s="14"/>
      <c r="AE275" s="14">
        <v>1</v>
      </c>
      <c r="AF275" s="69" t="s">
        <v>423</v>
      </c>
      <c r="AG275" s="14"/>
      <c r="AH275" s="14"/>
      <c r="AI275" s="14"/>
      <c r="AJ275" s="14"/>
      <c r="AK275" s="14"/>
      <c r="AL275" s="14"/>
      <c r="AM275" s="14"/>
      <c r="AN275" s="14"/>
      <c r="AO275" s="14"/>
      <c r="AP275" s="14"/>
      <c r="AQ275" s="14"/>
      <c r="AR275" s="14"/>
      <c r="AS275" s="14"/>
      <c r="AT275" s="14"/>
      <c r="AU275" s="14"/>
      <c r="AV275" s="14"/>
      <c r="AW275" s="14"/>
      <c r="AX275" s="14"/>
    </row>
    <row r="276" spans="1:50" ht="15.75" customHeight="1">
      <c r="A276" s="5" t="s">
        <v>455</v>
      </c>
      <c r="B276" s="5" t="s">
        <v>455</v>
      </c>
      <c r="C276" s="5" t="s">
        <v>882</v>
      </c>
      <c r="D276" s="7" t="str">
        <f>CONCATENATE("bossdb://ishibashi2021/",B276,"/")</f>
        <v>bossdb://ishibashi2021/EM2/</v>
      </c>
      <c r="E276" s="24" t="s">
        <v>2</v>
      </c>
      <c r="F276" s="5" t="s">
        <v>864</v>
      </c>
      <c r="G276" s="5" t="s">
        <v>865</v>
      </c>
      <c r="H276" s="24" t="s">
        <v>1</v>
      </c>
      <c r="I276" s="5" t="s">
        <v>885</v>
      </c>
      <c r="J276" s="20"/>
      <c r="K276" s="5" t="s">
        <v>852</v>
      </c>
      <c r="L276" s="5" t="s">
        <v>853</v>
      </c>
      <c r="M276" s="22"/>
      <c r="N276" s="24" t="s">
        <v>0</v>
      </c>
      <c r="O276" s="24" t="s">
        <v>1</v>
      </c>
      <c r="P276" s="5" t="s">
        <v>848</v>
      </c>
      <c r="Q276" s="24" t="s">
        <v>848</v>
      </c>
      <c r="R276" s="5" t="s">
        <v>854</v>
      </c>
      <c r="S276" s="5" t="s">
        <v>883</v>
      </c>
      <c r="T276" s="5" t="s">
        <v>884</v>
      </c>
      <c r="U276" s="14" t="s">
        <v>856</v>
      </c>
      <c r="V276" s="34" t="s">
        <v>857</v>
      </c>
      <c r="W276" s="14" t="b">
        <v>1</v>
      </c>
      <c r="X276" s="43" t="s">
        <v>409</v>
      </c>
      <c r="Y276" s="43" t="s">
        <v>454</v>
      </c>
      <c r="Z276" s="43" t="s">
        <v>858</v>
      </c>
      <c r="AA276" s="43" t="s">
        <v>858</v>
      </c>
      <c r="AB276" s="43" t="s">
        <v>413</v>
      </c>
      <c r="AC276" s="14"/>
      <c r="AD276" s="14"/>
      <c r="AE276" s="14">
        <v>1</v>
      </c>
      <c r="AF276" s="69" t="s">
        <v>406</v>
      </c>
      <c r="AG276" s="14"/>
      <c r="AH276" s="14"/>
      <c r="AI276" s="14"/>
      <c r="AJ276" s="14"/>
      <c r="AK276" s="14"/>
      <c r="AL276" s="14"/>
      <c r="AM276" s="14"/>
      <c r="AN276" s="14"/>
      <c r="AO276" s="14"/>
      <c r="AP276" s="14"/>
      <c r="AQ276" s="14"/>
      <c r="AR276" s="14"/>
      <c r="AS276" s="14"/>
      <c r="AT276" s="14"/>
      <c r="AU276" s="14"/>
      <c r="AV276" s="14"/>
      <c r="AW276" s="14"/>
      <c r="AX276" s="14"/>
    </row>
    <row r="277" spans="1:50" ht="15.75" customHeight="1">
      <c r="A277" s="5" t="s">
        <v>457</v>
      </c>
      <c r="B277" s="5" t="s">
        <v>457</v>
      </c>
      <c r="C277" s="5" t="s">
        <v>885</v>
      </c>
      <c r="D277" s="7" t="str">
        <f>CONCATENATE("bossdb://flywire/",B277,"/")</f>
        <v>bossdb://flywire/fafbv14/</v>
      </c>
      <c r="E277" s="24" t="s">
        <v>2</v>
      </c>
      <c r="F277" s="5" t="s">
        <v>887</v>
      </c>
      <c r="G277" s="5" t="s">
        <v>888</v>
      </c>
      <c r="H277" s="24" t="s">
        <v>1</v>
      </c>
      <c r="I277" s="5" t="s">
        <v>889</v>
      </c>
      <c r="J277" s="20"/>
      <c r="K277" s="5" t="s">
        <v>852</v>
      </c>
      <c r="L277" s="5" t="s">
        <v>853</v>
      </c>
      <c r="M277" s="5" t="s">
        <v>890</v>
      </c>
      <c r="N277" s="24" t="s">
        <v>0</v>
      </c>
      <c r="O277" s="24" t="s">
        <v>1</v>
      </c>
      <c r="P277" s="5" t="s">
        <v>848</v>
      </c>
      <c r="Q277" s="24" t="s">
        <v>848</v>
      </c>
      <c r="R277" s="5" t="s">
        <v>854</v>
      </c>
      <c r="S277" s="5" t="s">
        <v>891</v>
      </c>
      <c r="T277" s="19"/>
      <c r="U277" s="14" t="s">
        <v>856</v>
      </c>
      <c r="V277" s="34" t="s">
        <v>857</v>
      </c>
      <c r="W277" s="14" t="b">
        <v>1</v>
      </c>
      <c r="X277" s="43" t="s">
        <v>409</v>
      </c>
      <c r="Y277" s="43" t="s">
        <v>460</v>
      </c>
      <c r="Z277" s="43" t="s">
        <v>858</v>
      </c>
      <c r="AA277" s="43" t="s">
        <v>858</v>
      </c>
      <c r="AB277" s="43" t="s">
        <v>413</v>
      </c>
      <c r="AC277" s="14"/>
      <c r="AD277" s="14"/>
      <c r="AE277" s="14">
        <v>1</v>
      </c>
      <c r="AF277" s="69" t="s">
        <v>406</v>
      </c>
      <c r="AG277" s="14"/>
      <c r="AH277" s="14"/>
      <c r="AI277" s="14"/>
      <c r="AJ277" s="14"/>
      <c r="AK277" s="14"/>
      <c r="AL277" s="14"/>
      <c r="AM277" s="14"/>
      <c r="AN277" s="14"/>
      <c r="AO277" s="14"/>
      <c r="AP277" s="14"/>
      <c r="AQ277" s="14"/>
      <c r="AR277" s="14"/>
      <c r="AS277" s="14"/>
      <c r="AT277" s="14"/>
      <c r="AU277" s="14"/>
      <c r="AV277" s="14"/>
      <c r="AW277" s="14"/>
      <c r="AX277" s="14"/>
    </row>
    <row r="278" spans="1:50" ht="15.75" customHeight="1">
      <c r="A278" s="5" t="s">
        <v>461</v>
      </c>
      <c r="B278" s="5" t="s">
        <v>461</v>
      </c>
      <c r="C278" s="5" t="s">
        <v>889</v>
      </c>
      <c r="D278" s="7" t="str">
        <f>CONCATENATE("bossdb://flywire/",B278,"/")</f>
        <v>bossdb://flywire/fafbv14_fix/</v>
      </c>
      <c r="E278" s="24" t="s">
        <v>2</v>
      </c>
      <c r="F278" s="5" t="s">
        <v>887</v>
      </c>
      <c r="G278" s="5" t="s">
        <v>888</v>
      </c>
      <c r="H278" s="24" t="s">
        <v>1</v>
      </c>
      <c r="I278" s="5" t="s">
        <v>892</v>
      </c>
      <c r="J278" s="20"/>
      <c r="K278" s="5" t="s">
        <v>852</v>
      </c>
      <c r="L278" s="5" t="s">
        <v>853</v>
      </c>
      <c r="M278" s="37" t="s">
        <v>890</v>
      </c>
      <c r="N278" s="24" t="s">
        <v>0</v>
      </c>
      <c r="O278" s="24" t="s">
        <v>1</v>
      </c>
      <c r="P278" s="5" t="s">
        <v>848</v>
      </c>
      <c r="Q278" s="24" t="s">
        <v>848</v>
      </c>
      <c r="R278" s="5" t="s">
        <v>854</v>
      </c>
      <c r="S278" s="5" t="s">
        <v>891</v>
      </c>
      <c r="T278" s="19"/>
      <c r="U278" s="14" t="s">
        <v>856</v>
      </c>
      <c r="V278" s="34" t="s">
        <v>857</v>
      </c>
      <c r="W278" s="14" t="b">
        <v>1</v>
      </c>
      <c r="X278" s="43" t="s">
        <v>409</v>
      </c>
      <c r="Y278" s="43" t="s">
        <v>460</v>
      </c>
      <c r="Z278" s="43" t="s">
        <v>858</v>
      </c>
      <c r="AA278" s="43" t="s">
        <v>858</v>
      </c>
      <c r="AB278" s="43" t="s">
        <v>413</v>
      </c>
      <c r="AC278" s="14"/>
      <c r="AD278" s="14"/>
      <c r="AE278" s="14">
        <v>1</v>
      </c>
      <c r="AF278" s="69" t="s">
        <v>406</v>
      </c>
      <c r="AG278" s="14"/>
      <c r="AH278" s="14"/>
      <c r="AI278" s="14"/>
      <c r="AJ278" s="14"/>
      <c r="AK278" s="14"/>
      <c r="AL278" s="14"/>
      <c r="AM278" s="14"/>
      <c r="AN278" s="14"/>
      <c r="AO278" s="14"/>
      <c r="AP278" s="14"/>
      <c r="AQ278" s="14"/>
      <c r="AR278" s="14"/>
      <c r="AS278" s="14"/>
      <c r="AT278" s="14"/>
      <c r="AU278" s="14"/>
      <c r="AV278" s="14"/>
      <c r="AW278" s="14"/>
      <c r="AX278" s="14"/>
    </row>
    <row r="279" spans="1:50" ht="15.75" customHeight="1">
      <c r="A279" s="5" t="s">
        <v>893</v>
      </c>
      <c r="B279" s="5" t="s">
        <v>893</v>
      </c>
      <c r="C279" s="5" t="s">
        <v>892</v>
      </c>
      <c r="D279" s="7" t="str">
        <f t="shared" ref="D279:D293" si="9">CONCATENATE("bossdb://witvliet2020/",B279,"/")</f>
        <v>bossdb://witvliet2020/Dataset_1/</v>
      </c>
      <c r="E279" s="24" t="s">
        <v>2</v>
      </c>
      <c r="F279" s="5" t="s">
        <v>849</v>
      </c>
      <c r="G279" s="5" t="s">
        <v>850</v>
      </c>
      <c r="H279" s="24" t="s">
        <v>1</v>
      </c>
      <c r="I279" s="5" t="s">
        <v>894</v>
      </c>
      <c r="J279" s="21" t="s">
        <v>2026</v>
      </c>
      <c r="K279" s="5" t="s">
        <v>852</v>
      </c>
      <c r="L279" s="5" t="s">
        <v>853</v>
      </c>
      <c r="M279" s="5" t="s">
        <v>895</v>
      </c>
      <c r="N279" s="24" t="s">
        <v>0</v>
      </c>
      <c r="O279" s="24" t="s">
        <v>1</v>
      </c>
      <c r="P279" s="5" t="s">
        <v>848</v>
      </c>
      <c r="Q279" s="24" t="s">
        <v>848</v>
      </c>
      <c r="R279" s="5" t="s">
        <v>854</v>
      </c>
      <c r="S279" s="5" t="s">
        <v>896</v>
      </c>
      <c r="T279" s="5" t="s">
        <v>897</v>
      </c>
      <c r="U279" s="14" t="s">
        <v>856</v>
      </c>
      <c r="V279" s="34" t="s">
        <v>857</v>
      </c>
      <c r="W279" s="14" t="b">
        <v>1</v>
      </c>
      <c r="X279" s="43" t="s">
        <v>409</v>
      </c>
      <c r="Y279" s="43" t="s">
        <v>465</v>
      </c>
      <c r="Z279" s="43" t="s">
        <v>858</v>
      </c>
      <c r="AA279" s="43" t="s">
        <v>858</v>
      </c>
      <c r="AB279" s="43" t="s">
        <v>413</v>
      </c>
      <c r="AC279" s="14"/>
      <c r="AD279" s="14"/>
      <c r="AE279" s="14">
        <v>1</v>
      </c>
      <c r="AF279" s="14" t="s">
        <v>2216</v>
      </c>
      <c r="AG279" s="14"/>
      <c r="AH279" s="14"/>
      <c r="AI279" s="14"/>
      <c r="AJ279" s="14"/>
      <c r="AK279" s="14"/>
      <c r="AL279" s="14"/>
      <c r="AM279" s="14"/>
      <c r="AN279" s="14"/>
      <c r="AO279" s="14"/>
      <c r="AP279" s="14"/>
      <c r="AQ279" s="14"/>
      <c r="AR279" s="14"/>
      <c r="AS279" s="14"/>
      <c r="AT279" s="14"/>
      <c r="AU279" s="14"/>
      <c r="AV279" s="14"/>
      <c r="AW279" s="14"/>
      <c r="AX279" s="14"/>
    </row>
    <row r="280" spans="1:50" ht="15.75" customHeight="1">
      <c r="A280" s="5" t="s">
        <v>898</v>
      </c>
      <c r="B280" s="5" t="s">
        <v>898</v>
      </c>
      <c r="C280" s="5" t="s">
        <v>894</v>
      </c>
      <c r="D280" s="7" t="str">
        <f t="shared" si="9"/>
        <v>bossdb://witvliet2020/Dataset_1_Segmentation/</v>
      </c>
      <c r="E280" s="24" t="s">
        <v>2</v>
      </c>
      <c r="F280" s="5" t="s">
        <v>849</v>
      </c>
      <c r="G280" s="5" t="s">
        <v>850</v>
      </c>
      <c r="H280" s="24" t="s">
        <v>1</v>
      </c>
      <c r="I280" s="5" t="s">
        <v>899</v>
      </c>
      <c r="J280" s="21" t="s">
        <v>2026</v>
      </c>
      <c r="K280" s="5" t="s">
        <v>852</v>
      </c>
      <c r="L280" s="5" t="s">
        <v>853</v>
      </c>
      <c r="M280" s="5" t="s">
        <v>895</v>
      </c>
      <c r="N280" s="24" t="s">
        <v>0</v>
      </c>
      <c r="O280" s="24" t="s">
        <v>1</v>
      </c>
      <c r="P280" s="5" t="s">
        <v>848</v>
      </c>
      <c r="Q280" s="24" t="s">
        <v>848</v>
      </c>
      <c r="R280" s="5" t="s">
        <v>854</v>
      </c>
      <c r="S280" s="14" t="s">
        <v>896</v>
      </c>
      <c r="T280" s="14" t="s">
        <v>900</v>
      </c>
      <c r="U280" s="14" t="s">
        <v>856</v>
      </c>
      <c r="V280" s="34" t="s">
        <v>857</v>
      </c>
      <c r="W280" s="14" t="b">
        <v>1</v>
      </c>
      <c r="X280" s="43" t="s">
        <v>409</v>
      </c>
      <c r="Y280" s="14" t="s">
        <v>465</v>
      </c>
      <c r="Z280" s="43" t="s">
        <v>858</v>
      </c>
      <c r="AA280" s="43" t="s">
        <v>858</v>
      </c>
      <c r="AB280" s="43" t="s">
        <v>413</v>
      </c>
      <c r="AC280" s="14"/>
      <c r="AD280" s="14"/>
      <c r="AE280" s="14">
        <v>1</v>
      </c>
      <c r="AF280" s="14" t="s">
        <v>2216</v>
      </c>
      <c r="AG280" s="14"/>
      <c r="AH280" s="14"/>
      <c r="AI280" s="14"/>
      <c r="AJ280" s="14"/>
      <c r="AK280" s="14"/>
      <c r="AL280" s="14"/>
      <c r="AM280" s="14"/>
      <c r="AN280" s="14"/>
      <c r="AO280" s="14"/>
      <c r="AP280" s="14"/>
      <c r="AQ280" s="14"/>
      <c r="AR280" s="14"/>
      <c r="AS280" s="14"/>
      <c r="AT280" s="14"/>
      <c r="AU280" s="14"/>
      <c r="AV280" s="14"/>
      <c r="AW280" s="14"/>
      <c r="AX280" s="14"/>
    </row>
    <row r="281" spans="1:50" ht="15.75" customHeight="1">
      <c r="A281" s="5" t="s">
        <v>901</v>
      </c>
      <c r="B281" s="5" t="s">
        <v>901</v>
      </c>
      <c r="C281" s="5" t="s">
        <v>899</v>
      </c>
      <c r="D281" s="7" t="str">
        <f t="shared" si="9"/>
        <v>bossdb://witvliet2020/Dataset_2/</v>
      </c>
      <c r="E281" s="24" t="s">
        <v>2</v>
      </c>
      <c r="F281" s="5" t="s">
        <v>849</v>
      </c>
      <c r="G281" s="5" t="s">
        <v>850</v>
      </c>
      <c r="H281" s="24" t="s">
        <v>1</v>
      </c>
      <c r="I281" s="5" t="s">
        <v>902</v>
      </c>
      <c r="J281" s="38" t="s">
        <v>2027</v>
      </c>
      <c r="K281" s="5" t="s">
        <v>852</v>
      </c>
      <c r="L281" s="5" t="s">
        <v>853</v>
      </c>
      <c r="M281" s="5" t="s">
        <v>895</v>
      </c>
      <c r="N281" s="24" t="s">
        <v>0</v>
      </c>
      <c r="O281" s="24" t="s">
        <v>1</v>
      </c>
      <c r="P281" s="5" t="s">
        <v>848</v>
      </c>
      <c r="Q281" s="24" t="s">
        <v>848</v>
      </c>
      <c r="R281" s="5" t="s">
        <v>854</v>
      </c>
      <c r="S281" s="14" t="s">
        <v>896</v>
      </c>
      <c r="T281" s="5" t="s">
        <v>903</v>
      </c>
      <c r="U281" s="14" t="s">
        <v>856</v>
      </c>
      <c r="V281" s="34" t="s">
        <v>857</v>
      </c>
      <c r="W281" s="14" t="b">
        <v>1</v>
      </c>
      <c r="X281" s="43" t="s">
        <v>409</v>
      </c>
      <c r="Y281" s="14" t="s">
        <v>465</v>
      </c>
      <c r="Z281" s="43" t="s">
        <v>858</v>
      </c>
      <c r="AA281" s="43" t="s">
        <v>858</v>
      </c>
      <c r="AB281" s="43" t="s">
        <v>413</v>
      </c>
      <c r="AC281" s="14"/>
      <c r="AD281" s="14"/>
      <c r="AE281" s="14">
        <v>1</v>
      </c>
      <c r="AF281" s="14" t="s">
        <v>2216</v>
      </c>
      <c r="AG281" s="14"/>
      <c r="AH281" s="14"/>
      <c r="AI281" s="14"/>
      <c r="AJ281" s="14"/>
      <c r="AK281" s="14"/>
      <c r="AL281" s="14"/>
      <c r="AM281" s="14"/>
      <c r="AN281" s="14"/>
      <c r="AO281" s="14"/>
      <c r="AP281" s="14"/>
      <c r="AQ281" s="14"/>
      <c r="AR281" s="14"/>
      <c r="AS281" s="14"/>
      <c r="AT281" s="14"/>
      <c r="AU281" s="14"/>
      <c r="AV281" s="14"/>
      <c r="AW281" s="14"/>
      <c r="AX281" s="14"/>
    </row>
    <row r="282" spans="1:50" ht="15.75" customHeight="1">
      <c r="A282" s="5" t="s">
        <v>904</v>
      </c>
      <c r="B282" s="5" t="s">
        <v>904</v>
      </c>
      <c r="C282" s="5" t="s">
        <v>902</v>
      </c>
      <c r="D282" s="7" t="str">
        <f t="shared" si="9"/>
        <v>bossdb://witvliet2020/Dataset_2_Segmentation/</v>
      </c>
      <c r="E282" s="24" t="s">
        <v>2</v>
      </c>
      <c r="F282" s="5" t="s">
        <v>849</v>
      </c>
      <c r="G282" s="5" t="s">
        <v>850</v>
      </c>
      <c r="H282" s="24" t="s">
        <v>1</v>
      </c>
      <c r="I282" s="5" t="s">
        <v>905</v>
      </c>
      <c r="J282" s="38" t="s">
        <v>2027</v>
      </c>
      <c r="K282" s="5" t="s">
        <v>852</v>
      </c>
      <c r="L282" s="5" t="s">
        <v>853</v>
      </c>
      <c r="M282" s="5" t="s">
        <v>895</v>
      </c>
      <c r="N282" s="24" t="s">
        <v>0</v>
      </c>
      <c r="O282" s="24" t="s">
        <v>1</v>
      </c>
      <c r="P282" s="5" t="s">
        <v>848</v>
      </c>
      <c r="Q282" s="24" t="s">
        <v>848</v>
      </c>
      <c r="R282" s="5" t="s">
        <v>854</v>
      </c>
      <c r="S282" s="14" t="s">
        <v>896</v>
      </c>
      <c r="T282" s="14" t="s">
        <v>900</v>
      </c>
      <c r="U282" s="14" t="s">
        <v>856</v>
      </c>
      <c r="V282" s="34" t="s">
        <v>857</v>
      </c>
      <c r="W282" s="14" t="b">
        <v>1</v>
      </c>
      <c r="X282" s="43" t="s">
        <v>409</v>
      </c>
      <c r="Y282" s="14" t="s">
        <v>465</v>
      </c>
      <c r="Z282" s="43" t="s">
        <v>858</v>
      </c>
      <c r="AA282" s="43" t="s">
        <v>858</v>
      </c>
      <c r="AB282" s="43" t="s">
        <v>413</v>
      </c>
      <c r="AC282" s="14"/>
      <c r="AD282" s="14"/>
      <c r="AE282" s="14">
        <v>1</v>
      </c>
      <c r="AF282" s="14" t="s">
        <v>2216</v>
      </c>
      <c r="AG282" s="14"/>
      <c r="AH282" s="14"/>
      <c r="AI282" s="14"/>
      <c r="AJ282" s="14"/>
      <c r="AK282" s="14"/>
      <c r="AL282" s="14"/>
      <c r="AM282" s="14"/>
      <c r="AN282" s="14"/>
      <c r="AO282" s="14"/>
      <c r="AP282" s="14"/>
      <c r="AQ282" s="14"/>
      <c r="AR282" s="14"/>
      <c r="AS282" s="14"/>
      <c r="AT282" s="14"/>
      <c r="AU282" s="14"/>
      <c r="AV282" s="14"/>
      <c r="AW282" s="14"/>
      <c r="AX282" s="14"/>
    </row>
    <row r="283" spans="1:50" ht="15.75" customHeight="1">
      <c r="A283" s="5" t="s">
        <v>906</v>
      </c>
      <c r="B283" s="5" t="s">
        <v>906</v>
      </c>
      <c r="C283" s="5" t="s">
        <v>905</v>
      </c>
      <c r="D283" s="7" t="str">
        <f t="shared" si="9"/>
        <v>bossdb://witvliet2020/Dataset_3/</v>
      </c>
      <c r="E283" s="24" t="s">
        <v>2</v>
      </c>
      <c r="F283" s="5" t="s">
        <v>849</v>
      </c>
      <c r="G283" s="5" t="s">
        <v>850</v>
      </c>
      <c r="H283" s="24" t="s">
        <v>1</v>
      </c>
      <c r="I283" s="5" t="s">
        <v>907</v>
      </c>
      <c r="J283" s="38" t="s">
        <v>2028</v>
      </c>
      <c r="K283" s="5" t="s">
        <v>852</v>
      </c>
      <c r="L283" s="5" t="s">
        <v>853</v>
      </c>
      <c r="M283" s="5" t="s">
        <v>895</v>
      </c>
      <c r="N283" s="24" t="s">
        <v>0</v>
      </c>
      <c r="O283" s="24" t="s">
        <v>1</v>
      </c>
      <c r="P283" s="5" t="s">
        <v>848</v>
      </c>
      <c r="Q283" s="24" t="s">
        <v>848</v>
      </c>
      <c r="R283" s="5" t="s">
        <v>854</v>
      </c>
      <c r="S283" s="14" t="s">
        <v>896</v>
      </c>
      <c r="T283" s="5" t="s">
        <v>897</v>
      </c>
      <c r="U283" s="14" t="s">
        <v>856</v>
      </c>
      <c r="V283" s="34" t="s">
        <v>857</v>
      </c>
      <c r="W283" s="14" t="b">
        <v>1</v>
      </c>
      <c r="X283" s="43" t="s">
        <v>409</v>
      </c>
      <c r="Y283" s="14" t="s">
        <v>465</v>
      </c>
      <c r="Z283" s="43" t="s">
        <v>858</v>
      </c>
      <c r="AA283" s="43" t="s">
        <v>858</v>
      </c>
      <c r="AB283" s="43" t="s">
        <v>413</v>
      </c>
      <c r="AC283" s="14"/>
      <c r="AD283" s="14"/>
      <c r="AE283" s="14">
        <v>1</v>
      </c>
      <c r="AF283" s="14" t="s">
        <v>2216</v>
      </c>
      <c r="AG283" s="14"/>
      <c r="AH283" s="14"/>
      <c r="AI283" s="14"/>
      <c r="AJ283" s="14"/>
      <c r="AK283" s="14"/>
      <c r="AL283" s="14"/>
      <c r="AM283" s="14"/>
      <c r="AN283" s="14"/>
      <c r="AO283" s="14"/>
      <c r="AP283" s="14"/>
      <c r="AQ283" s="14"/>
      <c r="AR283" s="14"/>
      <c r="AS283" s="14"/>
      <c r="AT283" s="14"/>
      <c r="AU283" s="14"/>
      <c r="AV283" s="14"/>
      <c r="AW283" s="14"/>
      <c r="AX283" s="14"/>
    </row>
    <row r="284" spans="1:50" ht="15.75" customHeight="1">
      <c r="A284" s="5" t="s">
        <v>908</v>
      </c>
      <c r="B284" s="5" t="s">
        <v>908</v>
      </c>
      <c r="C284" s="5" t="s">
        <v>907</v>
      </c>
      <c r="D284" s="7" t="str">
        <f t="shared" si="9"/>
        <v>bossdb://witvliet2020/Dataset_3_Segmentation/</v>
      </c>
      <c r="E284" s="24" t="s">
        <v>2</v>
      </c>
      <c r="F284" s="5" t="s">
        <v>849</v>
      </c>
      <c r="G284" s="5" t="s">
        <v>850</v>
      </c>
      <c r="H284" s="24" t="s">
        <v>1</v>
      </c>
      <c r="I284" s="5" t="s">
        <v>909</v>
      </c>
      <c r="J284" s="38" t="s">
        <v>2028</v>
      </c>
      <c r="K284" s="5" t="s">
        <v>852</v>
      </c>
      <c r="L284" s="5" t="s">
        <v>853</v>
      </c>
      <c r="M284" s="5" t="s">
        <v>895</v>
      </c>
      <c r="N284" s="24" t="s">
        <v>0</v>
      </c>
      <c r="O284" s="24" t="s">
        <v>1</v>
      </c>
      <c r="P284" s="5" t="s">
        <v>848</v>
      </c>
      <c r="Q284" s="24" t="s">
        <v>848</v>
      </c>
      <c r="R284" s="5" t="s">
        <v>854</v>
      </c>
      <c r="S284" s="14" t="s">
        <v>896</v>
      </c>
      <c r="T284" s="14" t="s">
        <v>900</v>
      </c>
      <c r="U284" s="14" t="s">
        <v>856</v>
      </c>
      <c r="V284" s="34" t="s">
        <v>857</v>
      </c>
      <c r="W284" s="14" t="b">
        <v>1</v>
      </c>
      <c r="X284" s="43" t="s">
        <v>409</v>
      </c>
      <c r="Y284" s="14" t="s">
        <v>465</v>
      </c>
      <c r="Z284" s="43" t="s">
        <v>858</v>
      </c>
      <c r="AA284" s="43" t="s">
        <v>858</v>
      </c>
      <c r="AB284" s="43" t="s">
        <v>413</v>
      </c>
      <c r="AC284" s="14"/>
      <c r="AD284" s="14"/>
      <c r="AE284" s="14">
        <v>1</v>
      </c>
      <c r="AF284" s="14" t="s">
        <v>2216</v>
      </c>
      <c r="AG284" s="14"/>
      <c r="AH284" s="14"/>
      <c r="AI284" s="14"/>
      <c r="AJ284" s="14"/>
      <c r="AK284" s="14"/>
      <c r="AL284" s="14"/>
      <c r="AM284" s="14"/>
      <c r="AN284" s="14"/>
      <c r="AO284" s="14"/>
      <c r="AP284" s="14"/>
      <c r="AQ284" s="14"/>
      <c r="AR284" s="14"/>
      <c r="AS284" s="14"/>
      <c r="AT284" s="14"/>
      <c r="AU284" s="14"/>
      <c r="AV284" s="14"/>
      <c r="AW284" s="14"/>
      <c r="AX284" s="14"/>
    </row>
    <row r="285" spans="1:50" ht="15.75" customHeight="1">
      <c r="A285" s="5" t="s">
        <v>910</v>
      </c>
      <c r="B285" s="5" t="s">
        <v>910</v>
      </c>
      <c r="C285" s="5" t="s">
        <v>909</v>
      </c>
      <c r="D285" s="7" t="str">
        <f t="shared" si="9"/>
        <v>bossdb://witvliet2020/Dataset_4/</v>
      </c>
      <c r="E285" s="24" t="s">
        <v>2</v>
      </c>
      <c r="F285" s="5" t="s">
        <v>849</v>
      </c>
      <c r="G285" s="5" t="s">
        <v>850</v>
      </c>
      <c r="H285" s="24" t="s">
        <v>1</v>
      </c>
      <c r="I285" s="5" t="s">
        <v>911</v>
      </c>
      <c r="J285" s="38" t="s">
        <v>2029</v>
      </c>
      <c r="K285" s="5" t="s">
        <v>852</v>
      </c>
      <c r="L285" s="5" t="s">
        <v>853</v>
      </c>
      <c r="M285" s="5" t="s">
        <v>895</v>
      </c>
      <c r="N285" s="24" t="s">
        <v>0</v>
      </c>
      <c r="O285" s="24" t="s">
        <v>1</v>
      </c>
      <c r="P285" s="5" t="s">
        <v>848</v>
      </c>
      <c r="Q285" s="24" t="s">
        <v>848</v>
      </c>
      <c r="R285" s="5" t="s">
        <v>854</v>
      </c>
      <c r="S285" s="14" t="s">
        <v>896</v>
      </c>
      <c r="T285" s="14" t="s">
        <v>912</v>
      </c>
      <c r="U285" s="14" t="s">
        <v>856</v>
      </c>
      <c r="V285" s="34" t="s">
        <v>857</v>
      </c>
      <c r="W285" s="14" t="b">
        <v>1</v>
      </c>
      <c r="X285" s="43" t="s">
        <v>409</v>
      </c>
      <c r="Y285" s="14" t="s">
        <v>465</v>
      </c>
      <c r="Z285" s="43" t="s">
        <v>858</v>
      </c>
      <c r="AA285" s="43" t="s">
        <v>858</v>
      </c>
      <c r="AB285" s="43" t="s">
        <v>413</v>
      </c>
      <c r="AC285" s="14"/>
      <c r="AD285" s="14"/>
      <c r="AE285" s="14">
        <v>1</v>
      </c>
      <c r="AF285" s="14" t="s">
        <v>2216</v>
      </c>
      <c r="AG285" s="14"/>
      <c r="AH285" s="14"/>
      <c r="AI285" s="14"/>
      <c r="AJ285" s="14"/>
      <c r="AK285" s="14"/>
      <c r="AL285" s="14"/>
      <c r="AM285" s="14"/>
      <c r="AN285" s="14"/>
      <c r="AO285" s="14"/>
      <c r="AP285" s="14"/>
      <c r="AQ285" s="14"/>
      <c r="AR285" s="14"/>
      <c r="AS285" s="14"/>
      <c r="AT285" s="14"/>
      <c r="AU285" s="14"/>
      <c r="AV285" s="14"/>
      <c r="AW285" s="14"/>
      <c r="AX285" s="14"/>
    </row>
    <row r="286" spans="1:50" ht="15.75" customHeight="1">
      <c r="A286" s="5" t="s">
        <v>913</v>
      </c>
      <c r="B286" s="5" t="s">
        <v>913</v>
      </c>
      <c r="C286" s="5" t="s">
        <v>911</v>
      </c>
      <c r="D286" s="7" t="str">
        <f t="shared" si="9"/>
        <v>bossdb://witvliet2020/Dataset_4_Segmentation/</v>
      </c>
      <c r="E286" s="24" t="s">
        <v>2</v>
      </c>
      <c r="F286" s="5" t="s">
        <v>849</v>
      </c>
      <c r="G286" s="5" t="s">
        <v>850</v>
      </c>
      <c r="H286" s="24" t="s">
        <v>1</v>
      </c>
      <c r="I286" s="5" t="s">
        <v>914</v>
      </c>
      <c r="J286" s="38" t="s">
        <v>2029</v>
      </c>
      <c r="K286" s="5" t="s">
        <v>852</v>
      </c>
      <c r="L286" s="5" t="s">
        <v>853</v>
      </c>
      <c r="M286" s="5" t="s">
        <v>895</v>
      </c>
      <c r="N286" s="24" t="s">
        <v>0</v>
      </c>
      <c r="O286" s="24" t="s">
        <v>1</v>
      </c>
      <c r="P286" s="5" t="s">
        <v>848</v>
      </c>
      <c r="Q286" s="24" t="s">
        <v>848</v>
      </c>
      <c r="R286" s="5" t="s">
        <v>854</v>
      </c>
      <c r="S286" s="14" t="s">
        <v>896</v>
      </c>
      <c r="T286" s="14" t="s">
        <v>900</v>
      </c>
      <c r="U286" s="14" t="s">
        <v>856</v>
      </c>
      <c r="V286" s="34" t="s">
        <v>857</v>
      </c>
      <c r="W286" s="14" t="b">
        <v>1</v>
      </c>
      <c r="X286" s="43" t="s">
        <v>409</v>
      </c>
      <c r="Y286" s="14" t="s">
        <v>465</v>
      </c>
      <c r="Z286" s="43" t="s">
        <v>858</v>
      </c>
      <c r="AA286" s="43" t="s">
        <v>858</v>
      </c>
      <c r="AB286" s="43" t="s">
        <v>413</v>
      </c>
      <c r="AC286" s="14"/>
      <c r="AD286" s="14"/>
      <c r="AE286" s="14">
        <v>1</v>
      </c>
      <c r="AF286" s="14" t="s">
        <v>2216</v>
      </c>
      <c r="AG286" s="14"/>
      <c r="AH286" s="14"/>
      <c r="AI286" s="14"/>
      <c r="AJ286" s="14"/>
      <c r="AK286" s="14"/>
      <c r="AL286" s="14"/>
      <c r="AM286" s="14"/>
      <c r="AN286" s="14"/>
      <c r="AO286" s="14"/>
      <c r="AP286" s="14"/>
      <c r="AQ286" s="14"/>
      <c r="AR286" s="14"/>
      <c r="AS286" s="14"/>
      <c r="AT286" s="14"/>
      <c r="AU286" s="14"/>
      <c r="AV286" s="14"/>
      <c r="AW286" s="14"/>
      <c r="AX286" s="14"/>
    </row>
    <row r="287" spans="1:50" ht="15.75" customHeight="1">
      <c r="A287" s="5" t="s">
        <v>915</v>
      </c>
      <c r="B287" s="5" t="s">
        <v>915</v>
      </c>
      <c r="C287" s="5" t="s">
        <v>914</v>
      </c>
      <c r="D287" s="7" t="str">
        <f t="shared" si="9"/>
        <v>bossdb://witvliet2020/Dataset_5/</v>
      </c>
      <c r="E287" s="24" t="s">
        <v>2</v>
      </c>
      <c r="F287" s="5" t="s">
        <v>849</v>
      </c>
      <c r="G287" s="5" t="s">
        <v>850</v>
      </c>
      <c r="H287" s="24" t="s">
        <v>1</v>
      </c>
      <c r="I287" s="5" t="s">
        <v>916</v>
      </c>
      <c r="J287" s="38" t="s">
        <v>2030</v>
      </c>
      <c r="K287" s="5" t="s">
        <v>852</v>
      </c>
      <c r="L287" s="5" t="s">
        <v>853</v>
      </c>
      <c r="M287" s="5" t="s">
        <v>895</v>
      </c>
      <c r="N287" s="24" t="s">
        <v>0</v>
      </c>
      <c r="O287" s="24" t="s">
        <v>1</v>
      </c>
      <c r="P287" s="5" t="s">
        <v>848</v>
      </c>
      <c r="Q287" s="24" t="s">
        <v>848</v>
      </c>
      <c r="R287" s="5" t="s">
        <v>854</v>
      </c>
      <c r="S287" s="14" t="s">
        <v>896</v>
      </c>
      <c r="T287" s="14" t="s">
        <v>917</v>
      </c>
      <c r="U287" s="14" t="s">
        <v>856</v>
      </c>
      <c r="V287" s="34" t="s">
        <v>857</v>
      </c>
      <c r="W287" s="14" t="b">
        <v>1</v>
      </c>
      <c r="X287" s="43" t="s">
        <v>409</v>
      </c>
      <c r="Y287" s="14" t="s">
        <v>465</v>
      </c>
      <c r="Z287" s="43" t="s">
        <v>858</v>
      </c>
      <c r="AA287" s="43" t="s">
        <v>858</v>
      </c>
      <c r="AB287" s="43" t="s">
        <v>413</v>
      </c>
      <c r="AC287" s="14"/>
      <c r="AD287" s="14"/>
      <c r="AE287" s="14">
        <v>1</v>
      </c>
      <c r="AF287" s="14" t="s">
        <v>2216</v>
      </c>
      <c r="AG287" s="14"/>
      <c r="AH287" s="14"/>
      <c r="AI287" s="14"/>
      <c r="AJ287" s="14"/>
      <c r="AK287" s="14"/>
      <c r="AL287" s="14"/>
      <c r="AM287" s="14"/>
      <c r="AN287" s="14"/>
      <c r="AO287" s="14"/>
      <c r="AP287" s="14"/>
      <c r="AQ287" s="14"/>
      <c r="AR287" s="14"/>
      <c r="AS287" s="14"/>
      <c r="AT287" s="14"/>
      <c r="AU287" s="14"/>
      <c r="AV287" s="14"/>
      <c r="AW287" s="14"/>
      <c r="AX287" s="14"/>
    </row>
    <row r="288" spans="1:50" ht="15.75" customHeight="1">
      <c r="A288" s="5" t="s">
        <v>918</v>
      </c>
      <c r="B288" s="5" t="s">
        <v>918</v>
      </c>
      <c r="C288" s="5" t="s">
        <v>916</v>
      </c>
      <c r="D288" s="7" t="str">
        <f t="shared" si="9"/>
        <v>bossdb://witvliet2020/Dataset_5_Segmentation/</v>
      </c>
      <c r="E288" s="24" t="s">
        <v>2</v>
      </c>
      <c r="F288" s="5" t="s">
        <v>849</v>
      </c>
      <c r="G288" s="5" t="s">
        <v>850</v>
      </c>
      <c r="H288" s="24" t="s">
        <v>1</v>
      </c>
      <c r="I288" s="5" t="s">
        <v>919</v>
      </c>
      <c r="J288" s="38" t="s">
        <v>2030</v>
      </c>
      <c r="K288" s="5" t="s">
        <v>852</v>
      </c>
      <c r="L288" s="5" t="s">
        <v>853</v>
      </c>
      <c r="M288" s="5" t="s">
        <v>895</v>
      </c>
      <c r="N288" s="24" t="s">
        <v>0</v>
      </c>
      <c r="O288" s="24" t="s">
        <v>1</v>
      </c>
      <c r="P288" s="5" t="s">
        <v>848</v>
      </c>
      <c r="Q288" s="24" t="s">
        <v>848</v>
      </c>
      <c r="R288" s="5" t="s">
        <v>854</v>
      </c>
      <c r="S288" s="14" t="s">
        <v>896</v>
      </c>
      <c r="T288" s="14" t="s">
        <v>900</v>
      </c>
      <c r="U288" s="14" t="s">
        <v>856</v>
      </c>
      <c r="V288" s="34" t="s">
        <v>857</v>
      </c>
      <c r="W288" s="14" t="b">
        <v>1</v>
      </c>
      <c r="X288" s="43" t="s">
        <v>409</v>
      </c>
      <c r="Y288" s="14" t="s">
        <v>465</v>
      </c>
      <c r="Z288" s="43" t="s">
        <v>858</v>
      </c>
      <c r="AA288" s="43" t="s">
        <v>858</v>
      </c>
      <c r="AB288" s="43" t="s">
        <v>413</v>
      </c>
      <c r="AC288" s="14"/>
      <c r="AD288" s="14"/>
      <c r="AE288" s="14">
        <v>1</v>
      </c>
      <c r="AF288" s="14" t="s">
        <v>2216</v>
      </c>
      <c r="AG288" s="14"/>
      <c r="AH288" s="14"/>
      <c r="AI288" s="14"/>
      <c r="AJ288" s="14"/>
      <c r="AK288" s="14"/>
      <c r="AL288" s="14"/>
      <c r="AM288" s="14"/>
      <c r="AN288" s="14"/>
      <c r="AO288" s="14"/>
      <c r="AP288" s="14"/>
      <c r="AQ288" s="14"/>
      <c r="AR288" s="14"/>
      <c r="AS288" s="14"/>
      <c r="AT288" s="14"/>
      <c r="AU288" s="14"/>
      <c r="AV288" s="14"/>
      <c r="AW288" s="14"/>
      <c r="AX288" s="14"/>
    </row>
    <row r="289" spans="1:50" ht="15.75" customHeight="1">
      <c r="A289" s="5" t="s">
        <v>920</v>
      </c>
      <c r="B289" s="5" t="s">
        <v>920</v>
      </c>
      <c r="C289" s="5" t="s">
        <v>919</v>
      </c>
      <c r="D289" s="7" t="str">
        <f t="shared" si="9"/>
        <v>bossdb://witvliet2020/Dataset_6/</v>
      </c>
      <c r="E289" s="24" t="s">
        <v>2</v>
      </c>
      <c r="F289" s="5" t="s">
        <v>849</v>
      </c>
      <c r="G289" s="5" t="s">
        <v>850</v>
      </c>
      <c r="H289" s="24" t="s">
        <v>1</v>
      </c>
      <c r="I289" s="5" t="s">
        <v>921</v>
      </c>
      <c r="J289" s="38" t="s">
        <v>2031</v>
      </c>
      <c r="K289" s="5" t="s">
        <v>852</v>
      </c>
      <c r="L289" s="5" t="s">
        <v>853</v>
      </c>
      <c r="M289" s="5" t="s">
        <v>895</v>
      </c>
      <c r="N289" s="24" t="s">
        <v>0</v>
      </c>
      <c r="O289" s="24" t="s">
        <v>1</v>
      </c>
      <c r="P289" s="5" t="s">
        <v>848</v>
      </c>
      <c r="Q289" s="24" t="s">
        <v>848</v>
      </c>
      <c r="R289" s="5" t="s">
        <v>854</v>
      </c>
      <c r="S289" s="14" t="s">
        <v>896</v>
      </c>
      <c r="T289" s="14" t="s">
        <v>922</v>
      </c>
      <c r="U289" s="14" t="s">
        <v>856</v>
      </c>
      <c r="V289" s="34" t="s">
        <v>857</v>
      </c>
      <c r="W289" s="14" t="b">
        <v>1</v>
      </c>
      <c r="X289" s="43" t="s">
        <v>409</v>
      </c>
      <c r="Y289" s="14" t="s">
        <v>465</v>
      </c>
      <c r="Z289" s="43" t="s">
        <v>858</v>
      </c>
      <c r="AA289" s="43" t="s">
        <v>858</v>
      </c>
      <c r="AB289" s="43" t="s">
        <v>413</v>
      </c>
      <c r="AC289" s="14"/>
      <c r="AD289" s="14"/>
      <c r="AE289" s="14">
        <v>1</v>
      </c>
      <c r="AF289" s="14" t="s">
        <v>2216</v>
      </c>
      <c r="AG289" s="14"/>
      <c r="AH289" s="14"/>
      <c r="AI289" s="14"/>
      <c r="AJ289" s="14"/>
      <c r="AK289" s="14"/>
      <c r="AL289" s="14"/>
      <c r="AM289" s="14"/>
      <c r="AN289" s="14"/>
      <c r="AO289" s="14"/>
      <c r="AP289" s="14"/>
      <c r="AQ289" s="14"/>
      <c r="AR289" s="14"/>
      <c r="AS289" s="14"/>
      <c r="AT289" s="14"/>
      <c r="AU289" s="14"/>
      <c r="AV289" s="14"/>
      <c r="AW289" s="14"/>
      <c r="AX289" s="14"/>
    </row>
    <row r="290" spans="1:50" ht="15.75" customHeight="1">
      <c r="A290" s="5" t="s">
        <v>923</v>
      </c>
      <c r="B290" s="5" t="s">
        <v>923</v>
      </c>
      <c r="C290" s="5" t="s">
        <v>921</v>
      </c>
      <c r="D290" s="7" t="str">
        <f t="shared" si="9"/>
        <v>bossdb://witvliet2020/Dataset_6_Segmentation/</v>
      </c>
      <c r="E290" s="24" t="s">
        <v>2</v>
      </c>
      <c r="F290" s="5" t="s">
        <v>849</v>
      </c>
      <c r="G290" s="5" t="s">
        <v>850</v>
      </c>
      <c r="H290" s="24" t="s">
        <v>1</v>
      </c>
      <c r="I290" s="5" t="s">
        <v>924</v>
      </c>
      <c r="J290" s="38" t="s">
        <v>2031</v>
      </c>
      <c r="K290" s="5" t="s">
        <v>852</v>
      </c>
      <c r="L290" s="5" t="s">
        <v>853</v>
      </c>
      <c r="M290" s="5" t="s">
        <v>895</v>
      </c>
      <c r="N290" s="24" t="s">
        <v>0</v>
      </c>
      <c r="O290" s="24" t="s">
        <v>1</v>
      </c>
      <c r="P290" s="5" t="s">
        <v>848</v>
      </c>
      <c r="Q290" s="24" t="s">
        <v>848</v>
      </c>
      <c r="R290" s="5" t="s">
        <v>854</v>
      </c>
      <c r="S290" s="14" t="s">
        <v>896</v>
      </c>
      <c r="T290" s="14" t="s">
        <v>900</v>
      </c>
      <c r="U290" s="14" t="s">
        <v>856</v>
      </c>
      <c r="V290" s="34" t="s">
        <v>857</v>
      </c>
      <c r="W290" s="14" t="b">
        <v>1</v>
      </c>
      <c r="X290" s="43" t="s">
        <v>409</v>
      </c>
      <c r="Y290" s="14" t="s">
        <v>465</v>
      </c>
      <c r="Z290" s="43" t="s">
        <v>858</v>
      </c>
      <c r="AA290" s="43" t="s">
        <v>858</v>
      </c>
      <c r="AB290" s="43" t="s">
        <v>413</v>
      </c>
      <c r="AC290" s="14"/>
      <c r="AD290" s="14"/>
      <c r="AE290" s="14">
        <v>1</v>
      </c>
      <c r="AF290" s="14" t="s">
        <v>2216</v>
      </c>
      <c r="AG290" s="14"/>
      <c r="AH290" s="14"/>
      <c r="AI290" s="14"/>
      <c r="AJ290" s="14"/>
      <c r="AK290" s="14"/>
      <c r="AL290" s="14"/>
      <c r="AM290" s="14"/>
      <c r="AN290" s="14"/>
      <c r="AO290" s="14"/>
      <c r="AP290" s="14"/>
      <c r="AQ290" s="14"/>
      <c r="AR290" s="14"/>
      <c r="AS290" s="14"/>
      <c r="AT290" s="14"/>
      <c r="AU290" s="14"/>
      <c r="AV290" s="14"/>
      <c r="AW290" s="14"/>
      <c r="AX290" s="14"/>
    </row>
    <row r="291" spans="1:50" ht="15.75" customHeight="1">
      <c r="A291" s="19" t="s">
        <v>925</v>
      </c>
      <c r="B291" s="19" t="s">
        <v>925</v>
      </c>
      <c r="C291" s="19" t="s">
        <v>924</v>
      </c>
      <c r="D291" s="75" t="str">
        <f t="shared" si="9"/>
        <v>bossdb://witvliet2020/Dataset_7/</v>
      </c>
      <c r="E291" s="24" t="s">
        <v>2</v>
      </c>
      <c r="F291" s="19" t="s">
        <v>849</v>
      </c>
      <c r="G291" s="19" t="s">
        <v>850</v>
      </c>
      <c r="H291" s="24" t="s">
        <v>1</v>
      </c>
      <c r="I291" s="19" t="s">
        <v>926</v>
      </c>
      <c r="J291" s="38" t="s">
        <v>2032</v>
      </c>
      <c r="K291" s="5" t="s">
        <v>852</v>
      </c>
      <c r="L291" s="5" t="s">
        <v>853</v>
      </c>
      <c r="M291" s="19" t="s">
        <v>895</v>
      </c>
      <c r="N291" s="24" t="s">
        <v>0</v>
      </c>
      <c r="O291" s="24" t="s">
        <v>1</v>
      </c>
      <c r="P291" s="19" t="s">
        <v>848</v>
      </c>
      <c r="Q291" s="24" t="s">
        <v>848</v>
      </c>
      <c r="R291" s="5" t="s">
        <v>854</v>
      </c>
      <c r="S291" s="20" t="s">
        <v>896</v>
      </c>
      <c r="T291" s="20" t="s">
        <v>927</v>
      </c>
      <c r="U291" s="20" t="s">
        <v>856</v>
      </c>
      <c r="V291" s="39" t="s">
        <v>857</v>
      </c>
      <c r="W291" s="14" t="b">
        <v>1</v>
      </c>
      <c r="X291" s="43" t="s">
        <v>409</v>
      </c>
      <c r="Y291" s="56" t="s">
        <v>465</v>
      </c>
      <c r="Z291" s="43" t="s">
        <v>858</v>
      </c>
      <c r="AA291" s="43" t="s">
        <v>858</v>
      </c>
      <c r="AB291" s="71" t="s">
        <v>413</v>
      </c>
      <c r="AC291" s="14"/>
      <c r="AD291" s="14"/>
      <c r="AE291" s="14">
        <v>1</v>
      </c>
      <c r="AF291" s="14" t="s">
        <v>2216</v>
      </c>
      <c r="AG291" s="14"/>
      <c r="AH291" s="14"/>
      <c r="AI291" s="14"/>
      <c r="AJ291" s="14"/>
      <c r="AK291" s="14"/>
      <c r="AL291" s="14"/>
      <c r="AM291" s="14"/>
      <c r="AN291" s="14"/>
      <c r="AO291" s="14"/>
      <c r="AP291" s="14"/>
      <c r="AQ291" s="14"/>
      <c r="AR291" s="14"/>
      <c r="AS291" s="14"/>
      <c r="AT291" s="14"/>
      <c r="AU291" s="14"/>
      <c r="AV291" s="14"/>
      <c r="AW291" s="14"/>
      <c r="AX291" s="14"/>
    </row>
    <row r="292" spans="1:50" ht="15.75" customHeight="1">
      <c r="A292" s="5" t="s">
        <v>928</v>
      </c>
      <c r="B292" s="5" t="s">
        <v>928</v>
      </c>
      <c r="C292" s="5" t="s">
        <v>926</v>
      </c>
      <c r="D292" s="7" t="str">
        <f t="shared" si="9"/>
        <v>bossdb://witvliet2020/Dataset_8/</v>
      </c>
      <c r="E292" s="24" t="s">
        <v>2</v>
      </c>
      <c r="F292" s="5" t="s">
        <v>849</v>
      </c>
      <c r="G292" s="5" t="s">
        <v>850</v>
      </c>
      <c r="H292" s="24" t="s">
        <v>1</v>
      </c>
      <c r="I292" s="5" t="s">
        <v>929</v>
      </c>
      <c r="J292" s="38" t="s">
        <v>2032</v>
      </c>
      <c r="K292" s="5" t="s">
        <v>852</v>
      </c>
      <c r="L292" s="5" t="s">
        <v>853</v>
      </c>
      <c r="M292" s="5" t="s">
        <v>895</v>
      </c>
      <c r="N292" s="24" t="s">
        <v>0</v>
      </c>
      <c r="O292" s="24" t="s">
        <v>1</v>
      </c>
      <c r="P292" s="5" t="s">
        <v>848</v>
      </c>
      <c r="Q292" s="24" t="s">
        <v>848</v>
      </c>
      <c r="R292" s="5" t="s">
        <v>854</v>
      </c>
      <c r="S292" s="14" t="s">
        <v>896</v>
      </c>
      <c r="T292" s="14" t="s">
        <v>930</v>
      </c>
      <c r="U292" s="14" t="s">
        <v>856</v>
      </c>
      <c r="V292" s="34" t="s">
        <v>857</v>
      </c>
      <c r="W292" s="14" t="b">
        <v>1</v>
      </c>
      <c r="X292" s="43" t="s">
        <v>409</v>
      </c>
      <c r="Y292" s="14" t="s">
        <v>465</v>
      </c>
      <c r="Z292" s="43" t="s">
        <v>858</v>
      </c>
      <c r="AA292" s="43" t="s">
        <v>858</v>
      </c>
      <c r="AB292" s="43" t="s">
        <v>413</v>
      </c>
      <c r="AC292" s="14"/>
      <c r="AD292" s="14"/>
      <c r="AE292" s="14">
        <v>1</v>
      </c>
      <c r="AF292" s="14" t="s">
        <v>2216</v>
      </c>
      <c r="AG292" s="14"/>
      <c r="AH292" s="14"/>
      <c r="AI292" s="14"/>
      <c r="AJ292" s="14"/>
      <c r="AK292" s="14"/>
      <c r="AL292" s="14"/>
      <c r="AM292" s="14"/>
      <c r="AN292" s="14"/>
      <c r="AO292" s="14"/>
      <c r="AP292" s="14"/>
      <c r="AQ292" s="14"/>
      <c r="AR292" s="14"/>
      <c r="AS292" s="14"/>
      <c r="AT292" s="14"/>
      <c r="AU292" s="14"/>
      <c r="AV292" s="14"/>
      <c r="AW292" s="14"/>
      <c r="AX292" s="14"/>
    </row>
    <row r="293" spans="1:50" ht="15.75" customHeight="1">
      <c r="A293" s="5" t="s">
        <v>931</v>
      </c>
      <c r="B293" s="5" t="s">
        <v>931</v>
      </c>
      <c r="C293" s="5" t="s">
        <v>929</v>
      </c>
      <c r="D293" s="7" t="str">
        <f t="shared" si="9"/>
        <v>bossdb://witvliet2020/Dataset_8_Segmentation/</v>
      </c>
      <c r="E293" s="24" t="s">
        <v>2</v>
      </c>
      <c r="F293" s="5" t="s">
        <v>849</v>
      </c>
      <c r="G293" s="5" t="s">
        <v>850</v>
      </c>
      <c r="H293" s="24" t="s">
        <v>1</v>
      </c>
      <c r="I293" s="5" t="s">
        <v>932</v>
      </c>
      <c r="J293" s="38" t="s">
        <v>2032</v>
      </c>
      <c r="K293" s="5" t="s">
        <v>852</v>
      </c>
      <c r="L293" s="5" t="s">
        <v>853</v>
      </c>
      <c r="M293" s="37" t="s">
        <v>890</v>
      </c>
      <c r="N293" s="24" t="s">
        <v>0</v>
      </c>
      <c r="O293" s="24" t="s">
        <v>1</v>
      </c>
      <c r="P293" s="5" t="s">
        <v>848</v>
      </c>
      <c r="Q293" s="24" t="s">
        <v>848</v>
      </c>
      <c r="R293" s="5" t="s">
        <v>854</v>
      </c>
      <c r="S293" s="14" t="s">
        <v>896</v>
      </c>
      <c r="T293" s="14" t="s">
        <v>900</v>
      </c>
      <c r="U293" s="14" t="s">
        <v>856</v>
      </c>
      <c r="V293" s="34" t="s">
        <v>857</v>
      </c>
      <c r="W293" s="14" t="b">
        <v>1</v>
      </c>
      <c r="X293" s="43" t="s">
        <v>409</v>
      </c>
      <c r="Y293" s="43" t="s">
        <v>465</v>
      </c>
      <c r="Z293" s="43" t="s">
        <v>858</v>
      </c>
      <c r="AA293" s="43" t="s">
        <v>858</v>
      </c>
      <c r="AB293" s="43" t="s">
        <v>413</v>
      </c>
      <c r="AC293" s="14"/>
      <c r="AD293" s="14"/>
      <c r="AE293" s="14">
        <v>1</v>
      </c>
      <c r="AF293" s="14" t="s">
        <v>2216</v>
      </c>
      <c r="AG293" s="14"/>
      <c r="AH293" s="14"/>
      <c r="AI293" s="14"/>
      <c r="AJ293" s="14"/>
      <c r="AK293" s="14"/>
      <c r="AL293" s="14"/>
      <c r="AM293" s="14"/>
      <c r="AN293" s="14"/>
      <c r="AO293" s="14"/>
      <c r="AP293" s="14"/>
      <c r="AQ293" s="14"/>
      <c r="AR293" s="14"/>
      <c r="AS293" s="14"/>
      <c r="AT293" s="14"/>
      <c r="AU293" s="14"/>
      <c r="AV293" s="14"/>
      <c r="AW293" s="14"/>
      <c r="AX293" s="14"/>
    </row>
    <row r="294" spans="1:50" ht="15.75" customHeight="1">
      <c r="A294" s="5" t="s">
        <v>934</v>
      </c>
      <c r="B294" s="5" t="s">
        <v>934</v>
      </c>
      <c r="C294" s="5" t="s">
        <v>932</v>
      </c>
      <c r="D294" s="7" t="str">
        <f t="shared" ref="D294:D300" si="10">CONCATENATE("bossdb://microns/",B294,"/")</f>
        <v>bossdb://microns/basil/</v>
      </c>
      <c r="E294" s="24" t="s">
        <v>2</v>
      </c>
      <c r="F294" s="5" t="s">
        <v>1013</v>
      </c>
      <c r="G294" s="5" t="s">
        <v>865</v>
      </c>
      <c r="H294" s="24" t="s">
        <v>1</v>
      </c>
      <c r="I294" s="5" t="s">
        <v>935</v>
      </c>
      <c r="J294" s="20"/>
      <c r="K294" s="5" t="s">
        <v>852</v>
      </c>
      <c r="L294" s="5" t="s">
        <v>853</v>
      </c>
      <c r="M294" s="37" t="s">
        <v>890</v>
      </c>
      <c r="N294" s="24" t="s">
        <v>0</v>
      </c>
      <c r="O294" s="24" t="s">
        <v>1</v>
      </c>
      <c r="P294" s="5" t="s">
        <v>848</v>
      </c>
      <c r="Q294" s="24" t="s">
        <v>848</v>
      </c>
      <c r="R294" s="5" t="s">
        <v>854</v>
      </c>
      <c r="S294" s="14"/>
      <c r="T294" s="20"/>
      <c r="U294" s="14" t="s">
        <v>856</v>
      </c>
      <c r="V294" s="34" t="s">
        <v>857</v>
      </c>
      <c r="W294" s="14" t="b">
        <v>1</v>
      </c>
      <c r="X294" s="43" t="s">
        <v>409</v>
      </c>
      <c r="Y294" s="43"/>
      <c r="Z294" s="43" t="s">
        <v>858</v>
      </c>
      <c r="AA294" s="43" t="s">
        <v>858</v>
      </c>
      <c r="AB294" s="43" t="s">
        <v>413</v>
      </c>
      <c r="AC294" s="14"/>
      <c r="AD294" s="14"/>
      <c r="AE294" s="14">
        <v>1</v>
      </c>
      <c r="AF294" s="14" t="s">
        <v>2216</v>
      </c>
      <c r="AG294" s="14"/>
      <c r="AH294" s="14"/>
      <c r="AI294" s="14"/>
      <c r="AJ294" s="14"/>
      <c r="AK294" s="14"/>
      <c r="AL294" s="14"/>
      <c r="AM294" s="14"/>
      <c r="AN294" s="14"/>
      <c r="AO294" s="14"/>
      <c r="AP294" s="14"/>
      <c r="AQ294" s="14"/>
      <c r="AR294" s="14"/>
      <c r="AS294" s="14"/>
      <c r="AT294" s="14"/>
      <c r="AU294" s="14"/>
      <c r="AV294" s="14"/>
      <c r="AW294" s="14"/>
      <c r="AX294" s="14"/>
    </row>
    <row r="295" spans="1:50" ht="15.75" customHeight="1">
      <c r="A295" s="5" t="s">
        <v>936</v>
      </c>
      <c r="B295" s="5" t="s">
        <v>936</v>
      </c>
      <c r="C295" s="5" t="s">
        <v>935</v>
      </c>
      <c r="D295" s="7" t="str">
        <f t="shared" si="10"/>
        <v>bossdb://microns/basil_8x8x40/</v>
      </c>
      <c r="E295" s="24" t="s">
        <v>2</v>
      </c>
      <c r="F295" s="5" t="s">
        <v>1013</v>
      </c>
      <c r="G295" s="5" t="s">
        <v>865</v>
      </c>
      <c r="H295" s="24" t="s">
        <v>1</v>
      </c>
      <c r="I295" s="5" t="s">
        <v>937</v>
      </c>
      <c r="J295" s="20"/>
      <c r="K295" s="5" t="s">
        <v>852</v>
      </c>
      <c r="L295" s="5" t="s">
        <v>853</v>
      </c>
      <c r="M295" s="5" t="s">
        <v>890</v>
      </c>
      <c r="N295" s="24" t="s">
        <v>0</v>
      </c>
      <c r="O295" s="24" t="s">
        <v>1</v>
      </c>
      <c r="P295" s="5" t="s">
        <v>848</v>
      </c>
      <c r="Q295" s="24" t="s">
        <v>848</v>
      </c>
      <c r="R295" s="5" t="s">
        <v>854</v>
      </c>
      <c r="S295" s="14"/>
      <c r="T295" s="20"/>
      <c r="U295" s="14" t="s">
        <v>856</v>
      </c>
      <c r="V295" s="34" t="s">
        <v>857</v>
      </c>
      <c r="W295" s="14" t="b">
        <v>1</v>
      </c>
      <c r="X295" s="43" t="s">
        <v>409</v>
      </c>
      <c r="Y295" s="14"/>
      <c r="Z295" s="43" t="s">
        <v>858</v>
      </c>
      <c r="AA295" s="43" t="s">
        <v>858</v>
      </c>
      <c r="AB295" s="43" t="s">
        <v>413</v>
      </c>
      <c r="AC295" s="14"/>
      <c r="AD295" s="14"/>
      <c r="AE295" s="14">
        <v>1</v>
      </c>
      <c r="AF295" s="14" t="s">
        <v>2216</v>
      </c>
      <c r="AG295" s="14"/>
      <c r="AH295" s="14"/>
      <c r="AI295" s="14"/>
      <c r="AJ295" s="14"/>
      <c r="AK295" s="14"/>
      <c r="AL295" s="14"/>
      <c r="AM295" s="14"/>
      <c r="AN295" s="14"/>
      <c r="AO295" s="14"/>
      <c r="AP295" s="14"/>
      <c r="AQ295" s="14"/>
      <c r="AR295" s="14"/>
      <c r="AS295" s="14"/>
      <c r="AT295" s="14"/>
      <c r="AU295" s="14"/>
      <c r="AV295" s="14"/>
      <c r="AW295" s="14"/>
      <c r="AX295" s="14"/>
    </row>
    <row r="296" spans="1:50" ht="15.75" customHeight="1">
      <c r="A296" s="5" t="s">
        <v>2194</v>
      </c>
      <c r="B296" s="5" t="s">
        <v>938</v>
      </c>
      <c r="C296" s="5" t="s">
        <v>937</v>
      </c>
      <c r="D296" s="7" t="str">
        <f t="shared" si="10"/>
        <v>bossdb://microns/intermeuron_8x8x40/</v>
      </c>
      <c r="E296" s="24" t="s">
        <v>2</v>
      </c>
      <c r="F296" s="5" t="s">
        <v>1013</v>
      </c>
      <c r="G296" s="5" t="s">
        <v>865</v>
      </c>
      <c r="H296" s="24" t="s">
        <v>1</v>
      </c>
      <c r="I296" s="5" t="s">
        <v>939</v>
      </c>
      <c r="J296" s="20"/>
      <c r="K296" s="5" t="s">
        <v>852</v>
      </c>
      <c r="L296" s="5" t="s">
        <v>853</v>
      </c>
      <c r="M296" s="5" t="s">
        <v>890</v>
      </c>
      <c r="N296" s="24" t="s">
        <v>0</v>
      </c>
      <c r="O296" s="24" t="s">
        <v>1</v>
      </c>
      <c r="P296" s="5" t="s">
        <v>848</v>
      </c>
      <c r="Q296" s="24" t="s">
        <v>848</v>
      </c>
      <c r="R296" s="5" t="s">
        <v>854</v>
      </c>
      <c r="S296" s="14"/>
      <c r="T296" s="20"/>
      <c r="U296" s="14" t="s">
        <v>856</v>
      </c>
      <c r="V296" s="34" t="s">
        <v>857</v>
      </c>
      <c r="W296" s="14" t="b">
        <v>1</v>
      </c>
      <c r="X296" s="43" t="s">
        <v>409</v>
      </c>
      <c r="Y296" s="14"/>
      <c r="Z296" s="43" t="s">
        <v>858</v>
      </c>
      <c r="AA296" s="43" t="s">
        <v>858</v>
      </c>
      <c r="AB296" s="43" t="s">
        <v>413</v>
      </c>
      <c r="AC296" s="14"/>
      <c r="AD296" s="14"/>
      <c r="AE296" s="14">
        <v>1</v>
      </c>
      <c r="AF296" s="14" t="s">
        <v>2216</v>
      </c>
      <c r="AG296" s="14"/>
      <c r="AH296" s="14"/>
      <c r="AI296" s="14"/>
      <c r="AJ296" s="14"/>
      <c r="AK296" s="14"/>
      <c r="AL296" s="14"/>
      <c r="AM296" s="14"/>
      <c r="AN296" s="14"/>
      <c r="AO296" s="14"/>
      <c r="AP296" s="14"/>
      <c r="AQ296" s="14"/>
      <c r="AR296" s="14"/>
      <c r="AS296" s="14"/>
      <c r="AT296" s="14"/>
      <c r="AU296" s="14"/>
      <c r="AV296" s="14"/>
      <c r="AW296" s="14"/>
      <c r="AX296" s="14"/>
    </row>
    <row r="297" spans="1:50" ht="15.75" customHeight="1">
      <c r="A297" s="5" t="s">
        <v>489</v>
      </c>
      <c r="B297" s="5" t="s">
        <v>489</v>
      </c>
      <c r="C297" s="5" t="s">
        <v>939</v>
      </c>
      <c r="D297" s="7" t="str">
        <f t="shared" si="10"/>
        <v>bossdb://microns/minnie35_8x8x40/</v>
      </c>
      <c r="E297" s="24" t="s">
        <v>2</v>
      </c>
      <c r="F297" s="5" t="s">
        <v>1013</v>
      </c>
      <c r="G297" s="5" t="s">
        <v>865</v>
      </c>
      <c r="H297" s="24" t="s">
        <v>1</v>
      </c>
      <c r="I297" s="5" t="s">
        <v>940</v>
      </c>
      <c r="J297" s="20"/>
      <c r="K297" s="5" t="s">
        <v>852</v>
      </c>
      <c r="L297" s="5" t="s">
        <v>853</v>
      </c>
      <c r="M297" s="5" t="s">
        <v>890</v>
      </c>
      <c r="N297" s="24" t="s">
        <v>0</v>
      </c>
      <c r="O297" s="24" t="s">
        <v>1</v>
      </c>
      <c r="P297" s="5" t="s">
        <v>848</v>
      </c>
      <c r="Q297" s="24" t="s">
        <v>848</v>
      </c>
      <c r="R297" s="5" t="s">
        <v>854</v>
      </c>
      <c r="S297" s="14"/>
      <c r="T297" s="19"/>
      <c r="U297" s="14" t="s">
        <v>856</v>
      </c>
      <c r="V297" s="34" t="s">
        <v>857</v>
      </c>
      <c r="W297" s="14" t="b">
        <v>1</v>
      </c>
      <c r="X297" s="43" t="s">
        <v>409</v>
      </c>
      <c r="Y297" s="14"/>
      <c r="Z297" s="43" t="s">
        <v>858</v>
      </c>
      <c r="AA297" s="43" t="s">
        <v>858</v>
      </c>
      <c r="AB297" s="43" t="s">
        <v>413</v>
      </c>
      <c r="AC297" s="14"/>
      <c r="AD297" s="14"/>
      <c r="AE297" s="14">
        <v>1</v>
      </c>
      <c r="AF297" s="14" t="s">
        <v>2303</v>
      </c>
      <c r="AG297" s="14"/>
      <c r="AH297" s="14"/>
      <c r="AI297" s="14"/>
      <c r="AJ297" s="14"/>
      <c r="AK297" s="14"/>
      <c r="AL297" s="14"/>
      <c r="AM297" s="14"/>
      <c r="AN297" s="14"/>
      <c r="AO297" s="14"/>
      <c r="AP297" s="14"/>
      <c r="AQ297" s="14"/>
      <c r="AR297" s="14"/>
      <c r="AS297" s="14"/>
      <c r="AT297" s="14"/>
      <c r="AU297" s="14"/>
      <c r="AV297" s="14"/>
      <c r="AW297" s="14"/>
      <c r="AX297" s="14"/>
    </row>
    <row r="298" spans="1:50" ht="15.75" customHeight="1">
      <c r="A298" s="5" t="s">
        <v>497</v>
      </c>
      <c r="B298" s="5" t="s">
        <v>497</v>
      </c>
      <c r="C298" s="5" t="s">
        <v>940</v>
      </c>
      <c r="D298" s="7" t="str">
        <f t="shared" si="10"/>
        <v>bossdb://microns/minnie65_8x8x40/</v>
      </c>
      <c r="E298" s="24" t="s">
        <v>2</v>
      </c>
      <c r="F298" s="5" t="s">
        <v>1013</v>
      </c>
      <c r="G298" s="5" t="s">
        <v>865</v>
      </c>
      <c r="H298" s="24" t="s">
        <v>1</v>
      </c>
      <c r="I298" s="5" t="s">
        <v>941</v>
      </c>
      <c r="J298" s="20"/>
      <c r="K298" s="5" t="s">
        <v>852</v>
      </c>
      <c r="L298" s="5" t="s">
        <v>853</v>
      </c>
      <c r="M298" s="5" t="s">
        <v>890</v>
      </c>
      <c r="N298" s="24" t="s">
        <v>0</v>
      </c>
      <c r="O298" s="24" t="s">
        <v>1</v>
      </c>
      <c r="P298" s="5" t="s">
        <v>848</v>
      </c>
      <c r="Q298" s="24" t="s">
        <v>848</v>
      </c>
      <c r="R298" s="5" t="s">
        <v>854</v>
      </c>
      <c r="S298" s="14"/>
      <c r="T298" s="14"/>
      <c r="U298" s="14" t="s">
        <v>856</v>
      </c>
      <c r="V298" s="34" t="s">
        <v>857</v>
      </c>
      <c r="W298" s="14" t="b">
        <v>1</v>
      </c>
      <c r="X298" s="43" t="s">
        <v>409</v>
      </c>
      <c r="Y298" s="14"/>
      <c r="Z298" s="43" t="s">
        <v>858</v>
      </c>
      <c r="AA298" s="43" t="s">
        <v>858</v>
      </c>
      <c r="AB298" s="43" t="s">
        <v>413</v>
      </c>
      <c r="AC298" s="14"/>
      <c r="AD298" s="14"/>
      <c r="AE298" s="14">
        <v>1</v>
      </c>
      <c r="AF298" s="14" t="s">
        <v>2303</v>
      </c>
      <c r="AG298" s="14"/>
      <c r="AH298" s="14"/>
      <c r="AI298" s="14"/>
      <c r="AJ298" s="14"/>
      <c r="AK298" s="14"/>
      <c r="AL298" s="14"/>
      <c r="AM298" s="14"/>
      <c r="AN298" s="14"/>
      <c r="AO298" s="14"/>
      <c r="AP298" s="14"/>
      <c r="AQ298" s="14"/>
      <c r="AR298" s="14"/>
      <c r="AS298" s="14"/>
      <c r="AT298" s="14"/>
      <c r="AU298" s="14"/>
      <c r="AV298" s="14"/>
      <c r="AW298" s="14"/>
      <c r="AX298" s="14"/>
    </row>
    <row r="299" spans="1:50" ht="15.75" customHeight="1">
      <c r="A299" s="5" t="s">
        <v>506</v>
      </c>
      <c r="B299" s="5" t="s">
        <v>506</v>
      </c>
      <c r="C299" s="5" t="s">
        <v>941</v>
      </c>
      <c r="D299" s="7" t="str">
        <f t="shared" si="10"/>
        <v>bossdb://microns/pinky100/</v>
      </c>
      <c r="E299" s="24" t="s">
        <v>2</v>
      </c>
      <c r="F299" s="5" t="s">
        <v>1013</v>
      </c>
      <c r="G299" s="5" t="s">
        <v>865</v>
      </c>
      <c r="H299" s="24" t="s">
        <v>1</v>
      </c>
      <c r="I299" s="5" t="s">
        <v>942</v>
      </c>
      <c r="J299" s="20"/>
      <c r="K299" s="5" t="s">
        <v>852</v>
      </c>
      <c r="L299" s="5" t="s">
        <v>853</v>
      </c>
      <c r="M299" s="5" t="s">
        <v>890</v>
      </c>
      <c r="N299" s="24" t="s">
        <v>0</v>
      </c>
      <c r="O299" s="24" t="s">
        <v>1</v>
      </c>
      <c r="P299" s="5" t="s">
        <v>848</v>
      </c>
      <c r="Q299" s="24" t="s">
        <v>848</v>
      </c>
      <c r="R299" s="5" t="s">
        <v>854</v>
      </c>
      <c r="S299" s="14"/>
      <c r="T299" s="14" t="s">
        <v>900</v>
      </c>
      <c r="U299" s="14" t="s">
        <v>856</v>
      </c>
      <c r="V299" s="34" t="s">
        <v>857</v>
      </c>
      <c r="W299" s="14" t="b">
        <v>1</v>
      </c>
      <c r="X299" s="43" t="s">
        <v>409</v>
      </c>
      <c r="Y299" s="14"/>
      <c r="Z299" s="43" t="s">
        <v>858</v>
      </c>
      <c r="AA299" s="43" t="s">
        <v>858</v>
      </c>
      <c r="AB299" s="14" t="s">
        <v>413</v>
      </c>
      <c r="AC299" s="14"/>
      <c r="AD299" s="14"/>
      <c r="AE299" s="14">
        <v>1</v>
      </c>
      <c r="AF299" s="14" t="s">
        <v>2195</v>
      </c>
      <c r="AG299" s="14"/>
      <c r="AH299" s="14"/>
      <c r="AI299" s="14"/>
      <c r="AJ299" s="14"/>
      <c r="AK299" s="14"/>
      <c r="AL299" s="14"/>
      <c r="AM299" s="14"/>
      <c r="AN299" s="14"/>
      <c r="AO299" s="14"/>
      <c r="AP299" s="14"/>
      <c r="AQ299" s="14"/>
      <c r="AR299" s="14"/>
      <c r="AS299" s="14"/>
      <c r="AT299" s="14"/>
      <c r="AU299" s="14"/>
      <c r="AV299" s="14"/>
      <c r="AW299" s="14"/>
      <c r="AX299" s="14"/>
    </row>
    <row r="300" spans="1:50" ht="15.75" customHeight="1">
      <c r="A300" s="5" t="s">
        <v>508</v>
      </c>
      <c r="B300" s="5" t="s">
        <v>508</v>
      </c>
      <c r="C300" s="5" t="s">
        <v>942</v>
      </c>
      <c r="D300" s="7" t="str">
        <f t="shared" si="10"/>
        <v>bossdb://microns/pinky100_8x8x40/</v>
      </c>
      <c r="E300" s="24" t="s">
        <v>2</v>
      </c>
      <c r="F300" s="5" t="s">
        <v>1013</v>
      </c>
      <c r="G300" s="5" t="s">
        <v>865</v>
      </c>
      <c r="H300" s="24" t="s">
        <v>1</v>
      </c>
      <c r="I300" s="5" t="s">
        <v>943</v>
      </c>
      <c r="J300" s="20"/>
      <c r="K300" s="5" t="s">
        <v>852</v>
      </c>
      <c r="L300" s="5" t="s">
        <v>853</v>
      </c>
      <c r="M300" s="5" t="s">
        <v>890</v>
      </c>
      <c r="N300" s="24" t="s">
        <v>0</v>
      </c>
      <c r="O300" s="24" t="s">
        <v>1</v>
      </c>
      <c r="P300" s="5" t="s">
        <v>848</v>
      </c>
      <c r="Q300" s="24" t="s">
        <v>848</v>
      </c>
      <c r="R300" s="5" t="s">
        <v>854</v>
      </c>
      <c r="S300" s="14"/>
      <c r="T300" s="14" t="s">
        <v>900</v>
      </c>
      <c r="U300" s="14" t="s">
        <v>856</v>
      </c>
      <c r="V300" s="34" t="s">
        <v>857</v>
      </c>
      <c r="W300" s="14" t="b">
        <v>1</v>
      </c>
      <c r="X300" s="43" t="s">
        <v>409</v>
      </c>
      <c r="Y300" s="14"/>
      <c r="Z300" s="43" t="s">
        <v>858</v>
      </c>
      <c r="AA300" s="43" t="s">
        <v>858</v>
      </c>
      <c r="AB300" s="43" t="s">
        <v>413</v>
      </c>
      <c r="AC300" s="14"/>
      <c r="AD300" s="14"/>
      <c r="AE300" s="14">
        <v>1</v>
      </c>
      <c r="AF300" s="14" t="s">
        <v>2304</v>
      </c>
      <c r="AG300" s="14"/>
      <c r="AH300" s="14"/>
      <c r="AI300" s="14"/>
      <c r="AJ300" s="14"/>
      <c r="AK300" s="14"/>
      <c r="AL300" s="14"/>
      <c r="AM300" s="14"/>
      <c r="AN300" s="14"/>
      <c r="AO300" s="14"/>
      <c r="AP300" s="14"/>
      <c r="AQ300" s="14"/>
      <c r="AR300" s="14"/>
      <c r="AS300" s="14"/>
      <c r="AT300" s="14"/>
      <c r="AU300" s="14"/>
      <c r="AV300" s="14"/>
      <c r="AW300" s="14"/>
      <c r="AX300" s="14"/>
    </row>
    <row r="301" spans="1:50" ht="15.75" customHeight="1">
      <c r="A301" s="5" t="s">
        <v>512</v>
      </c>
      <c r="B301" s="5" t="s">
        <v>512</v>
      </c>
      <c r="C301" s="5" t="s">
        <v>943</v>
      </c>
      <c r="D301" s="7" t="str">
        <f t="shared" ref="D301:D310" si="11">CONCATENATE("bossdb://NeuroPAL_Left_Right_Views/",B301,"/")</f>
        <v>bossdb://NeuroPAL_Left_Right_Views/11_YAaLR/</v>
      </c>
      <c r="E301" s="24" t="s">
        <v>2</v>
      </c>
      <c r="F301" s="5" t="s">
        <v>849</v>
      </c>
      <c r="G301" s="5" t="s">
        <v>850</v>
      </c>
      <c r="H301" s="24" t="s">
        <v>1</v>
      </c>
      <c r="I301" s="5" t="s">
        <v>944</v>
      </c>
      <c r="J301" s="21" t="s">
        <v>2033</v>
      </c>
      <c r="K301" s="5" t="s">
        <v>852</v>
      </c>
      <c r="L301" s="5" t="s">
        <v>853</v>
      </c>
      <c r="M301" s="5"/>
      <c r="N301" s="24" t="s">
        <v>0</v>
      </c>
      <c r="O301" s="24" t="s">
        <v>1</v>
      </c>
      <c r="P301" s="5" t="s">
        <v>848</v>
      </c>
      <c r="Q301" s="24" t="s">
        <v>848</v>
      </c>
      <c r="R301" s="5" t="s">
        <v>854</v>
      </c>
      <c r="S301" s="5" t="s">
        <v>945</v>
      </c>
      <c r="T301" s="14"/>
      <c r="U301" s="14" t="s">
        <v>856</v>
      </c>
      <c r="V301" s="34" t="s">
        <v>857</v>
      </c>
      <c r="W301" s="14" t="b">
        <v>1</v>
      </c>
      <c r="X301" s="43" t="s">
        <v>409</v>
      </c>
      <c r="Y301" s="43" t="s">
        <v>516</v>
      </c>
      <c r="Z301" s="43" t="s">
        <v>858</v>
      </c>
      <c r="AA301" s="43" t="s">
        <v>858</v>
      </c>
      <c r="AB301" s="43" t="s">
        <v>413</v>
      </c>
      <c r="AC301" s="14"/>
      <c r="AD301" s="14"/>
      <c r="AE301" s="14">
        <v>1</v>
      </c>
      <c r="AF301" s="14" t="s">
        <v>2305</v>
      </c>
      <c r="AG301" s="14"/>
      <c r="AH301" s="14"/>
      <c r="AI301" s="14"/>
      <c r="AJ301" s="14"/>
      <c r="AK301" s="14"/>
      <c r="AL301" s="14"/>
      <c r="AM301" s="14"/>
      <c r="AN301" s="14"/>
      <c r="AO301" s="14"/>
      <c r="AP301" s="14"/>
      <c r="AQ301" s="14"/>
      <c r="AR301" s="14"/>
      <c r="AS301" s="14"/>
      <c r="AT301" s="14"/>
      <c r="AU301" s="14"/>
      <c r="AV301" s="14"/>
      <c r="AW301" s="14"/>
      <c r="AX301" s="14"/>
    </row>
    <row r="302" spans="1:50" ht="15.75" customHeight="1">
      <c r="A302" s="5" t="s">
        <v>525</v>
      </c>
      <c r="B302" s="5" t="s">
        <v>525</v>
      </c>
      <c r="C302" s="5" t="s">
        <v>944</v>
      </c>
      <c r="D302" s="7" t="str">
        <f t="shared" si="11"/>
        <v>bossdb://NeuroPAL_Left_Right_Views/11_YApLR/</v>
      </c>
      <c r="E302" s="24" t="s">
        <v>2</v>
      </c>
      <c r="F302" s="14" t="s">
        <v>849</v>
      </c>
      <c r="G302" s="5" t="s">
        <v>850</v>
      </c>
      <c r="H302" s="24" t="s">
        <v>1</v>
      </c>
      <c r="I302" s="5" t="s">
        <v>946</v>
      </c>
      <c r="J302" s="21" t="s">
        <v>2033</v>
      </c>
      <c r="K302" s="5" t="s">
        <v>852</v>
      </c>
      <c r="L302" s="5" t="s">
        <v>853</v>
      </c>
      <c r="M302" s="5"/>
      <c r="N302" s="24" t="s">
        <v>0</v>
      </c>
      <c r="O302" s="24" t="s">
        <v>1</v>
      </c>
      <c r="P302" s="5" t="s">
        <v>848</v>
      </c>
      <c r="Q302" s="24" t="s">
        <v>848</v>
      </c>
      <c r="R302" s="5" t="s">
        <v>854</v>
      </c>
      <c r="S302" s="5" t="s">
        <v>945</v>
      </c>
      <c r="T302" s="14"/>
      <c r="U302" s="14" t="s">
        <v>856</v>
      </c>
      <c r="V302" s="34" t="s">
        <v>857</v>
      </c>
      <c r="W302" s="14" t="b">
        <v>1</v>
      </c>
      <c r="X302" s="43" t="s">
        <v>409</v>
      </c>
      <c r="Y302" s="14" t="s">
        <v>516</v>
      </c>
      <c r="Z302" s="43" t="s">
        <v>858</v>
      </c>
      <c r="AA302" s="43" t="s">
        <v>858</v>
      </c>
      <c r="AB302" s="43" t="s">
        <v>413</v>
      </c>
      <c r="AC302" s="14"/>
      <c r="AD302" s="14"/>
      <c r="AE302" s="14">
        <v>1</v>
      </c>
      <c r="AF302" s="14" t="s">
        <v>2305</v>
      </c>
      <c r="AG302" s="14"/>
      <c r="AH302" s="14"/>
      <c r="AI302" s="14"/>
      <c r="AJ302" s="14"/>
      <c r="AK302" s="14"/>
      <c r="AL302" s="14"/>
      <c r="AM302" s="14"/>
      <c r="AN302" s="14"/>
      <c r="AO302" s="14"/>
      <c r="AP302" s="14"/>
      <c r="AQ302" s="14"/>
      <c r="AR302" s="14"/>
      <c r="AS302" s="14"/>
      <c r="AT302" s="14"/>
      <c r="AU302" s="14"/>
      <c r="AV302" s="14"/>
      <c r="AW302" s="14"/>
      <c r="AX302" s="14"/>
    </row>
    <row r="303" spans="1:50" ht="15.75" customHeight="1">
      <c r="A303" s="5" t="s">
        <v>531</v>
      </c>
      <c r="B303" s="5" t="s">
        <v>531</v>
      </c>
      <c r="C303" s="5" t="s">
        <v>946</v>
      </c>
      <c r="D303" s="7" t="str">
        <f t="shared" si="11"/>
        <v>bossdb://NeuroPAL_Left_Right_Views/20_YAaLR/</v>
      </c>
      <c r="E303" s="24" t="s">
        <v>2</v>
      </c>
      <c r="F303" s="5" t="s">
        <v>849</v>
      </c>
      <c r="G303" s="5" t="s">
        <v>850</v>
      </c>
      <c r="H303" s="24" t="s">
        <v>1</v>
      </c>
      <c r="I303" s="5" t="s">
        <v>947</v>
      </c>
      <c r="J303" s="21" t="s">
        <v>2033</v>
      </c>
      <c r="K303" s="5" t="s">
        <v>852</v>
      </c>
      <c r="L303" s="5" t="s">
        <v>853</v>
      </c>
      <c r="M303" s="5"/>
      <c r="N303" s="24" t="s">
        <v>0</v>
      </c>
      <c r="O303" s="24" t="s">
        <v>1</v>
      </c>
      <c r="P303" s="5" t="s">
        <v>848</v>
      </c>
      <c r="Q303" s="24" t="s">
        <v>848</v>
      </c>
      <c r="R303" s="5" t="s">
        <v>854</v>
      </c>
      <c r="S303" s="5" t="s">
        <v>945</v>
      </c>
      <c r="T303" s="14"/>
      <c r="U303" s="14" t="s">
        <v>856</v>
      </c>
      <c r="V303" s="34" t="s">
        <v>857</v>
      </c>
      <c r="W303" s="14" t="b">
        <v>1</v>
      </c>
      <c r="X303" s="43" t="s">
        <v>409</v>
      </c>
      <c r="Y303" s="14" t="s">
        <v>516</v>
      </c>
      <c r="Z303" s="43" t="s">
        <v>858</v>
      </c>
      <c r="AA303" s="43" t="s">
        <v>858</v>
      </c>
      <c r="AB303" s="43" t="s">
        <v>413</v>
      </c>
      <c r="AC303" s="14"/>
      <c r="AD303" s="14"/>
      <c r="AE303" s="14">
        <v>1</v>
      </c>
      <c r="AF303" s="14" t="s">
        <v>2305</v>
      </c>
      <c r="AG303" s="14"/>
      <c r="AH303" s="14"/>
      <c r="AI303" s="14"/>
      <c r="AJ303" s="14"/>
      <c r="AK303" s="14"/>
      <c r="AL303" s="14"/>
      <c r="AM303" s="14"/>
      <c r="AN303" s="14"/>
      <c r="AO303" s="14"/>
      <c r="AP303" s="14"/>
      <c r="AQ303" s="14"/>
      <c r="AR303" s="14"/>
      <c r="AS303" s="14"/>
      <c r="AT303" s="14"/>
      <c r="AU303" s="14"/>
      <c r="AV303" s="14"/>
      <c r="AW303" s="14"/>
      <c r="AX303" s="14"/>
    </row>
    <row r="304" spans="1:50" ht="15.75" customHeight="1">
      <c r="A304" s="5" t="s">
        <v>537</v>
      </c>
      <c r="B304" s="5" t="s">
        <v>537</v>
      </c>
      <c r="C304" s="5" t="s">
        <v>947</v>
      </c>
      <c r="D304" s="7" t="str">
        <f t="shared" si="11"/>
        <v>bossdb://NeuroPAL_Left_Right_Views/20_YApLR/</v>
      </c>
      <c r="E304" s="24" t="s">
        <v>2</v>
      </c>
      <c r="F304" s="5" t="s">
        <v>849</v>
      </c>
      <c r="G304" s="5" t="s">
        <v>850</v>
      </c>
      <c r="H304" s="24" t="s">
        <v>1</v>
      </c>
      <c r="I304" s="5" t="s">
        <v>948</v>
      </c>
      <c r="J304" s="21" t="s">
        <v>2033</v>
      </c>
      <c r="K304" s="5" t="s">
        <v>852</v>
      </c>
      <c r="L304" s="5" t="s">
        <v>853</v>
      </c>
      <c r="M304" s="5"/>
      <c r="N304" s="24" t="s">
        <v>0</v>
      </c>
      <c r="O304" s="24" t="s">
        <v>1</v>
      </c>
      <c r="P304" s="5" t="s">
        <v>848</v>
      </c>
      <c r="Q304" s="24" t="s">
        <v>848</v>
      </c>
      <c r="R304" s="5" t="s">
        <v>854</v>
      </c>
      <c r="S304" s="5" t="s">
        <v>945</v>
      </c>
      <c r="T304" s="14"/>
      <c r="U304" s="14" t="s">
        <v>856</v>
      </c>
      <c r="V304" s="34" t="s">
        <v>857</v>
      </c>
      <c r="W304" s="14" t="b">
        <v>1</v>
      </c>
      <c r="X304" s="43" t="s">
        <v>409</v>
      </c>
      <c r="Y304" s="14" t="s">
        <v>516</v>
      </c>
      <c r="Z304" s="43" t="s">
        <v>858</v>
      </c>
      <c r="AA304" s="43" t="s">
        <v>858</v>
      </c>
      <c r="AB304" s="43" t="s">
        <v>413</v>
      </c>
      <c r="AC304" s="14"/>
      <c r="AD304" s="14"/>
      <c r="AE304" s="14">
        <v>1</v>
      </c>
      <c r="AF304" s="14" t="s">
        <v>2305</v>
      </c>
      <c r="AG304" s="14"/>
      <c r="AH304" s="14"/>
      <c r="AI304" s="14"/>
      <c r="AJ304" s="14"/>
      <c r="AK304" s="14"/>
      <c r="AL304" s="14"/>
      <c r="AM304" s="14"/>
      <c r="AN304" s="14"/>
      <c r="AO304" s="14"/>
      <c r="AP304" s="14"/>
      <c r="AQ304" s="14"/>
      <c r="AR304" s="14"/>
      <c r="AS304" s="14"/>
      <c r="AT304" s="14"/>
      <c r="AU304" s="14"/>
      <c r="AV304" s="14"/>
      <c r="AW304" s="14"/>
      <c r="AX304" s="14"/>
    </row>
    <row r="305" spans="1:50" ht="15.75" customHeight="1">
      <c r="A305" s="5" t="s">
        <v>543</v>
      </c>
      <c r="B305" s="5" t="s">
        <v>543</v>
      </c>
      <c r="C305" s="5" t="s">
        <v>948</v>
      </c>
      <c r="D305" s="7" t="str">
        <f t="shared" si="11"/>
        <v>bossdb://NeuroPAL_Left_Right_Views/62_YAaLR/</v>
      </c>
      <c r="E305" s="24" t="s">
        <v>2</v>
      </c>
      <c r="F305" s="5" t="s">
        <v>849</v>
      </c>
      <c r="G305" s="5" t="s">
        <v>850</v>
      </c>
      <c r="H305" s="24" t="s">
        <v>1</v>
      </c>
      <c r="I305" s="5" t="s">
        <v>949</v>
      </c>
      <c r="J305" s="21" t="s">
        <v>2033</v>
      </c>
      <c r="K305" s="5" t="s">
        <v>852</v>
      </c>
      <c r="L305" s="5" t="s">
        <v>853</v>
      </c>
      <c r="M305" s="5"/>
      <c r="N305" s="24" t="s">
        <v>0</v>
      </c>
      <c r="O305" s="24" t="s">
        <v>1</v>
      </c>
      <c r="P305" s="5" t="s">
        <v>848</v>
      </c>
      <c r="Q305" s="24" t="s">
        <v>848</v>
      </c>
      <c r="R305" s="5" t="s">
        <v>854</v>
      </c>
      <c r="S305" s="5" t="s">
        <v>945</v>
      </c>
      <c r="T305" s="14"/>
      <c r="U305" s="14" t="s">
        <v>856</v>
      </c>
      <c r="V305" s="34" t="s">
        <v>857</v>
      </c>
      <c r="W305" s="14" t="b">
        <v>1</v>
      </c>
      <c r="X305" s="43" t="s">
        <v>409</v>
      </c>
      <c r="Y305" s="14" t="s">
        <v>516</v>
      </c>
      <c r="Z305" s="43" t="s">
        <v>858</v>
      </c>
      <c r="AA305" s="43" t="s">
        <v>858</v>
      </c>
      <c r="AB305" s="43" t="s">
        <v>413</v>
      </c>
      <c r="AC305" s="14"/>
      <c r="AD305" s="14"/>
      <c r="AE305" s="14">
        <v>1</v>
      </c>
      <c r="AF305" s="14" t="s">
        <v>2305</v>
      </c>
      <c r="AG305" s="14"/>
      <c r="AH305" s="14"/>
      <c r="AI305" s="14"/>
      <c r="AJ305" s="14"/>
      <c r="AK305" s="14"/>
      <c r="AL305" s="14"/>
      <c r="AM305" s="14"/>
      <c r="AN305" s="14"/>
      <c r="AO305" s="14"/>
      <c r="AP305" s="14"/>
      <c r="AQ305" s="14"/>
      <c r="AR305" s="14"/>
      <c r="AS305" s="14"/>
      <c r="AT305" s="14"/>
      <c r="AU305" s="14"/>
      <c r="AV305" s="14"/>
      <c r="AW305" s="14"/>
      <c r="AX305" s="14"/>
    </row>
    <row r="306" spans="1:50" ht="15.75" customHeight="1">
      <c r="A306" s="5" t="s">
        <v>549</v>
      </c>
      <c r="B306" s="5" t="s">
        <v>549</v>
      </c>
      <c r="C306" s="5" t="s">
        <v>949</v>
      </c>
      <c r="D306" s="7" t="str">
        <f t="shared" si="11"/>
        <v>bossdb://NeuroPAL_Left_Right_Views/62_YApLR/</v>
      </c>
      <c r="E306" s="24" t="s">
        <v>2</v>
      </c>
      <c r="F306" s="5" t="s">
        <v>849</v>
      </c>
      <c r="G306" s="5" t="s">
        <v>850</v>
      </c>
      <c r="H306" s="24" t="s">
        <v>1</v>
      </c>
      <c r="I306" s="5" t="s">
        <v>950</v>
      </c>
      <c r="J306" s="21" t="s">
        <v>2033</v>
      </c>
      <c r="K306" s="5" t="s">
        <v>852</v>
      </c>
      <c r="L306" s="5" t="s">
        <v>853</v>
      </c>
      <c r="M306" s="5"/>
      <c r="N306" s="24" t="s">
        <v>0</v>
      </c>
      <c r="O306" s="24" t="s">
        <v>1</v>
      </c>
      <c r="P306" s="5" t="s">
        <v>848</v>
      </c>
      <c r="Q306" s="24" t="s">
        <v>848</v>
      </c>
      <c r="R306" s="5" t="s">
        <v>854</v>
      </c>
      <c r="S306" s="5" t="s">
        <v>945</v>
      </c>
      <c r="T306" s="14"/>
      <c r="U306" s="14" t="s">
        <v>856</v>
      </c>
      <c r="V306" s="34" t="s">
        <v>857</v>
      </c>
      <c r="W306" s="14" t="b">
        <v>1</v>
      </c>
      <c r="X306" s="43" t="s">
        <v>409</v>
      </c>
      <c r="Y306" s="14" t="s">
        <v>516</v>
      </c>
      <c r="Z306" s="43" t="s">
        <v>858</v>
      </c>
      <c r="AA306" s="43" t="s">
        <v>858</v>
      </c>
      <c r="AB306" s="43" t="s">
        <v>413</v>
      </c>
      <c r="AC306" s="14"/>
      <c r="AD306" s="14"/>
      <c r="AE306" s="14">
        <v>1</v>
      </c>
      <c r="AF306" s="14" t="s">
        <v>2305</v>
      </c>
      <c r="AG306" s="14"/>
      <c r="AH306" s="14"/>
      <c r="AI306" s="14"/>
      <c r="AJ306" s="14"/>
      <c r="AK306" s="14"/>
      <c r="AL306" s="14"/>
      <c r="AM306" s="14"/>
      <c r="AN306" s="14"/>
      <c r="AO306" s="14"/>
      <c r="AP306" s="14"/>
      <c r="AQ306" s="14"/>
      <c r="AR306" s="14"/>
      <c r="AS306" s="14"/>
      <c r="AT306" s="14"/>
      <c r="AU306" s="14"/>
      <c r="AV306" s="14"/>
      <c r="AW306" s="14"/>
      <c r="AX306" s="14"/>
    </row>
    <row r="307" spans="1:50" ht="15.75" customHeight="1">
      <c r="A307" s="5" t="s">
        <v>555</v>
      </c>
      <c r="B307" s="5" t="s">
        <v>555</v>
      </c>
      <c r="C307" s="5" t="s">
        <v>950</v>
      </c>
      <c r="D307" s="7" t="str">
        <f t="shared" si="11"/>
        <v>bossdb://NeuroPAL_Left_Right_Views/7_YAaLR/</v>
      </c>
      <c r="E307" s="24" t="s">
        <v>2</v>
      </c>
      <c r="F307" s="5" t="s">
        <v>849</v>
      </c>
      <c r="G307" s="5" t="s">
        <v>850</v>
      </c>
      <c r="H307" s="24" t="s">
        <v>1</v>
      </c>
      <c r="I307" s="5" t="s">
        <v>951</v>
      </c>
      <c r="J307" s="21" t="s">
        <v>2033</v>
      </c>
      <c r="K307" s="5" t="s">
        <v>852</v>
      </c>
      <c r="L307" s="5" t="s">
        <v>853</v>
      </c>
      <c r="M307" s="5"/>
      <c r="N307" s="24" t="s">
        <v>0</v>
      </c>
      <c r="O307" s="24" t="s">
        <v>1</v>
      </c>
      <c r="P307" s="5" t="s">
        <v>848</v>
      </c>
      <c r="Q307" s="24" t="s">
        <v>848</v>
      </c>
      <c r="R307" s="5" t="s">
        <v>854</v>
      </c>
      <c r="S307" s="5" t="s">
        <v>945</v>
      </c>
      <c r="T307" s="14"/>
      <c r="U307" s="14" t="s">
        <v>856</v>
      </c>
      <c r="V307" s="34" t="s">
        <v>857</v>
      </c>
      <c r="W307" s="14" t="b">
        <v>1</v>
      </c>
      <c r="X307" s="43" t="s">
        <v>409</v>
      </c>
      <c r="Y307" s="14" t="s">
        <v>516</v>
      </c>
      <c r="Z307" s="43" t="s">
        <v>858</v>
      </c>
      <c r="AA307" s="43" t="s">
        <v>858</v>
      </c>
      <c r="AB307" s="43" t="s">
        <v>413</v>
      </c>
      <c r="AC307" s="14"/>
      <c r="AD307" s="14"/>
      <c r="AE307" s="14">
        <v>1</v>
      </c>
      <c r="AF307" s="14" t="s">
        <v>2305</v>
      </c>
      <c r="AG307" s="14"/>
      <c r="AH307" s="14"/>
      <c r="AI307" s="14"/>
      <c r="AJ307" s="14"/>
      <c r="AK307" s="14"/>
      <c r="AL307" s="14"/>
      <c r="AM307" s="14"/>
      <c r="AN307" s="14"/>
      <c r="AO307" s="14"/>
      <c r="AP307" s="14"/>
      <c r="AQ307" s="14"/>
      <c r="AR307" s="14"/>
      <c r="AS307" s="14"/>
      <c r="AT307" s="14"/>
      <c r="AU307" s="14"/>
      <c r="AV307" s="14"/>
      <c r="AW307" s="14"/>
      <c r="AX307" s="14"/>
    </row>
    <row r="308" spans="1:50" ht="15.75" customHeight="1">
      <c r="A308" s="5" t="s">
        <v>561</v>
      </c>
      <c r="B308" s="5" t="s">
        <v>561</v>
      </c>
      <c r="C308" s="5" t="s">
        <v>951</v>
      </c>
      <c r="D308" s="7" t="str">
        <f t="shared" si="11"/>
        <v>bossdb://NeuroPAL_Left_Right_Views/7_YApLR/</v>
      </c>
      <c r="E308" s="24" t="s">
        <v>2</v>
      </c>
      <c r="F308" s="5" t="s">
        <v>849</v>
      </c>
      <c r="G308" s="5" t="s">
        <v>850</v>
      </c>
      <c r="H308" s="24" t="s">
        <v>1</v>
      </c>
      <c r="I308" s="5" t="s">
        <v>952</v>
      </c>
      <c r="J308" s="21" t="s">
        <v>2033</v>
      </c>
      <c r="K308" s="5" t="s">
        <v>852</v>
      </c>
      <c r="L308" s="5" t="s">
        <v>853</v>
      </c>
      <c r="M308" s="5"/>
      <c r="N308" s="24" t="s">
        <v>0</v>
      </c>
      <c r="O308" s="24" t="s">
        <v>1</v>
      </c>
      <c r="P308" s="5" t="s">
        <v>848</v>
      </c>
      <c r="Q308" s="24" t="s">
        <v>848</v>
      </c>
      <c r="R308" s="5" t="s">
        <v>854</v>
      </c>
      <c r="S308" s="5" t="s">
        <v>945</v>
      </c>
      <c r="T308" s="14"/>
      <c r="U308" s="14" t="s">
        <v>856</v>
      </c>
      <c r="V308" s="34" t="s">
        <v>857</v>
      </c>
      <c r="W308" s="14" t="b">
        <v>1</v>
      </c>
      <c r="X308" s="43" t="s">
        <v>409</v>
      </c>
      <c r="Y308" s="14" t="s">
        <v>516</v>
      </c>
      <c r="Z308" s="43" t="s">
        <v>858</v>
      </c>
      <c r="AA308" s="43" t="s">
        <v>858</v>
      </c>
      <c r="AB308" s="43" t="s">
        <v>413</v>
      </c>
      <c r="AC308" s="14"/>
      <c r="AD308" s="14"/>
      <c r="AE308" s="14">
        <v>1</v>
      </c>
      <c r="AF308" s="14" t="s">
        <v>2305</v>
      </c>
      <c r="AG308" s="14"/>
      <c r="AH308" s="14"/>
      <c r="AI308" s="14"/>
      <c r="AJ308" s="14"/>
      <c r="AK308" s="14"/>
      <c r="AL308" s="14"/>
      <c r="AM308" s="14"/>
      <c r="AN308" s="14"/>
      <c r="AO308" s="14"/>
      <c r="AP308" s="14"/>
      <c r="AQ308" s="14"/>
      <c r="AR308" s="14"/>
      <c r="AS308" s="14"/>
      <c r="AT308" s="14"/>
      <c r="AU308" s="14"/>
      <c r="AV308" s="14"/>
      <c r="AW308" s="14"/>
      <c r="AX308" s="14"/>
    </row>
    <row r="309" spans="1:50" ht="15.75" customHeight="1">
      <c r="A309" s="5" t="s">
        <v>567</v>
      </c>
      <c r="B309" s="5" t="s">
        <v>567</v>
      </c>
      <c r="C309" s="5" t="s">
        <v>952</v>
      </c>
      <c r="D309" s="7" t="str">
        <f t="shared" si="11"/>
        <v>bossdb://NeuroPAL_Left_Right_Views/70_YAaLR/</v>
      </c>
      <c r="E309" s="24" t="s">
        <v>2</v>
      </c>
      <c r="F309" s="5" t="s">
        <v>849</v>
      </c>
      <c r="G309" s="5" t="s">
        <v>850</v>
      </c>
      <c r="H309" s="24" t="s">
        <v>1</v>
      </c>
      <c r="I309" s="5" t="s">
        <v>953</v>
      </c>
      <c r="J309" s="21" t="s">
        <v>2033</v>
      </c>
      <c r="K309" s="5" t="s">
        <v>852</v>
      </c>
      <c r="L309" s="5" t="s">
        <v>853</v>
      </c>
      <c r="M309" s="5"/>
      <c r="N309" s="24" t="s">
        <v>0</v>
      </c>
      <c r="O309" s="24" t="s">
        <v>1</v>
      </c>
      <c r="P309" s="5" t="s">
        <v>848</v>
      </c>
      <c r="Q309" s="24" t="s">
        <v>848</v>
      </c>
      <c r="R309" s="5" t="s">
        <v>854</v>
      </c>
      <c r="S309" s="5" t="s">
        <v>945</v>
      </c>
      <c r="T309" s="14"/>
      <c r="U309" s="14" t="s">
        <v>856</v>
      </c>
      <c r="V309" s="34" t="s">
        <v>857</v>
      </c>
      <c r="W309" s="14" t="b">
        <v>1</v>
      </c>
      <c r="X309" s="43" t="s">
        <v>409</v>
      </c>
      <c r="Y309" s="14" t="s">
        <v>516</v>
      </c>
      <c r="Z309" s="43" t="s">
        <v>858</v>
      </c>
      <c r="AA309" s="43" t="s">
        <v>858</v>
      </c>
      <c r="AB309" s="43" t="s">
        <v>413</v>
      </c>
      <c r="AC309" s="14"/>
      <c r="AD309" s="14"/>
      <c r="AE309" s="14">
        <v>1</v>
      </c>
      <c r="AF309" s="14" t="s">
        <v>2305</v>
      </c>
      <c r="AG309" s="14"/>
      <c r="AH309" s="14"/>
      <c r="AI309" s="14"/>
      <c r="AJ309" s="14"/>
      <c r="AK309" s="14"/>
      <c r="AL309" s="14"/>
      <c r="AM309" s="14"/>
      <c r="AN309" s="14"/>
      <c r="AO309" s="14"/>
      <c r="AP309" s="14"/>
      <c r="AQ309" s="14"/>
      <c r="AR309" s="14"/>
      <c r="AS309" s="14"/>
      <c r="AT309" s="14"/>
      <c r="AU309" s="14"/>
      <c r="AV309" s="14"/>
      <c r="AW309" s="14"/>
      <c r="AX309" s="14"/>
    </row>
    <row r="310" spans="1:50" ht="15.75" customHeight="1">
      <c r="A310" s="5" t="s">
        <v>573</v>
      </c>
      <c r="B310" s="5" t="s">
        <v>573</v>
      </c>
      <c r="C310" s="5" t="s">
        <v>953</v>
      </c>
      <c r="D310" s="7" t="str">
        <f t="shared" si="11"/>
        <v>bossdb://NeuroPAL_Left_Right_Views/70_YApLR/</v>
      </c>
      <c r="E310" s="24" t="s">
        <v>2</v>
      </c>
      <c r="F310" s="5" t="s">
        <v>849</v>
      </c>
      <c r="G310" s="5" t="s">
        <v>850</v>
      </c>
      <c r="H310" s="24" t="s">
        <v>1</v>
      </c>
      <c r="I310" s="5" t="s">
        <v>954</v>
      </c>
      <c r="J310" s="21" t="s">
        <v>2033</v>
      </c>
      <c r="K310" s="5" t="s">
        <v>852</v>
      </c>
      <c r="L310" s="5" t="s">
        <v>853</v>
      </c>
      <c r="M310" s="5"/>
      <c r="N310" s="24" t="s">
        <v>0</v>
      </c>
      <c r="O310" s="24" t="s">
        <v>1</v>
      </c>
      <c r="P310" s="5" t="s">
        <v>848</v>
      </c>
      <c r="Q310" s="24" t="s">
        <v>848</v>
      </c>
      <c r="R310" s="5" t="s">
        <v>854</v>
      </c>
      <c r="S310" s="5" t="s">
        <v>945</v>
      </c>
      <c r="T310" s="14"/>
      <c r="U310" s="14" t="s">
        <v>856</v>
      </c>
      <c r="V310" s="34" t="s">
        <v>857</v>
      </c>
      <c r="W310" s="14" t="b">
        <v>1</v>
      </c>
      <c r="X310" s="43" t="s">
        <v>409</v>
      </c>
      <c r="Y310" s="43" t="s">
        <v>516</v>
      </c>
      <c r="Z310" s="43" t="s">
        <v>858</v>
      </c>
      <c r="AA310" s="43" t="s">
        <v>858</v>
      </c>
      <c r="AB310" s="43" t="s">
        <v>413</v>
      </c>
      <c r="AC310" s="14"/>
      <c r="AD310" s="14"/>
      <c r="AE310" s="14">
        <v>1</v>
      </c>
      <c r="AF310" s="14" t="s">
        <v>2305</v>
      </c>
      <c r="AG310" s="14"/>
      <c r="AH310" s="14"/>
      <c r="AI310" s="14"/>
      <c r="AJ310" s="14"/>
      <c r="AK310" s="14"/>
      <c r="AL310" s="14"/>
      <c r="AM310" s="14"/>
      <c r="AN310" s="14"/>
      <c r="AO310" s="14"/>
      <c r="AP310" s="14"/>
      <c r="AQ310" s="14"/>
      <c r="AR310" s="14"/>
      <c r="AS310" s="14"/>
      <c r="AT310" s="14"/>
      <c r="AU310" s="14"/>
      <c r="AV310" s="14"/>
      <c r="AW310" s="14"/>
      <c r="AX310" s="14"/>
    </row>
    <row r="311" spans="1:50" ht="15.75" customHeight="1">
      <c r="A311" s="5" t="s">
        <v>579</v>
      </c>
      <c r="B311" s="5" t="s">
        <v>579</v>
      </c>
      <c r="C311" s="5" t="s">
        <v>954</v>
      </c>
      <c r="D311" s="7" t="str">
        <f>CONCATENATE("bossdb://phelps_hildebrand_graham2021/",B311,"/")</f>
        <v>bossdb://phelps_hildebrand_graham2021/FANC/</v>
      </c>
      <c r="E311" s="24" t="s">
        <v>2</v>
      </c>
      <c r="F311" s="5" t="s">
        <v>887</v>
      </c>
      <c r="G311" s="5" t="s">
        <v>888</v>
      </c>
      <c r="H311" s="24" t="s">
        <v>1</v>
      </c>
      <c r="I311" s="5" t="s">
        <v>955</v>
      </c>
      <c r="J311" s="21" t="s">
        <v>2034</v>
      </c>
      <c r="K311" s="5" t="s">
        <v>956</v>
      </c>
      <c r="L311" s="5" t="s">
        <v>853</v>
      </c>
      <c r="M311" s="5" t="s">
        <v>895</v>
      </c>
      <c r="N311" s="24" t="s">
        <v>0</v>
      </c>
      <c r="O311" s="24" t="s">
        <v>1</v>
      </c>
      <c r="P311" s="5" t="s">
        <v>848</v>
      </c>
      <c r="Q311" s="24" t="s">
        <v>848</v>
      </c>
      <c r="R311" s="5" t="s">
        <v>854</v>
      </c>
      <c r="S311" s="5" t="s">
        <v>957</v>
      </c>
      <c r="T311" s="19"/>
      <c r="U311" s="14" t="s">
        <v>856</v>
      </c>
      <c r="V311" s="34" t="s">
        <v>857</v>
      </c>
      <c r="W311" s="14" t="b">
        <v>1</v>
      </c>
      <c r="X311" s="43" t="s">
        <v>409</v>
      </c>
      <c r="Y311" s="14" t="s">
        <v>582</v>
      </c>
      <c r="Z311" s="43" t="s">
        <v>858</v>
      </c>
      <c r="AA311" s="43" t="s">
        <v>858</v>
      </c>
      <c r="AB311" s="43" t="s">
        <v>413</v>
      </c>
      <c r="AC311" s="14"/>
      <c r="AD311" s="14"/>
      <c r="AE311" s="14">
        <v>1</v>
      </c>
      <c r="AF311" s="14" t="s">
        <v>2195</v>
      </c>
      <c r="AG311" s="14"/>
      <c r="AH311" s="14"/>
      <c r="AI311" s="14"/>
      <c r="AJ311" s="14"/>
      <c r="AK311" s="14"/>
      <c r="AL311" s="14"/>
      <c r="AM311" s="14"/>
      <c r="AN311" s="14"/>
      <c r="AO311" s="14"/>
      <c r="AP311" s="14"/>
      <c r="AQ311" s="14"/>
      <c r="AR311" s="14"/>
      <c r="AS311" s="14"/>
      <c r="AT311" s="14"/>
      <c r="AU311" s="14"/>
      <c r="AV311" s="14"/>
      <c r="AW311" s="14"/>
      <c r="AX311" s="14"/>
    </row>
    <row r="312" spans="1:50" ht="15.75" customHeight="1">
      <c r="A312" s="5" t="s">
        <v>958</v>
      </c>
      <c r="B312" s="5" t="s">
        <v>958</v>
      </c>
      <c r="C312" s="5" t="s">
        <v>955</v>
      </c>
      <c r="D312" s="7" t="str">
        <f>CONCATENATE("bossdb://kuan_phelps2020/",B312,"/")</f>
        <v>bossdb://kuan_phelps2020/drosophila_brain_120nm/</v>
      </c>
      <c r="E312" s="24" t="s">
        <v>2</v>
      </c>
      <c r="F312" s="5" t="s">
        <v>959</v>
      </c>
      <c r="G312" s="5" t="s">
        <v>960</v>
      </c>
      <c r="H312" s="24" t="s">
        <v>1</v>
      </c>
      <c r="I312" s="5" t="s">
        <v>961</v>
      </c>
      <c r="J312" s="20"/>
      <c r="K312" s="5" t="s">
        <v>956</v>
      </c>
      <c r="L312" s="5" t="s">
        <v>853</v>
      </c>
      <c r="M312" s="5" t="s">
        <v>962</v>
      </c>
      <c r="N312" s="24" t="s">
        <v>0</v>
      </c>
      <c r="O312" s="24" t="s">
        <v>1</v>
      </c>
      <c r="P312" s="5" t="s">
        <v>848</v>
      </c>
      <c r="Q312" s="24" t="s">
        <v>848</v>
      </c>
      <c r="R312" s="5" t="s">
        <v>854</v>
      </c>
      <c r="S312" s="5" t="s">
        <v>963</v>
      </c>
      <c r="T312" s="19"/>
      <c r="U312" s="14" t="s">
        <v>856</v>
      </c>
      <c r="V312" s="34" t="s">
        <v>857</v>
      </c>
      <c r="W312" s="14" t="b">
        <v>1</v>
      </c>
      <c r="X312" s="43" t="s">
        <v>409</v>
      </c>
      <c r="Y312" s="43" t="s">
        <v>584</v>
      </c>
      <c r="Z312" s="43" t="s">
        <v>858</v>
      </c>
      <c r="AA312" s="43" t="s">
        <v>858</v>
      </c>
      <c r="AB312" s="43" t="s">
        <v>413</v>
      </c>
      <c r="AC312" s="14"/>
      <c r="AD312" s="14"/>
      <c r="AE312" s="14">
        <v>1</v>
      </c>
      <c r="AF312" s="69" t="s">
        <v>585</v>
      </c>
      <c r="AG312" s="14"/>
      <c r="AH312" s="14"/>
      <c r="AI312" s="14"/>
      <c r="AJ312" s="14"/>
      <c r="AK312" s="14"/>
      <c r="AL312" s="14"/>
      <c r="AM312" s="14"/>
      <c r="AN312" s="14"/>
      <c r="AO312" s="14"/>
      <c r="AP312" s="14"/>
      <c r="AQ312" s="14"/>
      <c r="AR312" s="14"/>
      <c r="AS312" s="14"/>
      <c r="AT312" s="14"/>
      <c r="AU312" s="14"/>
      <c r="AV312" s="14"/>
      <c r="AW312" s="14"/>
      <c r="AX312" s="14"/>
    </row>
    <row r="313" spans="1:50" ht="15.75" customHeight="1">
      <c r="A313" s="5" t="s">
        <v>964</v>
      </c>
      <c r="B313" s="5" t="s">
        <v>964</v>
      </c>
      <c r="C313" s="5" t="s">
        <v>961</v>
      </c>
      <c r="D313" s="7" t="str">
        <f>CONCATENATE("bossdb://kuan_phelps2020/",B313,"/")</f>
        <v>bossdb://kuan_phelps2020/drosophila_leg_75nm/</v>
      </c>
      <c r="E313" s="24" t="s">
        <v>2</v>
      </c>
      <c r="F313" s="5" t="s">
        <v>959</v>
      </c>
      <c r="G313" s="5" t="s">
        <v>960</v>
      </c>
      <c r="H313" s="24" t="s">
        <v>1</v>
      </c>
      <c r="I313" s="5" t="s">
        <v>965</v>
      </c>
      <c r="J313" s="20"/>
      <c r="K313" s="5" t="s">
        <v>956</v>
      </c>
      <c r="L313" s="5" t="s">
        <v>853</v>
      </c>
      <c r="M313" s="5" t="s">
        <v>962</v>
      </c>
      <c r="N313" s="24" t="s">
        <v>0</v>
      </c>
      <c r="O313" s="24" t="s">
        <v>1</v>
      </c>
      <c r="P313" s="5" t="s">
        <v>848</v>
      </c>
      <c r="Q313" s="24" t="s">
        <v>848</v>
      </c>
      <c r="R313" s="5" t="s">
        <v>854</v>
      </c>
      <c r="S313" s="5" t="s">
        <v>963</v>
      </c>
      <c r="T313" s="19"/>
      <c r="U313" s="14" t="s">
        <v>856</v>
      </c>
      <c r="V313" s="34" t="s">
        <v>857</v>
      </c>
      <c r="W313" s="14" t="b">
        <v>1</v>
      </c>
      <c r="X313" s="43" t="s">
        <v>409</v>
      </c>
      <c r="Y313" s="14" t="s">
        <v>584</v>
      </c>
      <c r="Z313" s="43" t="s">
        <v>858</v>
      </c>
      <c r="AA313" s="43" t="s">
        <v>858</v>
      </c>
      <c r="AB313" s="43" t="s">
        <v>413</v>
      </c>
      <c r="AC313" s="14"/>
      <c r="AD313" s="14"/>
      <c r="AE313" s="14">
        <v>1</v>
      </c>
      <c r="AF313" s="69" t="s">
        <v>587</v>
      </c>
      <c r="AG313" s="14"/>
      <c r="AH313" s="14"/>
      <c r="AI313" s="14"/>
      <c r="AJ313" s="14"/>
      <c r="AK313" s="14"/>
      <c r="AL313" s="14"/>
      <c r="AM313" s="14"/>
      <c r="AN313" s="14"/>
      <c r="AO313" s="14"/>
      <c r="AP313" s="14"/>
      <c r="AQ313" s="14"/>
      <c r="AR313" s="14"/>
      <c r="AS313" s="14"/>
      <c r="AT313" s="14"/>
      <c r="AU313" s="14"/>
      <c r="AV313" s="14"/>
      <c r="AW313" s="14"/>
      <c r="AX313" s="14"/>
    </row>
    <row r="314" spans="1:50" ht="15.75" customHeight="1">
      <c r="A314" s="5" t="s">
        <v>966</v>
      </c>
      <c r="B314" s="5" t="s">
        <v>966</v>
      </c>
      <c r="C314" s="5" t="s">
        <v>965</v>
      </c>
      <c r="D314" s="7" t="str">
        <f>CONCATENATE("bossdb://kuan_phelps2020/",B314,"/")</f>
        <v>bossdb://kuan_phelps2020/drosophila_VNC_50nm/</v>
      </c>
      <c r="E314" s="24" t="s">
        <v>2</v>
      </c>
      <c r="F314" s="5" t="s">
        <v>967</v>
      </c>
      <c r="G314" s="5" t="s">
        <v>960</v>
      </c>
      <c r="H314" s="24" t="s">
        <v>1</v>
      </c>
      <c r="I314" s="5" t="s">
        <v>968</v>
      </c>
      <c r="J314" s="20"/>
      <c r="K314" s="5" t="s">
        <v>956</v>
      </c>
      <c r="L314" s="5" t="s">
        <v>853</v>
      </c>
      <c r="M314" s="5" t="s">
        <v>962</v>
      </c>
      <c r="N314" s="24" t="s">
        <v>0</v>
      </c>
      <c r="O314" s="24" t="s">
        <v>1</v>
      </c>
      <c r="P314" s="5" t="s">
        <v>848</v>
      </c>
      <c r="Q314" s="24" t="s">
        <v>848</v>
      </c>
      <c r="R314" s="5" t="s">
        <v>854</v>
      </c>
      <c r="S314" s="5" t="s">
        <v>963</v>
      </c>
      <c r="T314" s="19"/>
      <c r="U314" s="14" t="s">
        <v>856</v>
      </c>
      <c r="V314" s="34" t="s">
        <v>857</v>
      </c>
      <c r="W314" s="14" t="b">
        <v>1</v>
      </c>
      <c r="X314" s="43" t="s">
        <v>409</v>
      </c>
      <c r="Y314" s="14" t="s">
        <v>584</v>
      </c>
      <c r="Z314" s="43" t="s">
        <v>858</v>
      </c>
      <c r="AA314" s="43" t="s">
        <v>858</v>
      </c>
      <c r="AB314" s="43" t="s">
        <v>413</v>
      </c>
      <c r="AC314" s="14"/>
      <c r="AD314" s="14"/>
      <c r="AE314" s="14">
        <v>1</v>
      </c>
      <c r="AF314" s="69" t="s">
        <v>589</v>
      </c>
      <c r="AG314" s="14"/>
      <c r="AH314" s="14"/>
      <c r="AI314" s="14"/>
      <c r="AJ314" s="14"/>
      <c r="AK314" s="14"/>
      <c r="AL314" s="14"/>
      <c r="AM314" s="14"/>
      <c r="AN314" s="14"/>
      <c r="AO314" s="14"/>
      <c r="AP314" s="14"/>
      <c r="AQ314" s="14"/>
      <c r="AR314" s="14"/>
      <c r="AS314" s="14"/>
      <c r="AT314" s="14"/>
      <c r="AU314" s="14"/>
      <c r="AV314" s="14"/>
      <c r="AW314" s="14"/>
      <c r="AX314" s="14"/>
    </row>
    <row r="315" spans="1:50" ht="15.75" customHeight="1">
      <c r="A315" s="5" t="s">
        <v>969</v>
      </c>
      <c r="B315" s="5" t="s">
        <v>969</v>
      </c>
      <c r="C315" s="5" t="s">
        <v>968</v>
      </c>
      <c r="D315" s="7" t="str">
        <f>CONCATENATE("bossdb://kuan_phelps2020/",B315,"/")</f>
        <v>bossdb://kuan_phelps2020/mouse_cortex_30nm/</v>
      </c>
      <c r="E315" s="24" t="s">
        <v>2</v>
      </c>
      <c r="F315" s="5" t="s">
        <v>959</v>
      </c>
      <c r="G315" s="5" t="s">
        <v>960</v>
      </c>
      <c r="H315" s="24" t="s">
        <v>1</v>
      </c>
      <c r="I315" s="5" t="s">
        <v>970</v>
      </c>
      <c r="J315" s="20"/>
      <c r="K315" s="5" t="s">
        <v>956</v>
      </c>
      <c r="L315" s="5" t="s">
        <v>853</v>
      </c>
      <c r="M315" s="5" t="s">
        <v>962</v>
      </c>
      <c r="N315" s="24" t="s">
        <v>0</v>
      </c>
      <c r="O315" s="24" t="s">
        <v>1</v>
      </c>
      <c r="P315" s="5" t="s">
        <v>848</v>
      </c>
      <c r="Q315" s="24" t="s">
        <v>848</v>
      </c>
      <c r="R315" s="5" t="s">
        <v>854</v>
      </c>
      <c r="S315" s="5" t="s">
        <v>963</v>
      </c>
      <c r="T315" s="19"/>
      <c r="U315" s="14" t="s">
        <v>856</v>
      </c>
      <c r="V315" s="34" t="s">
        <v>857</v>
      </c>
      <c r="W315" s="14" t="b">
        <v>1</v>
      </c>
      <c r="X315" s="43" t="s">
        <v>409</v>
      </c>
      <c r="Y315" s="14" t="s">
        <v>584</v>
      </c>
      <c r="Z315" s="43" t="s">
        <v>858</v>
      </c>
      <c r="AA315" s="43" t="s">
        <v>858</v>
      </c>
      <c r="AB315" s="43" t="s">
        <v>413</v>
      </c>
      <c r="AC315" s="14"/>
      <c r="AD315" s="14"/>
      <c r="AE315" s="14">
        <v>1</v>
      </c>
      <c r="AF315" s="69" t="s">
        <v>591</v>
      </c>
      <c r="AG315" s="14"/>
      <c r="AH315" s="14"/>
      <c r="AI315" s="14"/>
      <c r="AJ315" s="14"/>
      <c r="AK315" s="14"/>
      <c r="AL315" s="14"/>
      <c r="AM315" s="14"/>
      <c r="AN315" s="14"/>
      <c r="AO315" s="14"/>
      <c r="AP315" s="14"/>
      <c r="AQ315" s="14"/>
      <c r="AR315" s="14"/>
      <c r="AS315" s="14"/>
      <c r="AT315" s="14"/>
      <c r="AU315" s="14"/>
      <c r="AV315" s="14"/>
      <c r="AW315" s="14"/>
      <c r="AX315" s="14"/>
    </row>
    <row r="316" spans="1:50" ht="17.25" customHeight="1">
      <c r="A316" s="5" t="s">
        <v>971</v>
      </c>
      <c r="B316" s="5" t="s">
        <v>971</v>
      </c>
      <c r="C316" s="5" t="s">
        <v>970</v>
      </c>
      <c r="D316" s="7" t="str">
        <f>CONCATENATE("bossdb://kuan_phelps2020/",B316,"/")</f>
        <v>bossdb://kuan_phelps2020/mouse_cortex_40nm/</v>
      </c>
      <c r="E316" s="24" t="s">
        <v>2</v>
      </c>
      <c r="F316" s="5" t="s">
        <v>959</v>
      </c>
      <c r="G316" s="5" t="s">
        <v>960</v>
      </c>
      <c r="H316" s="24" t="s">
        <v>1</v>
      </c>
      <c r="I316" s="5" t="s">
        <v>972</v>
      </c>
      <c r="J316" s="20"/>
      <c r="K316" s="5" t="s">
        <v>956</v>
      </c>
      <c r="L316" s="5" t="s">
        <v>853</v>
      </c>
      <c r="M316" s="5" t="s">
        <v>962</v>
      </c>
      <c r="N316" s="24" t="s">
        <v>0</v>
      </c>
      <c r="O316" s="24" t="s">
        <v>1</v>
      </c>
      <c r="P316" s="5" t="s">
        <v>848</v>
      </c>
      <c r="Q316" s="24" t="s">
        <v>848</v>
      </c>
      <c r="R316" s="5" t="s">
        <v>854</v>
      </c>
      <c r="S316" s="5" t="s">
        <v>963</v>
      </c>
      <c r="T316" s="19"/>
      <c r="U316" s="14" t="s">
        <v>856</v>
      </c>
      <c r="V316" s="34" t="s">
        <v>857</v>
      </c>
      <c r="W316" s="14" t="b">
        <v>1</v>
      </c>
      <c r="X316" s="43" t="s">
        <v>409</v>
      </c>
      <c r="Y316" s="43" t="s">
        <v>584</v>
      </c>
      <c r="Z316" s="43" t="s">
        <v>858</v>
      </c>
      <c r="AA316" s="43" t="s">
        <v>858</v>
      </c>
      <c r="AB316" s="43" t="s">
        <v>413</v>
      </c>
      <c r="AC316" s="14"/>
      <c r="AD316" s="14"/>
      <c r="AE316" s="14">
        <v>1</v>
      </c>
      <c r="AF316" s="69" t="s">
        <v>593</v>
      </c>
      <c r="AG316" s="14"/>
      <c r="AH316" s="14"/>
      <c r="AI316" s="14"/>
      <c r="AJ316" s="14"/>
      <c r="AK316" s="14"/>
      <c r="AL316" s="14"/>
      <c r="AM316" s="14"/>
      <c r="AN316" s="14"/>
      <c r="AO316" s="14"/>
      <c r="AP316" s="14"/>
      <c r="AQ316" s="14"/>
      <c r="AR316" s="14"/>
      <c r="AS316" s="14"/>
      <c r="AT316" s="14"/>
      <c r="AU316" s="14"/>
      <c r="AV316" s="14"/>
      <c r="AW316" s="14"/>
      <c r="AX316" s="14"/>
    </row>
    <row r="317" spans="1:50" ht="17.25" customHeight="1">
      <c r="A317" s="5" t="s">
        <v>974</v>
      </c>
      <c r="B317" s="5" t="s">
        <v>974</v>
      </c>
      <c r="C317" s="5" t="s">
        <v>972</v>
      </c>
      <c r="D317" s="7" t="str">
        <f>CONCATENATE("bossdb://prasad/",B317,"/")</f>
        <v>bossdb://prasad/prasad_analysis/</v>
      </c>
      <c r="E317" s="24" t="s">
        <v>2</v>
      </c>
      <c r="F317" s="5" t="s">
        <v>864</v>
      </c>
      <c r="G317" s="5" t="s">
        <v>865</v>
      </c>
      <c r="H317" s="24" t="s">
        <v>1</v>
      </c>
      <c r="I317" s="5" t="s">
        <v>975</v>
      </c>
      <c r="J317" s="21" t="s">
        <v>2035</v>
      </c>
      <c r="K317" s="5" t="s">
        <v>956</v>
      </c>
      <c r="L317" s="5" t="s">
        <v>853</v>
      </c>
      <c r="M317" s="5" t="s">
        <v>976</v>
      </c>
      <c r="N317" s="24" t="s">
        <v>0</v>
      </c>
      <c r="O317" s="24" t="s">
        <v>1</v>
      </c>
      <c r="P317" s="5" t="s">
        <v>848</v>
      </c>
      <c r="Q317" s="24" t="s">
        <v>848</v>
      </c>
      <c r="R317" s="5" t="s">
        <v>854</v>
      </c>
      <c r="S317" s="5" t="s">
        <v>977</v>
      </c>
      <c r="T317" s="19"/>
      <c r="U317" s="14" t="s">
        <v>856</v>
      </c>
      <c r="V317" s="34" t="s">
        <v>857</v>
      </c>
      <c r="W317" s="14" t="b">
        <v>1</v>
      </c>
      <c r="X317" s="43" t="s">
        <v>409</v>
      </c>
      <c r="Y317" s="14" t="s">
        <v>597</v>
      </c>
      <c r="Z317" s="43" t="s">
        <v>858</v>
      </c>
      <c r="AA317" s="43" t="s">
        <v>858</v>
      </c>
      <c r="AB317" s="43" t="s">
        <v>413</v>
      </c>
      <c r="AC317" s="14"/>
      <c r="AD317" s="14"/>
      <c r="AE317" s="14">
        <v>1</v>
      </c>
      <c r="AF317" s="14" t="s">
        <v>2307</v>
      </c>
      <c r="AG317" s="14"/>
      <c r="AH317" s="14"/>
      <c r="AI317" s="14"/>
      <c r="AJ317" s="14"/>
      <c r="AK317" s="14"/>
      <c r="AL317" s="14"/>
      <c r="AM317" s="14"/>
      <c r="AN317" s="14"/>
      <c r="AO317" s="14"/>
      <c r="AP317" s="14"/>
      <c r="AQ317" s="14"/>
      <c r="AR317" s="14"/>
      <c r="AS317" s="14"/>
      <c r="AT317" s="14"/>
      <c r="AU317" s="14"/>
      <c r="AV317" s="14"/>
      <c r="AW317" s="14"/>
      <c r="AX317" s="14"/>
    </row>
    <row r="318" spans="1:50" ht="17.25" customHeight="1">
      <c r="A318" s="5" t="s">
        <v>978</v>
      </c>
      <c r="B318" s="5" t="s">
        <v>978</v>
      </c>
      <c r="C318" s="5" t="s">
        <v>975</v>
      </c>
      <c r="D318" s="7" t="str">
        <f>CONCATENATE("bossdb://prasad/",B318,"/")</f>
        <v>bossdb://prasad/prasad2020/</v>
      </c>
      <c r="E318" s="24" t="s">
        <v>2</v>
      </c>
      <c r="F318" s="5" t="s">
        <v>864</v>
      </c>
      <c r="G318" s="5" t="s">
        <v>865</v>
      </c>
      <c r="H318" s="24" t="s">
        <v>1</v>
      </c>
      <c r="I318" s="5" t="s">
        <v>979</v>
      </c>
      <c r="J318" s="21" t="s">
        <v>2035</v>
      </c>
      <c r="K318" s="5" t="s">
        <v>956</v>
      </c>
      <c r="L318" s="5" t="s">
        <v>853</v>
      </c>
      <c r="M318" s="5" t="s">
        <v>976</v>
      </c>
      <c r="N318" s="24" t="s">
        <v>0</v>
      </c>
      <c r="O318" s="24" t="s">
        <v>1</v>
      </c>
      <c r="P318" s="5" t="s">
        <v>848</v>
      </c>
      <c r="Q318" s="24" t="s">
        <v>848</v>
      </c>
      <c r="R318" s="5" t="s">
        <v>854</v>
      </c>
      <c r="S318" s="5" t="s">
        <v>977</v>
      </c>
      <c r="T318" s="19"/>
      <c r="U318" s="14" t="s">
        <v>856</v>
      </c>
      <c r="V318" s="34" t="s">
        <v>857</v>
      </c>
      <c r="W318" s="14" t="b">
        <v>1</v>
      </c>
      <c r="X318" s="43" t="s">
        <v>409</v>
      </c>
      <c r="Y318" s="14" t="s">
        <v>597</v>
      </c>
      <c r="Z318" s="43" t="s">
        <v>858</v>
      </c>
      <c r="AA318" s="43" t="s">
        <v>858</v>
      </c>
      <c r="AB318" s="43" t="s">
        <v>413</v>
      </c>
      <c r="AC318" s="14"/>
      <c r="AD318" s="14"/>
      <c r="AE318" s="14">
        <v>1</v>
      </c>
      <c r="AF318" s="14" t="s">
        <v>2307</v>
      </c>
      <c r="AG318" s="14"/>
      <c r="AH318" s="14"/>
      <c r="AI318" s="14"/>
      <c r="AJ318" s="14"/>
      <c r="AK318" s="14"/>
      <c r="AL318" s="14"/>
      <c r="AM318" s="14"/>
      <c r="AN318" s="14"/>
      <c r="AO318" s="14"/>
      <c r="AP318" s="14"/>
      <c r="AQ318" s="14"/>
      <c r="AR318" s="14"/>
      <c r="AS318" s="14"/>
      <c r="AT318" s="14"/>
      <c r="AU318" s="14"/>
      <c r="AV318" s="14"/>
      <c r="AW318" s="14"/>
      <c r="AX318" s="14"/>
    </row>
    <row r="319" spans="1:50" ht="17.25" customHeight="1">
      <c r="A319" s="5" t="s">
        <v>980</v>
      </c>
      <c r="B319" s="5" t="s">
        <v>980</v>
      </c>
      <c r="C319" s="5" t="s">
        <v>979</v>
      </c>
      <c r="D319" s="7" t="str">
        <f>CONCATENATE("bossdb://morgan2020/",B319,"/")</f>
        <v>bossdb://morgan2020/Ign/</v>
      </c>
      <c r="E319" s="24" t="s">
        <v>2</v>
      </c>
      <c r="F319" s="5" t="s">
        <v>864</v>
      </c>
      <c r="G319" s="5" t="s">
        <v>865</v>
      </c>
      <c r="H319" s="24" t="s">
        <v>1</v>
      </c>
      <c r="I319" s="5" t="s">
        <v>981</v>
      </c>
      <c r="J319" s="21" t="s">
        <v>2036</v>
      </c>
      <c r="K319" s="5" t="s">
        <v>852</v>
      </c>
      <c r="L319" s="5" t="s">
        <v>853</v>
      </c>
      <c r="M319" s="5" t="s">
        <v>982</v>
      </c>
      <c r="N319" s="24" t="s">
        <v>0</v>
      </c>
      <c r="O319" s="24" t="s">
        <v>1</v>
      </c>
      <c r="P319" s="5" t="s">
        <v>848</v>
      </c>
      <c r="Q319" s="24" t="s">
        <v>848</v>
      </c>
      <c r="R319" s="5" t="s">
        <v>854</v>
      </c>
      <c r="S319" s="14"/>
      <c r="T319" s="19"/>
      <c r="U319" s="14" t="s">
        <v>856</v>
      </c>
      <c r="V319" s="34" t="s">
        <v>857</v>
      </c>
      <c r="W319" s="14" t="b">
        <v>1</v>
      </c>
      <c r="X319" s="43" t="s">
        <v>409</v>
      </c>
      <c r="Y319" s="14" t="s">
        <v>612</v>
      </c>
      <c r="Z319" s="43" t="s">
        <v>858</v>
      </c>
      <c r="AA319" s="43" t="s">
        <v>858</v>
      </c>
      <c r="AB319" s="43" t="s">
        <v>413</v>
      </c>
      <c r="AC319" s="14"/>
      <c r="AD319" s="14"/>
      <c r="AE319" s="14">
        <v>1</v>
      </c>
      <c r="AF319" s="14" t="s">
        <v>406</v>
      </c>
      <c r="AG319" s="14"/>
      <c r="AH319" s="14"/>
      <c r="AI319" s="14"/>
      <c r="AJ319" s="14"/>
      <c r="AK319" s="14"/>
      <c r="AL319" s="14"/>
      <c r="AM319" s="14"/>
      <c r="AN319" s="14"/>
      <c r="AO319" s="14"/>
      <c r="AP319" s="14"/>
      <c r="AQ319" s="14"/>
      <c r="AR319" s="14"/>
      <c r="AS319" s="14"/>
      <c r="AT319" s="14"/>
      <c r="AU319" s="14"/>
      <c r="AV319" s="14"/>
      <c r="AW319" s="14"/>
      <c r="AX319" s="14"/>
    </row>
    <row r="320" spans="1:50" ht="17.25" customHeight="1">
      <c r="A320" s="5" t="s">
        <v>983</v>
      </c>
      <c r="B320" s="5" t="s">
        <v>983</v>
      </c>
      <c r="C320" s="5" t="s">
        <v>981</v>
      </c>
      <c r="D320" s="7" t="str">
        <f>CONCATENATE("bossdb://templier/",B320,"/")</f>
        <v>bossdb://templier/Wafer_3/</v>
      </c>
      <c r="E320" s="24" t="s">
        <v>2</v>
      </c>
      <c r="F320" s="5" t="s">
        <v>1039</v>
      </c>
      <c r="G320" s="5" t="s">
        <v>1040</v>
      </c>
      <c r="H320" s="24" t="s">
        <v>1</v>
      </c>
      <c r="I320" s="5" t="s">
        <v>984</v>
      </c>
      <c r="J320" s="20"/>
      <c r="K320" s="5" t="s">
        <v>867</v>
      </c>
      <c r="L320" s="5" t="s">
        <v>853</v>
      </c>
      <c r="M320" s="5" t="s">
        <v>985</v>
      </c>
      <c r="N320" s="24" t="s">
        <v>0</v>
      </c>
      <c r="O320" s="24" t="s">
        <v>1</v>
      </c>
      <c r="P320" s="5" t="s">
        <v>848</v>
      </c>
      <c r="Q320" s="24" t="s">
        <v>848</v>
      </c>
      <c r="R320" s="5" t="s">
        <v>854</v>
      </c>
      <c r="S320" s="5" t="s">
        <v>614</v>
      </c>
      <c r="T320" s="19"/>
      <c r="U320" s="14" t="s">
        <v>856</v>
      </c>
      <c r="V320" s="34" t="s">
        <v>857</v>
      </c>
      <c r="W320" s="14" t="b">
        <v>1</v>
      </c>
      <c r="X320" s="43" t="s">
        <v>409</v>
      </c>
      <c r="Y320" s="14" t="s">
        <v>614</v>
      </c>
      <c r="Z320" s="43" t="s">
        <v>858</v>
      </c>
      <c r="AA320" s="43" t="s">
        <v>858</v>
      </c>
      <c r="AB320" s="43" t="s">
        <v>413</v>
      </c>
      <c r="AC320" s="14"/>
      <c r="AD320" s="14"/>
      <c r="AE320" s="14">
        <v>1</v>
      </c>
      <c r="AF320" s="14" t="s">
        <v>2308</v>
      </c>
      <c r="AG320" s="14"/>
      <c r="AH320" s="14"/>
      <c r="AI320" s="14"/>
      <c r="AJ320" s="14"/>
      <c r="AK320" s="14"/>
      <c r="AL320" s="14"/>
      <c r="AM320" s="14"/>
      <c r="AN320" s="14"/>
      <c r="AO320" s="14"/>
      <c r="AP320" s="14"/>
      <c r="AQ320" s="14"/>
      <c r="AR320" s="14"/>
      <c r="AS320" s="14"/>
      <c r="AT320" s="14"/>
      <c r="AU320" s="14"/>
      <c r="AV320" s="14"/>
      <c r="AW320" s="14"/>
      <c r="AX320" s="14"/>
    </row>
    <row r="321" spans="1:50" ht="17.25" customHeight="1">
      <c r="A321" s="5" t="s">
        <v>986</v>
      </c>
      <c r="B321" s="5" t="s">
        <v>986</v>
      </c>
      <c r="C321" s="5" t="s">
        <v>984</v>
      </c>
      <c r="D321" s="7" t="str">
        <f>CONCATENATE("bossdb://templier/",B321,"/")</f>
        <v>bossdb://templier/Wafer1/</v>
      </c>
      <c r="E321" s="24" t="s">
        <v>2</v>
      </c>
      <c r="F321" s="5" t="s">
        <v>1039</v>
      </c>
      <c r="G321" s="5" t="s">
        <v>1040</v>
      </c>
      <c r="H321" s="24" t="s">
        <v>1</v>
      </c>
      <c r="I321" s="5" t="s">
        <v>987</v>
      </c>
      <c r="J321" s="20"/>
      <c r="K321" s="5" t="s">
        <v>867</v>
      </c>
      <c r="L321" s="5" t="s">
        <v>853</v>
      </c>
      <c r="M321" s="5" t="s">
        <v>985</v>
      </c>
      <c r="N321" s="24" t="s">
        <v>0</v>
      </c>
      <c r="O321" s="24" t="s">
        <v>1</v>
      </c>
      <c r="P321" s="5" t="s">
        <v>848</v>
      </c>
      <c r="Q321" s="24" t="s">
        <v>848</v>
      </c>
      <c r="R321" s="5" t="s">
        <v>854</v>
      </c>
      <c r="S321" s="5" t="s">
        <v>614</v>
      </c>
      <c r="T321" s="19"/>
      <c r="U321" s="14" t="s">
        <v>856</v>
      </c>
      <c r="V321" s="34" t="s">
        <v>857</v>
      </c>
      <c r="W321" s="14" t="b">
        <v>1</v>
      </c>
      <c r="X321" s="43" t="s">
        <v>409</v>
      </c>
      <c r="Y321" s="14" t="s">
        <v>614</v>
      </c>
      <c r="Z321" s="43" t="s">
        <v>858</v>
      </c>
      <c r="AA321" s="43" t="s">
        <v>858</v>
      </c>
      <c r="AB321" s="43" t="s">
        <v>413</v>
      </c>
      <c r="AC321" s="14"/>
      <c r="AD321" s="14"/>
      <c r="AE321" s="14">
        <v>1</v>
      </c>
      <c r="AF321" s="14" t="s">
        <v>2308</v>
      </c>
      <c r="AG321" s="14"/>
      <c r="AH321" s="14"/>
      <c r="AI321" s="14"/>
      <c r="AJ321" s="14"/>
      <c r="AK321" s="14"/>
      <c r="AL321" s="14"/>
      <c r="AM321" s="14"/>
      <c r="AN321" s="14"/>
      <c r="AO321" s="14"/>
      <c r="AP321" s="14"/>
      <c r="AQ321" s="14"/>
      <c r="AR321" s="14"/>
      <c r="AS321" s="14"/>
      <c r="AT321" s="14"/>
      <c r="AU321" s="14"/>
      <c r="AV321" s="14"/>
      <c r="AW321" s="14"/>
      <c r="AX321" s="14"/>
    </row>
    <row r="322" spans="1:50" ht="17.25" customHeight="1">
      <c r="A322" s="5" t="s">
        <v>988</v>
      </c>
      <c r="B322" s="5" t="s">
        <v>988</v>
      </c>
      <c r="C322" s="5" t="s">
        <v>987</v>
      </c>
      <c r="D322" s="7" t="str">
        <f>CONCATENATE("bossdb://templier/",B322,"/")</f>
        <v>bossdb://templier/Wafer3/</v>
      </c>
      <c r="E322" s="24" t="s">
        <v>2</v>
      </c>
      <c r="F322" s="5" t="s">
        <v>1039</v>
      </c>
      <c r="G322" s="5" t="s">
        <v>1040</v>
      </c>
      <c r="H322" s="24" t="s">
        <v>1</v>
      </c>
      <c r="I322" s="5" t="s">
        <v>989</v>
      </c>
      <c r="J322" s="20"/>
      <c r="K322" s="5" t="s">
        <v>867</v>
      </c>
      <c r="L322" s="5" t="s">
        <v>853</v>
      </c>
      <c r="M322" s="5" t="s">
        <v>985</v>
      </c>
      <c r="N322" s="24" t="s">
        <v>0</v>
      </c>
      <c r="O322" s="24" t="s">
        <v>1</v>
      </c>
      <c r="P322" s="5" t="s">
        <v>848</v>
      </c>
      <c r="Q322" s="24" t="s">
        <v>848</v>
      </c>
      <c r="R322" s="5" t="s">
        <v>854</v>
      </c>
      <c r="S322" s="5" t="s">
        <v>614</v>
      </c>
      <c r="T322" s="19"/>
      <c r="U322" s="14" t="s">
        <v>856</v>
      </c>
      <c r="V322" s="34" t="s">
        <v>857</v>
      </c>
      <c r="W322" s="14" t="b">
        <v>1</v>
      </c>
      <c r="X322" s="43" t="s">
        <v>409</v>
      </c>
      <c r="Y322" s="14" t="s">
        <v>614</v>
      </c>
      <c r="Z322" s="43" t="s">
        <v>858</v>
      </c>
      <c r="AA322" s="43" t="s">
        <v>858</v>
      </c>
      <c r="AB322" s="43" t="s">
        <v>413</v>
      </c>
      <c r="AC322" s="14"/>
      <c r="AD322" s="14"/>
      <c r="AE322" s="14">
        <v>1</v>
      </c>
      <c r="AF322" s="14" t="s">
        <v>2308</v>
      </c>
      <c r="AG322" s="14"/>
      <c r="AH322" s="14"/>
      <c r="AI322" s="14"/>
      <c r="AJ322" s="14"/>
      <c r="AK322" s="14"/>
      <c r="AL322" s="14"/>
      <c r="AM322" s="14"/>
      <c r="AN322" s="14"/>
      <c r="AO322" s="14"/>
      <c r="AP322" s="14"/>
      <c r="AQ322" s="14"/>
      <c r="AR322" s="14"/>
      <c r="AS322" s="14"/>
      <c r="AT322" s="14"/>
      <c r="AU322" s="14"/>
      <c r="AV322" s="14"/>
      <c r="AW322" s="14"/>
      <c r="AX322" s="14"/>
    </row>
    <row r="323" spans="1:50" ht="17.25" customHeight="1">
      <c r="A323" s="5" t="s">
        <v>991</v>
      </c>
      <c r="B323" s="5" t="s">
        <v>991</v>
      </c>
      <c r="C323" s="5" t="s">
        <v>989</v>
      </c>
      <c r="D323" s="7" t="str">
        <f>CONCATENATE("bossdb://wilson2019/",B323,"/")</f>
        <v>bossdb://wilson2019/P3/</v>
      </c>
      <c r="E323" s="24" t="s">
        <v>2</v>
      </c>
      <c r="F323" s="5" t="s">
        <v>864</v>
      </c>
      <c r="G323" s="5" t="s">
        <v>865</v>
      </c>
      <c r="H323" s="24" t="s">
        <v>1</v>
      </c>
      <c r="I323" s="5" t="s">
        <v>992</v>
      </c>
      <c r="J323" s="20"/>
      <c r="K323" s="5" t="s">
        <v>852</v>
      </c>
      <c r="L323" s="5" t="s">
        <v>853</v>
      </c>
      <c r="M323" s="5" t="s">
        <v>982</v>
      </c>
      <c r="N323" s="24" t="s">
        <v>0</v>
      </c>
      <c r="O323" s="24" t="s">
        <v>1</v>
      </c>
      <c r="P323" s="5" t="s">
        <v>848</v>
      </c>
      <c r="Q323" s="24" t="s">
        <v>848</v>
      </c>
      <c r="R323" s="5" t="s">
        <v>854</v>
      </c>
      <c r="S323" s="5" t="s">
        <v>993</v>
      </c>
      <c r="T323" s="19"/>
      <c r="U323" s="14" t="s">
        <v>856</v>
      </c>
      <c r="V323" s="34" t="s">
        <v>857</v>
      </c>
      <c r="W323" s="14" t="b">
        <v>1</v>
      </c>
      <c r="X323" s="43" t="s">
        <v>409</v>
      </c>
      <c r="Y323" s="14" t="s">
        <v>647</v>
      </c>
      <c r="Z323" s="43" t="s">
        <v>858</v>
      </c>
      <c r="AA323" s="43" t="s">
        <v>858</v>
      </c>
      <c r="AB323" s="43" t="s">
        <v>413</v>
      </c>
      <c r="AC323" s="14"/>
      <c r="AD323" s="14"/>
      <c r="AE323" s="14">
        <v>1</v>
      </c>
      <c r="AF323" s="14" t="s">
        <v>2212</v>
      </c>
      <c r="AG323" s="14"/>
      <c r="AH323" s="14"/>
      <c r="AI323" s="14"/>
      <c r="AJ323" s="14"/>
      <c r="AK323" s="14"/>
      <c r="AL323" s="14"/>
      <c r="AM323" s="14"/>
      <c r="AN323" s="14"/>
      <c r="AO323" s="14"/>
      <c r="AP323" s="14"/>
      <c r="AQ323" s="14"/>
      <c r="AR323" s="14"/>
      <c r="AS323" s="14"/>
      <c r="AT323" s="14"/>
      <c r="AU323" s="14"/>
      <c r="AV323" s="14"/>
      <c r="AW323" s="14"/>
      <c r="AX323" s="14"/>
    </row>
    <row r="324" spans="1:50" ht="17.25" customHeight="1">
      <c r="A324" s="5" t="s">
        <v>994</v>
      </c>
      <c r="B324" s="5" t="s">
        <v>994</v>
      </c>
      <c r="C324" s="5" t="s">
        <v>992</v>
      </c>
      <c r="D324" s="7" t="str">
        <f>CONCATENATE("bossdb://wilson2019/",B324,"/")</f>
        <v>bossdb://wilson2019/P7/</v>
      </c>
      <c r="E324" s="24" t="s">
        <v>2</v>
      </c>
      <c r="F324" s="5" t="s">
        <v>864</v>
      </c>
      <c r="G324" s="5" t="s">
        <v>865</v>
      </c>
      <c r="H324" s="24" t="s">
        <v>1</v>
      </c>
      <c r="I324" s="5" t="s">
        <v>995</v>
      </c>
      <c r="J324" s="20"/>
      <c r="K324" s="5" t="s">
        <v>996</v>
      </c>
      <c r="L324" s="5" t="s">
        <v>853</v>
      </c>
      <c r="M324" s="5" t="s">
        <v>982</v>
      </c>
      <c r="N324" s="24" t="s">
        <v>0</v>
      </c>
      <c r="O324" s="24" t="s">
        <v>1</v>
      </c>
      <c r="P324" s="5" t="s">
        <v>848</v>
      </c>
      <c r="Q324" s="24" t="s">
        <v>848</v>
      </c>
      <c r="R324" s="5" t="s">
        <v>854</v>
      </c>
      <c r="S324" s="5" t="s">
        <v>993</v>
      </c>
      <c r="T324" s="19"/>
      <c r="U324" s="14" t="s">
        <v>856</v>
      </c>
      <c r="V324" s="34" t="s">
        <v>857</v>
      </c>
      <c r="W324" s="14" t="b">
        <v>1</v>
      </c>
      <c r="X324" s="43" t="s">
        <v>409</v>
      </c>
      <c r="Y324" s="14" t="s">
        <v>647</v>
      </c>
      <c r="Z324" s="43" t="s">
        <v>858</v>
      </c>
      <c r="AA324" s="43" t="s">
        <v>858</v>
      </c>
      <c r="AB324" s="43" t="s">
        <v>413</v>
      </c>
      <c r="AC324" s="14"/>
      <c r="AD324" s="14"/>
      <c r="AE324" s="14">
        <v>1</v>
      </c>
      <c r="AF324" s="14" t="s">
        <v>2212</v>
      </c>
      <c r="AG324" s="14"/>
      <c r="AH324" s="14"/>
      <c r="AI324" s="14"/>
      <c r="AJ324" s="14"/>
      <c r="AK324" s="14"/>
      <c r="AL324" s="14"/>
      <c r="AM324" s="14"/>
      <c r="AN324" s="14"/>
      <c r="AO324" s="14"/>
      <c r="AP324" s="14"/>
      <c r="AQ324" s="14"/>
      <c r="AR324" s="14"/>
      <c r="AS324" s="14"/>
      <c r="AT324" s="14"/>
      <c r="AU324" s="14"/>
      <c r="AV324" s="14"/>
      <c r="AW324" s="14"/>
      <c r="AX324" s="14"/>
    </row>
    <row r="325" spans="1:50" ht="17.25" customHeight="1">
      <c r="A325" s="5" t="s">
        <v>998</v>
      </c>
      <c r="B325" s="5" t="s">
        <v>998</v>
      </c>
      <c r="C325" s="5" t="s">
        <v>995</v>
      </c>
      <c r="D325" s="7" t="str">
        <f>CONCATENATE("bossdb://ABagemouse/",B325,"/")</f>
        <v>bossdb://ABagemouse/dentateECcagGFP3/</v>
      </c>
      <c r="E325" s="24" t="s">
        <v>2</v>
      </c>
      <c r="F325" s="5" t="s">
        <v>864</v>
      </c>
      <c r="G325" s="5" t="s">
        <v>865</v>
      </c>
      <c r="H325" s="24" t="s">
        <v>1</v>
      </c>
      <c r="I325" s="5" t="s">
        <v>999</v>
      </c>
      <c r="J325" s="20"/>
      <c r="K325" s="5" t="s">
        <v>852</v>
      </c>
      <c r="L325" s="5" t="s">
        <v>853</v>
      </c>
      <c r="M325" s="5"/>
      <c r="N325" s="24" t="s">
        <v>0</v>
      </c>
      <c r="O325" s="24" t="s">
        <v>1</v>
      </c>
      <c r="P325" s="5" t="s">
        <v>848</v>
      </c>
      <c r="Q325" s="24" t="s">
        <v>848</v>
      </c>
      <c r="R325" s="5" t="s">
        <v>854</v>
      </c>
      <c r="S325" s="5" t="s">
        <v>1000</v>
      </c>
      <c r="T325" s="19"/>
      <c r="U325" s="14" t="s">
        <v>856</v>
      </c>
      <c r="V325" s="34" t="s">
        <v>857</v>
      </c>
      <c r="W325" s="14" t="b">
        <v>1</v>
      </c>
      <c r="X325" s="43" t="s">
        <v>409</v>
      </c>
      <c r="Y325" s="14" t="s">
        <v>2279</v>
      </c>
      <c r="Z325" s="43" t="s">
        <v>858</v>
      </c>
      <c r="AA325" s="43" t="s">
        <v>858</v>
      </c>
      <c r="AB325" s="43" t="s">
        <v>413</v>
      </c>
      <c r="AC325" s="14"/>
      <c r="AD325" s="14"/>
      <c r="AE325" s="14">
        <v>1</v>
      </c>
      <c r="AF325" s="14" t="s">
        <v>2196</v>
      </c>
      <c r="AG325" s="14"/>
      <c r="AH325" s="14"/>
      <c r="AI325" s="14"/>
      <c r="AJ325" s="14"/>
      <c r="AK325" s="14"/>
      <c r="AL325" s="14"/>
      <c r="AM325" s="14"/>
      <c r="AN325" s="14"/>
      <c r="AO325" s="14"/>
      <c r="AP325" s="14"/>
      <c r="AQ325" s="14"/>
      <c r="AR325" s="14"/>
      <c r="AS325" s="14"/>
      <c r="AT325" s="14"/>
      <c r="AU325" s="14"/>
      <c r="AV325" s="14"/>
      <c r="AW325" s="14"/>
      <c r="AX325" s="14"/>
    </row>
    <row r="326" spans="1:50" ht="17.25" customHeight="1">
      <c r="A326" s="5" t="s">
        <v>1002</v>
      </c>
      <c r="B326" s="5" t="s">
        <v>1002</v>
      </c>
      <c r="C326" s="5" t="s">
        <v>999</v>
      </c>
      <c r="D326" s="7" t="str">
        <f>CONCATENATE("bossdb://bloss/",B326,"/")</f>
        <v>bossdb://bloss/bloss16/</v>
      </c>
      <c r="E326" s="24" t="s">
        <v>2</v>
      </c>
      <c r="F326" s="5" t="s">
        <v>864</v>
      </c>
      <c r="G326" s="5" t="s">
        <v>865</v>
      </c>
      <c r="H326" s="24" t="s">
        <v>1</v>
      </c>
      <c r="I326" s="5" t="s">
        <v>1003</v>
      </c>
      <c r="J326" s="21" t="s">
        <v>2037</v>
      </c>
      <c r="K326" s="5" t="s">
        <v>867</v>
      </c>
      <c r="L326" s="5" t="s">
        <v>853</v>
      </c>
      <c r="M326" s="5" t="s">
        <v>890</v>
      </c>
      <c r="N326" s="24" t="s">
        <v>0</v>
      </c>
      <c r="O326" s="24" t="s">
        <v>1</v>
      </c>
      <c r="P326" s="5" t="s">
        <v>848</v>
      </c>
      <c r="Q326" s="24" t="s">
        <v>848</v>
      </c>
      <c r="R326" s="5" t="s">
        <v>854</v>
      </c>
      <c r="S326" s="5" t="s">
        <v>1004</v>
      </c>
      <c r="T326" s="19"/>
      <c r="U326" s="14" t="s">
        <v>856</v>
      </c>
      <c r="V326" s="34" t="s">
        <v>857</v>
      </c>
      <c r="W326" s="14" t="b">
        <v>1</v>
      </c>
      <c r="X326" s="43" t="s">
        <v>409</v>
      </c>
      <c r="Y326" s="14" t="s">
        <v>655</v>
      </c>
      <c r="Z326" s="43" t="s">
        <v>858</v>
      </c>
      <c r="AA326" s="43" t="s">
        <v>858</v>
      </c>
      <c r="AB326" s="43" t="s">
        <v>413</v>
      </c>
      <c r="AC326" s="14"/>
      <c r="AD326" s="14"/>
      <c r="AE326" s="14">
        <v>1</v>
      </c>
      <c r="AF326" s="14" t="s">
        <v>2306</v>
      </c>
      <c r="AG326" s="14"/>
      <c r="AH326" s="14"/>
      <c r="AI326" s="14"/>
      <c r="AJ326" s="14"/>
      <c r="AK326" s="14"/>
      <c r="AL326" s="14"/>
      <c r="AM326" s="14"/>
      <c r="AN326" s="14"/>
      <c r="AO326" s="14"/>
      <c r="AP326" s="14"/>
      <c r="AQ326" s="14"/>
      <c r="AR326" s="14"/>
      <c r="AS326" s="14"/>
      <c r="AT326" s="14"/>
      <c r="AU326" s="14"/>
      <c r="AV326" s="14"/>
      <c r="AW326" s="14"/>
      <c r="AX326" s="14"/>
    </row>
    <row r="327" spans="1:50" ht="17.25" customHeight="1">
      <c r="A327" s="5" t="s">
        <v>1005</v>
      </c>
      <c r="B327" s="5" t="s">
        <v>1005</v>
      </c>
      <c r="C327" s="5" t="s">
        <v>1003</v>
      </c>
      <c r="D327" s="7" t="str">
        <f>CONCATENATE("bossdb://bloss/",B327,"/")</f>
        <v>bossdb://bloss/bloss18/</v>
      </c>
      <c r="E327" s="24" t="s">
        <v>2</v>
      </c>
      <c r="F327" s="5" t="s">
        <v>864</v>
      </c>
      <c r="G327" s="5" t="s">
        <v>865</v>
      </c>
      <c r="H327" s="24" t="s">
        <v>1</v>
      </c>
      <c r="I327" s="5" t="s">
        <v>1006</v>
      </c>
      <c r="J327" s="21" t="s">
        <v>2037</v>
      </c>
      <c r="K327" s="5" t="s">
        <v>867</v>
      </c>
      <c r="L327" s="5" t="s">
        <v>853</v>
      </c>
      <c r="M327" s="5" t="s">
        <v>890</v>
      </c>
      <c r="N327" s="24" t="s">
        <v>0</v>
      </c>
      <c r="O327" s="24" t="s">
        <v>1</v>
      </c>
      <c r="P327" s="5" t="s">
        <v>848</v>
      </c>
      <c r="Q327" s="24" t="s">
        <v>848</v>
      </c>
      <c r="R327" s="5" t="s">
        <v>854</v>
      </c>
      <c r="S327" s="5" t="s">
        <v>1004</v>
      </c>
      <c r="T327" s="14" t="s">
        <v>1007</v>
      </c>
      <c r="U327" s="14" t="s">
        <v>856</v>
      </c>
      <c r="V327" s="34" t="s">
        <v>857</v>
      </c>
      <c r="W327" s="14" t="b">
        <v>1</v>
      </c>
      <c r="X327" s="43" t="s">
        <v>409</v>
      </c>
      <c r="Y327" s="14" t="s">
        <v>655</v>
      </c>
      <c r="Z327" s="43" t="s">
        <v>858</v>
      </c>
      <c r="AA327" s="43" t="s">
        <v>858</v>
      </c>
      <c r="AB327" s="43" t="s">
        <v>413</v>
      </c>
      <c r="AC327" s="14"/>
      <c r="AD327" s="14"/>
      <c r="AE327" s="14">
        <v>1</v>
      </c>
      <c r="AF327" s="14" t="s">
        <v>2306</v>
      </c>
      <c r="AG327" s="14"/>
      <c r="AH327" s="14"/>
      <c r="AI327" s="14"/>
      <c r="AJ327" s="14"/>
      <c r="AK327" s="14"/>
      <c r="AL327" s="14"/>
      <c r="AM327" s="14"/>
      <c r="AN327" s="14"/>
      <c r="AO327" s="14"/>
      <c r="AP327" s="14"/>
      <c r="AQ327" s="14"/>
      <c r="AR327" s="14"/>
      <c r="AS327" s="14"/>
      <c r="AT327" s="14"/>
      <c r="AU327" s="14"/>
      <c r="AV327" s="14"/>
      <c r="AW327" s="14"/>
      <c r="AX327" s="14"/>
    </row>
    <row r="328" spans="1:50" ht="17.25" customHeight="1">
      <c r="A328" s="5" t="s">
        <v>1008</v>
      </c>
      <c r="B328" s="5" t="s">
        <v>1008</v>
      </c>
      <c r="C328" s="5" t="s">
        <v>1006</v>
      </c>
      <c r="D328" s="7" t="str">
        <f>CONCATENATE("bossdb://gerhard2017/",B328,"/")</f>
        <v>bossdb://gerhard2017/drosophilia_melanogaster_third_instar_larva/</v>
      </c>
      <c r="E328" s="24" t="s">
        <v>2</v>
      </c>
      <c r="F328" s="5" t="s">
        <v>887</v>
      </c>
      <c r="G328" s="5" t="s">
        <v>888</v>
      </c>
      <c r="H328" s="24" t="s">
        <v>1</v>
      </c>
      <c r="I328" s="5" t="s">
        <v>1009</v>
      </c>
      <c r="J328" s="21" t="s">
        <v>2038</v>
      </c>
      <c r="K328" s="5" t="s">
        <v>956</v>
      </c>
      <c r="L328" s="5" t="s">
        <v>853</v>
      </c>
      <c r="M328" s="5" t="s">
        <v>890</v>
      </c>
      <c r="N328" s="24" t="s">
        <v>0</v>
      </c>
      <c r="O328" s="24" t="s">
        <v>1</v>
      </c>
      <c r="P328" s="5" t="s">
        <v>848</v>
      </c>
      <c r="Q328" s="24" t="s">
        <v>848</v>
      </c>
      <c r="R328" s="5" t="s">
        <v>854</v>
      </c>
      <c r="S328" s="14"/>
      <c r="T328" s="19"/>
      <c r="U328" s="5" t="s">
        <v>856</v>
      </c>
      <c r="V328" s="34" t="s">
        <v>857</v>
      </c>
      <c r="W328" s="14" t="b">
        <v>1</v>
      </c>
      <c r="X328" s="43" t="s">
        <v>409</v>
      </c>
      <c r="Y328" s="14" t="s">
        <v>665</v>
      </c>
      <c r="Z328" s="43" t="s">
        <v>858</v>
      </c>
      <c r="AA328" s="43" t="s">
        <v>858</v>
      </c>
      <c r="AB328" s="43" t="s">
        <v>413</v>
      </c>
      <c r="AC328" s="14"/>
      <c r="AD328" s="14"/>
      <c r="AE328" s="14">
        <v>1</v>
      </c>
      <c r="AF328" s="14" t="s">
        <v>406</v>
      </c>
      <c r="AG328" s="14"/>
      <c r="AH328" s="14"/>
      <c r="AI328" s="14"/>
      <c r="AJ328" s="14"/>
      <c r="AK328" s="14"/>
      <c r="AL328" s="14"/>
      <c r="AM328" s="14"/>
      <c r="AN328" s="14"/>
      <c r="AO328" s="14"/>
      <c r="AP328" s="14"/>
      <c r="AQ328" s="14"/>
      <c r="AR328" s="14"/>
      <c r="AS328" s="14"/>
      <c r="AT328" s="14"/>
      <c r="AU328" s="14"/>
      <c r="AV328" s="14"/>
      <c r="AW328" s="14"/>
      <c r="AX328" s="14"/>
    </row>
    <row r="329" spans="1:50" ht="17.25" customHeight="1">
      <c r="A329" s="12" t="s">
        <v>668</v>
      </c>
      <c r="B329" s="12" t="s">
        <v>668</v>
      </c>
      <c r="C329" s="5" t="s">
        <v>670</v>
      </c>
      <c r="D329" s="7" t="s">
        <v>1011</v>
      </c>
      <c r="E329" s="24" t="s">
        <v>2</v>
      </c>
      <c r="F329" s="5" t="s">
        <v>1013</v>
      </c>
      <c r="G329" s="5" t="s">
        <v>865</v>
      </c>
      <c r="H329" s="24" t="s">
        <v>1</v>
      </c>
      <c r="I329" s="5" t="s">
        <v>854</v>
      </c>
      <c r="J329" s="5" t="s">
        <v>1014</v>
      </c>
      <c r="K329" s="5" t="s">
        <v>956</v>
      </c>
      <c r="L329" s="5" t="s">
        <v>1015</v>
      </c>
      <c r="M329" s="5" t="s">
        <v>1016</v>
      </c>
      <c r="N329" s="24" t="s">
        <v>0</v>
      </c>
      <c r="O329" s="24" t="s">
        <v>1</v>
      </c>
      <c r="P329" s="5" t="s">
        <v>1012</v>
      </c>
      <c r="Q329" s="24" t="s">
        <v>848</v>
      </c>
      <c r="R329" s="5" t="s">
        <v>854</v>
      </c>
      <c r="S329" s="5" t="s">
        <v>1017</v>
      </c>
      <c r="T329" s="5" t="s">
        <v>1016</v>
      </c>
      <c r="U329" s="5" t="s">
        <v>856</v>
      </c>
      <c r="V329" s="5" t="s">
        <v>759</v>
      </c>
      <c r="W329" s="14" t="b">
        <v>1</v>
      </c>
      <c r="X329" s="81" t="s">
        <v>2424</v>
      </c>
      <c r="Y329" s="81" t="s">
        <v>2280</v>
      </c>
      <c r="Z329" s="82">
        <v>2017</v>
      </c>
      <c r="AA329" s="81" t="s">
        <v>858</v>
      </c>
      <c r="AB329" s="81" t="s">
        <v>413</v>
      </c>
      <c r="AE329" s="10">
        <v>1</v>
      </c>
      <c r="AF329" s="83" t="s">
        <v>669</v>
      </c>
      <c r="AG329" s="14"/>
      <c r="AH329" s="14"/>
      <c r="AI329" s="14"/>
      <c r="AJ329" s="14"/>
      <c r="AK329" s="14"/>
      <c r="AL329" s="14"/>
      <c r="AM329" s="14"/>
      <c r="AN329" s="14"/>
      <c r="AO329" s="14"/>
      <c r="AP329" s="14"/>
      <c r="AQ329" s="14"/>
      <c r="AR329" s="14"/>
      <c r="AS329" s="14"/>
      <c r="AT329" s="14"/>
      <c r="AU329" s="14"/>
      <c r="AV329" s="14"/>
      <c r="AW329" s="14"/>
      <c r="AX329" s="14"/>
    </row>
    <row r="330" spans="1:50" ht="17.25" customHeight="1">
      <c r="A330" s="12" t="s">
        <v>668</v>
      </c>
      <c r="B330" s="12" t="s">
        <v>668</v>
      </c>
      <c r="C330" s="5" t="s">
        <v>670</v>
      </c>
      <c r="D330" s="7" t="s">
        <v>1018</v>
      </c>
      <c r="E330" s="24" t="s">
        <v>2</v>
      </c>
      <c r="F330" s="5" t="s">
        <v>1013</v>
      </c>
      <c r="G330" s="5" t="s">
        <v>865</v>
      </c>
      <c r="H330" s="24" t="s">
        <v>1</v>
      </c>
      <c r="I330" s="5" t="s">
        <v>854</v>
      </c>
      <c r="J330" s="5" t="s">
        <v>1014</v>
      </c>
      <c r="K330" s="5" t="s">
        <v>956</v>
      </c>
      <c r="L330" s="5" t="s">
        <v>1015</v>
      </c>
      <c r="M330" s="5" t="s">
        <v>1016</v>
      </c>
      <c r="N330" s="24" t="s">
        <v>0</v>
      </c>
      <c r="O330" s="24" t="s">
        <v>1</v>
      </c>
      <c r="P330" s="5" t="s">
        <v>1012</v>
      </c>
      <c r="Q330" s="24" t="s">
        <v>848</v>
      </c>
      <c r="R330" s="5" t="s">
        <v>854</v>
      </c>
      <c r="S330" s="5" t="s">
        <v>1017</v>
      </c>
      <c r="T330" s="5" t="s">
        <v>1016</v>
      </c>
      <c r="U330" s="5" t="s">
        <v>856</v>
      </c>
      <c r="V330" s="5" t="s">
        <v>759</v>
      </c>
      <c r="W330" s="14" t="b">
        <v>1</v>
      </c>
      <c r="X330" s="81" t="s">
        <v>2424</v>
      </c>
      <c r="Y330" s="81" t="s">
        <v>2280</v>
      </c>
      <c r="Z330" s="82">
        <v>2017</v>
      </c>
      <c r="AA330" s="81" t="s">
        <v>858</v>
      </c>
      <c r="AB330" s="81" t="s">
        <v>413</v>
      </c>
      <c r="AE330" s="10">
        <v>1</v>
      </c>
      <c r="AF330" s="83" t="s">
        <v>674</v>
      </c>
      <c r="AG330" s="14"/>
      <c r="AH330" s="14"/>
      <c r="AI330" s="14"/>
      <c r="AJ330" s="14"/>
      <c r="AK330" s="14"/>
      <c r="AL330" s="14"/>
      <c r="AM330" s="14"/>
      <c r="AN330" s="14"/>
      <c r="AO330" s="14"/>
      <c r="AP330" s="14"/>
      <c r="AQ330" s="14"/>
      <c r="AR330" s="14"/>
      <c r="AS330" s="14"/>
      <c r="AT330" s="14"/>
      <c r="AU330" s="14"/>
      <c r="AV330" s="14"/>
      <c r="AW330" s="14"/>
      <c r="AX330" s="14"/>
    </row>
    <row r="331" spans="1:50" ht="17.25" customHeight="1">
      <c r="A331" s="12" t="s">
        <v>668</v>
      </c>
      <c r="B331" s="12" t="s">
        <v>668</v>
      </c>
      <c r="C331" s="5" t="s">
        <v>670</v>
      </c>
      <c r="D331" s="7" t="s">
        <v>1019</v>
      </c>
      <c r="E331" s="24" t="s">
        <v>2</v>
      </c>
      <c r="F331" s="5" t="s">
        <v>1013</v>
      </c>
      <c r="G331" s="5" t="s">
        <v>865</v>
      </c>
      <c r="H331" s="24" t="s">
        <v>1</v>
      </c>
      <c r="I331" s="5" t="s">
        <v>854</v>
      </c>
      <c r="J331" s="5" t="s">
        <v>1014</v>
      </c>
      <c r="K331" s="5" t="s">
        <v>956</v>
      </c>
      <c r="L331" s="5" t="s">
        <v>1015</v>
      </c>
      <c r="M331" s="5" t="s">
        <v>1016</v>
      </c>
      <c r="N331" s="24" t="s">
        <v>0</v>
      </c>
      <c r="O331" s="24" t="s">
        <v>1</v>
      </c>
      <c r="P331" s="5" t="s">
        <v>1012</v>
      </c>
      <c r="Q331" s="24" t="s">
        <v>848</v>
      </c>
      <c r="R331" s="5" t="s">
        <v>854</v>
      </c>
      <c r="S331" s="5" t="s">
        <v>1017</v>
      </c>
      <c r="T331" s="5" t="s">
        <v>1016</v>
      </c>
      <c r="U331" s="5" t="s">
        <v>856</v>
      </c>
      <c r="V331" s="5" t="s">
        <v>759</v>
      </c>
      <c r="W331" s="14" t="b">
        <v>1</v>
      </c>
      <c r="X331" s="81" t="s">
        <v>2424</v>
      </c>
      <c r="Y331" s="81" t="s">
        <v>2280</v>
      </c>
      <c r="Z331" s="82">
        <v>2017</v>
      </c>
      <c r="AA331" s="81" t="s">
        <v>858</v>
      </c>
      <c r="AB331" s="81" t="s">
        <v>413</v>
      </c>
      <c r="AE331" s="10">
        <v>1</v>
      </c>
      <c r="AF331" s="83" t="s">
        <v>675</v>
      </c>
      <c r="AG331" s="14"/>
      <c r="AH331" s="14"/>
      <c r="AI331" s="14"/>
      <c r="AJ331" s="14"/>
      <c r="AK331" s="14"/>
      <c r="AL331" s="14"/>
      <c r="AM331" s="14"/>
      <c r="AN331" s="14"/>
      <c r="AO331" s="14"/>
      <c r="AP331" s="14"/>
      <c r="AQ331" s="14"/>
      <c r="AR331" s="14"/>
      <c r="AS331" s="14"/>
      <c r="AT331" s="14"/>
      <c r="AU331" s="14"/>
      <c r="AV331" s="14"/>
      <c r="AW331" s="14"/>
      <c r="AX331" s="14"/>
    </row>
    <row r="332" spans="1:50" ht="17.25" customHeight="1">
      <c r="A332" s="5" t="s">
        <v>676</v>
      </c>
      <c r="B332" s="5" t="s">
        <v>676</v>
      </c>
      <c r="C332" s="5" t="s">
        <v>678</v>
      </c>
      <c r="D332" s="7" t="s">
        <v>1021</v>
      </c>
      <c r="E332" s="24" t="s">
        <v>2</v>
      </c>
      <c r="F332" s="5" t="s">
        <v>1013</v>
      </c>
      <c r="G332" s="5" t="s">
        <v>865</v>
      </c>
      <c r="H332" s="24" t="s">
        <v>1</v>
      </c>
      <c r="I332" s="5" t="s">
        <v>854</v>
      </c>
      <c r="J332" s="5" t="s">
        <v>1022</v>
      </c>
      <c r="K332" s="5" t="s">
        <v>867</v>
      </c>
      <c r="L332" s="5" t="s">
        <v>1015</v>
      </c>
      <c r="M332" s="5" t="s">
        <v>1023</v>
      </c>
      <c r="N332" s="24" t="s">
        <v>0</v>
      </c>
      <c r="O332" s="24" t="s">
        <v>1</v>
      </c>
      <c r="P332" s="5" t="s">
        <v>1012</v>
      </c>
      <c r="Q332" s="24" t="s">
        <v>848</v>
      </c>
      <c r="R332" s="5" t="s">
        <v>854</v>
      </c>
      <c r="S332" s="5" t="s">
        <v>1024</v>
      </c>
      <c r="T332" s="5" t="s">
        <v>1023</v>
      </c>
      <c r="U332" s="5" t="s">
        <v>856</v>
      </c>
      <c r="V332" s="5" t="s">
        <v>759</v>
      </c>
      <c r="W332" s="14" t="b">
        <v>1</v>
      </c>
      <c r="X332" s="81" t="s">
        <v>1024</v>
      </c>
      <c r="Y332" s="81" t="s">
        <v>2281</v>
      </c>
      <c r="Z332" s="82">
        <v>2017</v>
      </c>
      <c r="AA332" s="81" t="s">
        <v>858</v>
      </c>
      <c r="AB332" s="81" t="s">
        <v>413</v>
      </c>
      <c r="AE332" s="10">
        <v>1</v>
      </c>
      <c r="AF332" s="83" t="s">
        <v>677</v>
      </c>
      <c r="AG332" s="14"/>
      <c r="AH332" s="14"/>
      <c r="AI332" s="14"/>
      <c r="AJ332" s="14"/>
      <c r="AK332" s="14"/>
      <c r="AL332" s="14"/>
      <c r="AM332" s="14"/>
      <c r="AN332" s="14"/>
      <c r="AO332" s="14"/>
      <c r="AP332" s="14"/>
      <c r="AQ332" s="14"/>
      <c r="AR332" s="14"/>
      <c r="AS332" s="14"/>
      <c r="AT332" s="14"/>
      <c r="AU332" s="14"/>
      <c r="AV332" s="14"/>
      <c r="AW332" s="14"/>
      <c r="AX332" s="14"/>
    </row>
    <row r="333" spans="1:50" ht="17.25" customHeight="1">
      <c r="A333" s="5" t="s">
        <v>676</v>
      </c>
      <c r="B333" s="5" t="s">
        <v>676</v>
      </c>
      <c r="C333" s="5" t="s">
        <v>678</v>
      </c>
      <c r="D333" s="7" t="s">
        <v>1025</v>
      </c>
      <c r="E333" s="24" t="s">
        <v>2</v>
      </c>
      <c r="F333" s="5" t="s">
        <v>1013</v>
      </c>
      <c r="G333" s="5" t="s">
        <v>865</v>
      </c>
      <c r="H333" s="24" t="s">
        <v>1</v>
      </c>
      <c r="I333" s="5" t="s">
        <v>854</v>
      </c>
      <c r="J333" s="5" t="s">
        <v>1022</v>
      </c>
      <c r="K333" s="5" t="s">
        <v>867</v>
      </c>
      <c r="L333" s="5" t="s">
        <v>1015</v>
      </c>
      <c r="M333" s="5" t="s">
        <v>1023</v>
      </c>
      <c r="N333" s="24" t="s">
        <v>0</v>
      </c>
      <c r="O333" s="24" t="s">
        <v>1</v>
      </c>
      <c r="P333" s="5" t="s">
        <v>1012</v>
      </c>
      <c r="Q333" s="24" t="s">
        <v>848</v>
      </c>
      <c r="R333" s="5" t="s">
        <v>854</v>
      </c>
      <c r="S333" s="5" t="s">
        <v>1024</v>
      </c>
      <c r="T333" s="5" t="s">
        <v>1023</v>
      </c>
      <c r="U333" s="5" t="s">
        <v>856</v>
      </c>
      <c r="V333" s="5" t="s">
        <v>759</v>
      </c>
      <c r="W333" s="14" t="b">
        <v>1</v>
      </c>
      <c r="X333" s="81" t="s">
        <v>1024</v>
      </c>
      <c r="Y333" s="81" t="s">
        <v>2281</v>
      </c>
      <c r="Z333" s="82">
        <v>2017</v>
      </c>
      <c r="AA333" s="81" t="s">
        <v>858</v>
      </c>
      <c r="AB333" s="81" t="s">
        <v>413</v>
      </c>
      <c r="AE333" s="10">
        <v>1</v>
      </c>
      <c r="AF333" s="83" t="s">
        <v>680</v>
      </c>
      <c r="AG333" s="14"/>
      <c r="AH333" s="14"/>
      <c r="AI333" s="14"/>
      <c r="AJ333" s="14"/>
      <c r="AK333" s="14"/>
      <c r="AL333" s="14"/>
      <c r="AM333" s="14"/>
      <c r="AN333" s="14"/>
      <c r="AO333" s="14"/>
      <c r="AP333" s="14"/>
      <c r="AQ333" s="14"/>
      <c r="AR333" s="14"/>
      <c r="AS333" s="14"/>
      <c r="AT333" s="14"/>
      <c r="AU333" s="14"/>
      <c r="AV333" s="14"/>
      <c r="AW333" s="14"/>
      <c r="AX333" s="14"/>
    </row>
    <row r="334" spans="1:50" ht="17.25" customHeight="1">
      <c r="A334" s="5" t="s">
        <v>676</v>
      </c>
      <c r="B334" s="5" t="s">
        <v>676</v>
      </c>
      <c r="C334" s="5" t="s">
        <v>678</v>
      </c>
      <c r="D334" s="7" t="s">
        <v>1026</v>
      </c>
      <c r="E334" s="24" t="s">
        <v>2</v>
      </c>
      <c r="F334" s="5" t="s">
        <v>1013</v>
      </c>
      <c r="G334" s="5" t="s">
        <v>865</v>
      </c>
      <c r="H334" s="24" t="s">
        <v>1</v>
      </c>
      <c r="I334" s="5" t="s">
        <v>854</v>
      </c>
      <c r="J334" s="5" t="s">
        <v>1022</v>
      </c>
      <c r="K334" s="5" t="s">
        <v>867</v>
      </c>
      <c r="L334" s="5" t="s">
        <v>1015</v>
      </c>
      <c r="M334" s="5" t="s">
        <v>1023</v>
      </c>
      <c r="N334" s="24" t="s">
        <v>0</v>
      </c>
      <c r="O334" s="24" t="s">
        <v>1</v>
      </c>
      <c r="P334" s="5" t="s">
        <v>1012</v>
      </c>
      <c r="Q334" s="24" t="s">
        <v>848</v>
      </c>
      <c r="R334" s="5" t="s">
        <v>854</v>
      </c>
      <c r="S334" s="5" t="s">
        <v>1024</v>
      </c>
      <c r="T334" s="5" t="s">
        <v>1023</v>
      </c>
      <c r="U334" s="5" t="s">
        <v>856</v>
      </c>
      <c r="V334" s="5" t="s">
        <v>759</v>
      </c>
      <c r="W334" s="14" t="b">
        <v>1</v>
      </c>
      <c r="X334" s="81" t="s">
        <v>1024</v>
      </c>
      <c r="Y334" s="81" t="s">
        <v>2281</v>
      </c>
      <c r="Z334" s="82">
        <v>2017</v>
      </c>
      <c r="AA334" s="81" t="s">
        <v>858</v>
      </c>
      <c r="AB334" s="81" t="s">
        <v>413</v>
      </c>
      <c r="AE334" s="10">
        <v>1</v>
      </c>
      <c r="AF334" s="83" t="s">
        <v>681</v>
      </c>
      <c r="AG334" s="14"/>
      <c r="AH334" s="14"/>
      <c r="AI334" s="14"/>
      <c r="AJ334" s="14"/>
      <c r="AK334" s="14"/>
      <c r="AL334" s="14"/>
      <c r="AM334" s="14"/>
      <c r="AN334" s="14"/>
      <c r="AO334" s="14"/>
      <c r="AP334" s="14"/>
      <c r="AQ334" s="14"/>
      <c r="AR334" s="14"/>
      <c r="AS334" s="14"/>
      <c r="AT334" s="14"/>
      <c r="AU334" s="14"/>
      <c r="AV334" s="14"/>
      <c r="AW334" s="14"/>
      <c r="AX334" s="14"/>
    </row>
    <row r="335" spans="1:50" ht="17.25" customHeight="1">
      <c r="A335" s="5" t="s">
        <v>683</v>
      </c>
      <c r="B335" s="5" t="s">
        <v>683</v>
      </c>
      <c r="C335" s="5" t="s">
        <v>678</v>
      </c>
      <c r="D335" s="7" t="s">
        <v>1027</v>
      </c>
      <c r="E335" s="24" t="s">
        <v>2</v>
      </c>
      <c r="F335" s="5" t="s">
        <v>1013</v>
      </c>
      <c r="G335" s="5" t="s">
        <v>865</v>
      </c>
      <c r="H335" s="24" t="s">
        <v>1</v>
      </c>
      <c r="I335" s="5" t="s">
        <v>854</v>
      </c>
      <c r="J335" s="5" t="s">
        <v>1022</v>
      </c>
      <c r="K335" s="5" t="s">
        <v>867</v>
      </c>
      <c r="L335" s="5" t="s">
        <v>1015</v>
      </c>
      <c r="M335" s="5" t="s">
        <v>1023</v>
      </c>
      <c r="N335" s="24" t="s">
        <v>0</v>
      </c>
      <c r="O335" s="24" t="s">
        <v>1</v>
      </c>
      <c r="P335" s="5" t="s">
        <v>1012</v>
      </c>
      <c r="Q335" s="24" t="s">
        <v>848</v>
      </c>
      <c r="R335" s="5" t="s">
        <v>854</v>
      </c>
      <c r="S335" s="5" t="s">
        <v>1024</v>
      </c>
      <c r="T335" s="5" t="s">
        <v>1023</v>
      </c>
      <c r="U335" s="5" t="s">
        <v>856</v>
      </c>
      <c r="V335" s="5" t="s">
        <v>759</v>
      </c>
      <c r="W335" s="14" t="b">
        <v>1</v>
      </c>
      <c r="X335" s="81" t="s">
        <v>1024</v>
      </c>
      <c r="Y335" s="81" t="s">
        <v>2281</v>
      </c>
      <c r="Z335" s="82">
        <v>2017</v>
      </c>
      <c r="AA335" s="81" t="s">
        <v>858</v>
      </c>
      <c r="AB335" s="81" t="s">
        <v>413</v>
      </c>
      <c r="AE335" s="10">
        <v>1</v>
      </c>
      <c r="AF335" s="83" t="s">
        <v>684</v>
      </c>
      <c r="AG335" s="14"/>
      <c r="AH335" s="14"/>
      <c r="AI335" s="14"/>
      <c r="AJ335" s="14"/>
      <c r="AK335" s="14"/>
      <c r="AL335" s="14"/>
      <c r="AM335" s="14"/>
      <c r="AN335" s="14"/>
      <c r="AO335" s="14"/>
      <c r="AP335" s="14"/>
      <c r="AQ335" s="14"/>
      <c r="AR335" s="14"/>
      <c r="AS335" s="14"/>
      <c r="AT335" s="14"/>
      <c r="AU335" s="14"/>
      <c r="AV335" s="14"/>
      <c r="AW335" s="14"/>
      <c r="AX335" s="14"/>
    </row>
    <row r="336" spans="1:50" ht="17.25" customHeight="1">
      <c r="A336" s="5" t="s">
        <v>683</v>
      </c>
      <c r="B336" s="5" t="s">
        <v>683</v>
      </c>
      <c r="C336" s="5" t="s">
        <v>678</v>
      </c>
      <c r="D336" s="7" t="s">
        <v>1028</v>
      </c>
      <c r="E336" s="24" t="s">
        <v>2</v>
      </c>
      <c r="F336" s="5" t="s">
        <v>1013</v>
      </c>
      <c r="G336" s="5" t="s">
        <v>865</v>
      </c>
      <c r="H336" s="24" t="s">
        <v>1</v>
      </c>
      <c r="I336" s="5" t="s">
        <v>854</v>
      </c>
      <c r="J336" s="5" t="s">
        <v>1022</v>
      </c>
      <c r="K336" s="5" t="s">
        <v>867</v>
      </c>
      <c r="L336" s="5" t="s">
        <v>1015</v>
      </c>
      <c r="M336" s="5" t="s">
        <v>1023</v>
      </c>
      <c r="N336" s="24" t="s">
        <v>0</v>
      </c>
      <c r="O336" s="24" t="s">
        <v>1</v>
      </c>
      <c r="P336" s="5" t="s">
        <v>1012</v>
      </c>
      <c r="Q336" s="24" t="s">
        <v>848</v>
      </c>
      <c r="R336" s="5" t="s">
        <v>854</v>
      </c>
      <c r="S336" s="5" t="s">
        <v>1024</v>
      </c>
      <c r="T336" s="5" t="s">
        <v>1023</v>
      </c>
      <c r="U336" s="5" t="s">
        <v>856</v>
      </c>
      <c r="V336" s="5" t="s">
        <v>759</v>
      </c>
      <c r="W336" s="14" t="b">
        <v>1</v>
      </c>
      <c r="X336" s="81" t="s">
        <v>1024</v>
      </c>
      <c r="Y336" s="81" t="s">
        <v>2281</v>
      </c>
      <c r="Z336" s="82">
        <v>2017</v>
      </c>
      <c r="AA336" s="81" t="s">
        <v>858</v>
      </c>
      <c r="AB336" s="81" t="s">
        <v>413</v>
      </c>
      <c r="AE336" s="10">
        <v>1</v>
      </c>
      <c r="AF336" s="84" t="s">
        <v>684</v>
      </c>
      <c r="AG336" s="14"/>
      <c r="AH336" s="14"/>
      <c r="AI336" s="14"/>
      <c r="AJ336" s="14"/>
      <c r="AK336" s="14"/>
      <c r="AL336" s="14"/>
      <c r="AM336" s="14"/>
      <c r="AN336" s="14"/>
      <c r="AO336" s="14"/>
      <c r="AP336" s="14"/>
      <c r="AQ336" s="14"/>
      <c r="AR336" s="14"/>
      <c r="AS336" s="14"/>
      <c r="AT336" s="14"/>
      <c r="AU336" s="14"/>
      <c r="AV336" s="14"/>
      <c r="AW336" s="14"/>
      <c r="AX336" s="14"/>
    </row>
    <row r="337" spans="1:50" ht="17.25" customHeight="1">
      <c r="A337" s="5" t="s">
        <v>683</v>
      </c>
      <c r="B337" s="5" t="s">
        <v>683</v>
      </c>
      <c r="C337" s="5" t="s">
        <v>678</v>
      </c>
      <c r="D337" s="7" t="s">
        <v>1029</v>
      </c>
      <c r="E337" s="24" t="s">
        <v>2</v>
      </c>
      <c r="F337" s="5" t="s">
        <v>1013</v>
      </c>
      <c r="G337" s="5" t="s">
        <v>865</v>
      </c>
      <c r="H337" s="24" t="s">
        <v>1</v>
      </c>
      <c r="I337" s="5" t="s">
        <v>854</v>
      </c>
      <c r="J337" s="5" t="s">
        <v>1022</v>
      </c>
      <c r="K337" s="5" t="s">
        <v>867</v>
      </c>
      <c r="L337" s="5" t="s">
        <v>1015</v>
      </c>
      <c r="M337" s="5" t="s">
        <v>1023</v>
      </c>
      <c r="N337" s="24" t="s">
        <v>0</v>
      </c>
      <c r="O337" s="24" t="s">
        <v>1</v>
      </c>
      <c r="P337" s="5" t="s">
        <v>1012</v>
      </c>
      <c r="Q337" s="24" t="s">
        <v>848</v>
      </c>
      <c r="R337" s="5" t="s">
        <v>854</v>
      </c>
      <c r="S337" s="5" t="s">
        <v>1024</v>
      </c>
      <c r="T337" s="5" t="s">
        <v>1023</v>
      </c>
      <c r="U337" s="5" t="s">
        <v>856</v>
      </c>
      <c r="V337" s="5" t="s">
        <v>759</v>
      </c>
      <c r="W337" s="14" t="b">
        <v>1</v>
      </c>
      <c r="X337" s="81" t="s">
        <v>1024</v>
      </c>
      <c r="Y337" s="81" t="s">
        <v>2281</v>
      </c>
      <c r="Z337" s="82">
        <v>2017</v>
      </c>
      <c r="AA337" s="81" t="s">
        <v>858</v>
      </c>
      <c r="AB337" s="81" t="s">
        <v>413</v>
      </c>
      <c r="AE337" s="10">
        <v>1</v>
      </c>
      <c r="AF337" s="79" t="s">
        <v>686</v>
      </c>
      <c r="AG337" s="14"/>
      <c r="AH337" s="14"/>
      <c r="AI337" s="14"/>
      <c r="AJ337" s="14"/>
      <c r="AK337" s="14"/>
      <c r="AL337" s="14"/>
      <c r="AM337" s="14"/>
      <c r="AN337" s="14"/>
      <c r="AO337" s="14"/>
      <c r="AP337" s="14"/>
      <c r="AQ337" s="14"/>
      <c r="AR337" s="14"/>
      <c r="AS337" s="14"/>
      <c r="AT337" s="14"/>
      <c r="AU337" s="14"/>
      <c r="AV337" s="14"/>
      <c r="AW337" s="14"/>
      <c r="AX337" s="14"/>
    </row>
    <row r="338" spans="1:50" ht="17.25" customHeight="1">
      <c r="A338" s="5" t="s">
        <v>687</v>
      </c>
      <c r="B338" s="5" t="s">
        <v>687</v>
      </c>
      <c r="C338" s="5" t="s">
        <v>678</v>
      </c>
      <c r="D338" s="7" t="s">
        <v>1030</v>
      </c>
      <c r="E338" s="24" t="s">
        <v>2</v>
      </c>
      <c r="F338" s="5" t="s">
        <v>1013</v>
      </c>
      <c r="G338" s="5" t="s">
        <v>865</v>
      </c>
      <c r="H338" s="24" t="s">
        <v>1</v>
      </c>
      <c r="I338" s="5" t="s">
        <v>854</v>
      </c>
      <c r="J338" s="5" t="s">
        <v>1022</v>
      </c>
      <c r="K338" s="5" t="s">
        <v>867</v>
      </c>
      <c r="L338" s="5" t="s">
        <v>1015</v>
      </c>
      <c r="M338" s="5" t="s">
        <v>1023</v>
      </c>
      <c r="N338" s="24" t="s">
        <v>0</v>
      </c>
      <c r="O338" s="24" t="s">
        <v>1</v>
      </c>
      <c r="P338" s="5" t="s">
        <v>1012</v>
      </c>
      <c r="Q338" s="24" t="s">
        <v>848</v>
      </c>
      <c r="R338" s="5" t="s">
        <v>854</v>
      </c>
      <c r="S338" s="5" t="s">
        <v>1024</v>
      </c>
      <c r="T338" s="5" t="s">
        <v>1023</v>
      </c>
      <c r="U338" s="5" t="s">
        <v>856</v>
      </c>
      <c r="V338" s="5" t="s">
        <v>759</v>
      </c>
      <c r="W338" s="14" t="b">
        <v>1</v>
      </c>
      <c r="X338" s="81" t="s">
        <v>1024</v>
      </c>
      <c r="Y338" s="81" t="s">
        <v>2281</v>
      </c>
      <c r="Z338" s="82">
        <v>2017</v>
      </c>
      <c r="AA338" s="81" t="s">
        <v>858</v>
      </c>
      <c r="AB338" s="81" t="s">
        <v>413</v>
      </c>
      <c r="AE338" s="10">
        <v>1</v>
      </c>
      <c r="AF338" s="79" t="s">
        <v>688</v>
      </c>
      <c r="AG338" s="14"/>
      <c r="AH338" s="14"/>
      <c r="AI338" s="14"/>
      <c r="AJ338" s="14"/>
      <c r="AK338" s="14"/>
      <c r="AL338" s="14"/>
      <c r="AM338" s="14"/>
      <c r="AN338" s="14"/>
      <c r="AO338" s="14"/>
      <c r="AP338" s="14"/>
      <c r="AQ338" s="14"/>
      <c r="AR338" s="14"/>
      <c r="AS338" s="14"/>
      <c r="AT338" s="14"/>
      <c r="AU338" s="14"/>
      <c r="AV338" s="14"/>
      <c r="AW338" s="14"/>
      <c r="AX338" s="14"/>
    </row>
    <row r="339" spans="1:50" ht="17.25" customHeight="1">
      <c r="A339" s="5" t="s">
        <v>687</v>
      </c>
      <c r="B339" s="5" t="s">
        <v>687</v>
      </c>
      <c r="C339" s="5" t="s">
        <v>678</v>
      </c>
      <c r="D339" s="7" t="s">
        <v>1031</v>
      </c>
      <c r="E339" s="24" t="s">
        <v>2</v>
      </c>
      <c r="F339" s="5" t="s">
        <v>1013</v>
      </c>
      <c r="G339" s="5" t="s">
        <v>865</v>
      </c>
      <c r="H339" s="24" t="s">
        <v>1</v>
      </c>
      <c r="I339" s="5" t="s">
        <v>854</v>
      </c>
      <c r="J339" s="5" t="s">
        <v>1022</v>
      </c>
      <c r="K339" s="5" t="s">
        <v>867</v>
      </c>
      <c r="L339" s="5" t="s">
        <v>1015</v>
      </c>
      <c r="M339" s="5" t="s">
        <v>1023</v>
      </c>
      <c r="N339" s="24" t="s">
        <v>0</v>
      </c>
      <c r="O339" s="24" t="s">
        <v>1</v>
      </c>
      <c r="P339" s="5" t="s">
        <v>1012</v>
      </c>
      <c r="Q339" s="24" t="s">
        <v>848</v>
      </c>
      <c r="R339" s="5" t="s">
        <v>854</v>
      </c>
      <c r="S339" s="5" t="s">
        <v>1024</v>
      </c>
      <c r="T339" s="5" t="s">
        <v>1023</v>
      </c>
      <c r="U339" s="5" t="s">
        <v>856</v>
      </c>
      <c r="V339" s="5" t="s">
        <v>759</v>
      </c>
      <c r="W339" s="14" t="b">
        <v>1</v>
      </c>
      <c r="X339" s="81" t="s">
        <v>1024</v>
      </c>
      <c r="Y339" s="81" t="s">
        <v>2281</v>
      </c>
      <c r="Z339" s="82">
        <v>2017</v>
      </c>
      <c r="AA339" s="81" t="s">
        <v>858</v>
      </c>
      <c r="AB339" s="81" t="s">
        <v>413</v>
      </c>
      <c r="AE339" s="10">
        <v>1</v>
      </c>
      <c r="AF339" s="79" t="s">
        <v>689</v>
      </c>
      <c r="AG339" s="14"/>
      <c r="AH339" s="14"/>
      <c r="AI339" s="14"/>
      <c r="AJ339" s="14"/>
      <c r="AK339" s="14"/>
      <c r="AL339" s="14"/>
      <c r="AM339" s="14"/>
      <c r="AN339" s="14"/>
      <c r="AO339" s="14"/>
      <c r="AP339" s="14"/>
      <c r="AQ339" s="14"/>
      <c r="AR339" s="14"/>
      <c r="AS339" s="14"/>
      <c r="AT339" s="14"/>
      <c r="AU339" s="14"/>
      <c r="AV339" s="14"/>
      <c r="AW339" s="14"/>
      <c r="AX339" s="14"/>
    </row>
    <row r="340" spans="1:50" ht="17.25" customHeight="1">
      <c r="A340" s="5" t="s">
        <v>687</v>
      </c>
      <c r="B340" s="5" t="s">
        <v>687</v>
      </c>
      <c r="C340" s="5" t="s">
        <v>678</v>
      </c>
      <c r="D340" s="7" t="s">
        <v>1032</v>
      </c>
      <c r="E340" s="24" t="s">
        <v>2</v>
      </c>
      <c r="F340" s="5" t="s">
        <v>1013</v>
      </c>
      <c r="G340" s="5" t="s">
        <v>865</v>
      </c>
      <c r="H340" s="24" t="s">
        <v>1</v>
      </c>
      <c r="I340" s="5" t="s">
        <v>854</v>
      </c>
      <c r="J340" s="5" t="s">
        <v>1022</v>
      </c>
      <c r="K340" s="5" t="s">
        <v>867</v>
      </c>
      <c r="L340" s="5" t="s">
        <v>1015</v>
      </c>
      <c r="M340" s="5" t="s">
        <v>1023</v>
      </c>
      <c r="N340" s="24" t="s">
        <v>0</v>
      </c>
      <c r="O340" s="24" t="s">
        <v>1</v>
      </c>
      <c r="P340" s="5" t="s">
        <v>1012</v>
      </c>
      <c r="Q340" s="24" t="s">
        <v>848</v>
      </c>
      <c r="R340" s="5" t="s">
        <v>854</v>
      </c>
      <c r="S340" s="5" t="s">
        <v>1024</v>
      </c>
      <c r="T340" s="5" t="s">
        <v>1023</v>
      </c>
      <c r="U340" s="5" t="s">
        <v>856</v>
      </c>
      <c r="V340" s="5" t="s">
        <v>759</v>
      </c>
      <c r="W340" s="14" t="b">
        <v>1</v>
      </c>
      <c r="X340" s="81" t="s">
        <v>1024</v>
      </c>
      <c r="Y340" s="81" t="s">
        <v>2281</v>
      </c>
      <c r="Z340" s="82">
        <v>2017</v>
      </c>
      <c r="AA340" s="81" t="s">
        <v>858</v>
      </c>
      <c r="AB340" s="81" t="s">
        <v>413</v>
      </c>
      <c r="AE340" s="10">
        <v>1</v>
      </c>
      <c r="AF340" s="79" t="s">
        <v>690</v>
      </c>
      <c r="AG340" s="14"/>
      <c r="AH340" s="14"/>
      <c r="AI340" s="14"/>
      <c r="AJ340" s="14"/>
      <c r="AK340" s="14"/>
      <c r="AL340" s="14"/>
      <c r="AM340" s="14"/>
      <c r="AN340" s="14"/>
      <c r="AO340" s="14"/>
      <c r="AP340" s="14"/>
      <c r="AQ340" s="14"/>
      <c r="AR340" s="14"/>
      <c r="AS340" s="14"/>
      <c r="AT340" s="14"/>
      <c r="AU340" s="14"/>
      <c r="AV340" s="14"/>
      <c r="AW340" s="14"/>
      <c r="AX340" s="14"/>
    </row>
    <row r="341" spans="1:50" ht="17.25" customHeight="1">
      <c r="A341" s="5" t="s">
        <v>687</v>
      </c>
      <c r="B341" s="5" t="s">
        <v>687</v>
      </c>
      <c r="C341" s="5" t="s">
        <v>678</v>
      </c>
      <c r="D341" s="7" t="s">
        <v>1033</v>
      </c>
      <c r="E341" s="24" t="s">
        <v>2</v>
      </c>
      <c r="F341" s="5" t="s">
        <v>1013</v>
      </c>
      <c r="G341" s="5" t="s">
        <v>865</v>
      </c>
      <c r="H341" s="24" t="s">
        <v>1</v>
      </c>
      <c r="I341" s="5" t="s">
        <v>854</v>
      </c>
      <c r="J341" s="5" t="s">
        <v>1022</v>
      </c>
      <c r="K341" s="5" t="s">
        <v>867</v>
      </c>
      <c r="L341" s="5" t="s">
        <v>1015</v>
      </c>
      <c r="M341" s="5" t="s">
        <v>1023</v>
      </c>
      <c r="N341" s="24" t="s">
        <v>0</v>
      </c>
      <c r="O341" s="24" t="s">
        <v>1</v>
      </c>
      <c r="P341" s="5" t="s">
        <v>1012</v>
      </c>
      <c r="Q341" s="24" t="s">
        <v>848</v>
      </c>
      <c r="R341" s="5" t="s">
        <v>854</v>
      </c>
      <c r="S341" s="5" t="s">
        <v>1024</v>
      </c>
      <c r="T341" s="5" t="s">
        <v>1023</v>
      </c>
      <c r="U341" s="5" t="s">
        <v>856</v>
      </c>
      <c r="V341" s="5" t="s">
        <v>759</v>
      </c>
      <c r="W341" s="14" t="b">
        <v>1</v>
      </c>
      <c r="X341" s="81" t="s">
        <v>1024</v>
      </c>
      <c r="Y341" s="81" t="s">
        <v>2281</v>
      </c>
      <c r="Z341" s="82">
        <v>2017</v>
      </c>
      <c r="AA341" s="81" t="s">
        <v>858</v>
      </c>
      <c r="AB341" s="81" t="s">
        <v>413</v>
      </c>
      <c r="AE341" s="10">
        <v>1</v>
      </c>
      <c r="AF341" s="83" t="s">
        <v>691</v>
      </c>
      <c r="AG341" s="14"/>
      <c r="AH341" s="14"/>
      <c r="AI341" s="14"/>
      <c r="AJ341" s="14"/>
      <c r="AK341" s="14"/>
      <c r="AL341" s="14"/>
      <c r="AM341" s="14"/>
      <c r="AN341" s="14"/>
      <c r="AO341" s="14"/>
      <c r="AP341" s="14"/>
      <c r="AQ341" s="14"/>
      <c r="AR341" s="14"/>
      <c r="AS341" s="14"/>
      <c r="AT341" s="14"/>
      <c r="AU341" s="14"/>
      <c r="AV341" s="14"/>
      <c r="AW341" s="14"/>
      <c r="AX341" s="14"/>
    </row>
    <row r="342" spans="1:50" ht="17.25" customHeight="1">
      <c r="A342" s="4" t="s">
        <v>692</v>
      </c>
      <c r="B342" s="4" t="s">
        <v>692</v>
      </c>
      <c r="C342" s="5" t="s">
        <v>678</v>
      </c>
      <c r="D342" s="7" t="s">
        <v>1034</v>
      </c>
      <c r="E342" s="24" t="s">
        <v>2</v>
      </c>
      <c r="F342" s="5" t="s">
        <v>1013</v>
      </c>
      <c r="G342" s="5" t="s">
        <v>865</v>
      </c>
      <c r="H342" s="24" t="s">
        <v>1</v>
      </c>
      <c r="I342" s="5" t="s">
        <v>854</v>
      </c>
      <c r="J342" s="5" t="s">
        <v>1022</v>
      </c>
      <c r="K342" s="5" t="s">
        <v>867</v>
      </c>
      <c r="L342" s="5" t="s">
        <v>1015</v>
      </c>
      <c r="M342" s="5" t="s">
        <v>1023</v>
      </c>
      <c r="N342" s="24" t="s">
        <v>0</v>
      </c>
      <c r="O342" s="24" t="s">
        <v>1</v>
      </c>
      <c r="P342" s="5" t="s">
        <v>1012</v>
      </c>
      <c r="Q342" s="24" t="s">
        <v>848</v>
      </c>
      <c r="R342" s="5" t="s">
        <v>854</v>
      </c>
      <c r="S342" s="5" t="s">
        <v>1024</v>
      </c>
      <c r="T342" s="5" t="s">
        <v>1023</v>
      </c>
      <c r="U342" s="5" t="s">
        <v>856</v>
      </c>
      <c r="V342" s="5" t="s">
        <v>759</v>
      </c>
      <c r="W342" s="14" t="b">
        <v>1</v>
      </c>
      <c r="X342" s="81" t="s">
        <v>1024</v>
      </c>
      <c r="Y342" s="81" t="s">
        <v>2281</v>
      </c>
      <c r="Z342" s="82">
        <v>2017</v>
      </c>
      <c r="AA342" s="81" t="s">
        <v>858</v>
      </c>
      <c r="AB342" s="81" t="s">
        <v>413</v>
      </c>
      <c r="AE342" s="10">
        <v>1</v>
      </c>
      <c r="AF342" s="83" t="s">
        <v>693</v>
      </c>
      <c r="AG342" s="14"/>
      <c r="AH342" s="14"/>
      <c r="AI342" s="14"/>
      <c r="AJ342" s="14"/>
      <c r="AK342" s="14"/>
      <c r="AL342" s="14"/>
      <c r="AM342" s="14"/>
      <c r="AN342" s="14"/>
      <c r="AO342" s="14"/>
      <c r="AP342" s="14"/>
      <c r="AQ342" s="14"/>
      <c r="AR342" s="14"/>
      <c r="AS342" s="14"/>
      <c r="AT342" s="14"/>
      <c r="AU342" s="14"/>
      <c r="AV342" s="14"/>
      <c r="AW342" s="14"/>
      <c r="AX342" s="14"/>
    </row>
    <row r="343" spans="1:50" ht="17.25" customHeight="1">
      <c r="A343" s="4" t="s">
        <v>692</v>
      </c>
      <c r="B343" s="4" t="s">
        <v>692</v>
      </c>
      <c r="C343" s="5" t="s">
        <v>678</v>
      </c>
      <c r="D343" s="7" t="s">
        <v>1035</v>
      </c>
      <c r="E343" s="24" t="s">
        <v>2</v>
      </c>
      <c r="F343" s="5" t="s">
        <v>1013</v>
      </c>
      <c r="G343" s="5" t="s">
        <v>865</v>
      </c>
      <c r="H343" s="24" t="s">
        <v>1</v>
      </c>
      <c r="I343" s="5" t="s">
        <v>854</v>
      </c>
      <c r="J343" s="5" t="s">
        <v>1022</v>
      </c>
      <c r="K343" s="5" t="s">
        <v>867</v>
      </c>
      <c r="L343" s="5" t="s">
        <v>1015</v>
      </c>
      <c r="M343" s="5" t="s">
        <v>1023</v>
      </c>
      <c r="N343" s="24" t="s">
        <v>0</v>
      </c>
      <c r="O343" s="24" t="s">
        <v>1</v>
      </c>
      <c r="P343" s="5" t="s">
        <v>1012</v>
      </c>
      <c r="Q343" s="24" t="s">
        <v>848</v>
      </c>
      <c r="R343" s="5" t="s">
        <v>854</v>
      </c>
      <c r="S343" s="5" t="s">
        <v>1024</v>
      </c>
      <c r="T343" s="5" t="s">
        <v>1023</v>
      </c>
      <c r="U343" s="5" t="s">
        <v>856</v>
      </c>
      <c r="V343" s="5" t="s">
        <v>759</v>
      </c>
      <c r="W343" s="14" t="b">
        <v>1</v>
      </c>
      <c r="X343" s="81" t="s">
        <v>1024</v>
      </c>
      <c r="Y343" s="81" t="s">
        <v>2281</v>
      </c>
      <c r="Z343" s="82">
        <v>2017</v>
      </c>
      <c r="AA343" s="81" t="s">
        <v>858</v>
      </c>
      <c r="AB343" s="81" t="s">
        <v>413</v>
      </c>
      <c r="AE343" s="10">
        <v>1</v>
      </c>
      <c r="AF343" s="83" t="s">
        <v>694</v>
      </c>
      <c r="AG343" s="14"/>
      <c r="AH343" s="14"/>
      <c r="AI343" s="14"/>
      <c r="AJ343" s="14"/>
      <c r="AK343" s="14"/>
      <c r="AL343" s="14"/>
      <c r="AM343" s="14"/>
      <c r="AN343" s="14"/>
      <c r="AO343" s="14"/>
      <c r="AP343" s="14"/>
      <c r="AQ343" s="14"/>
      <c r="AR343" s="14"/>
      <c r="AS343" s="14"/>
      <c r="AT343" s="14"/>
      <c r="AU343" s="14"/>
      <c r="AV343" s="14"/>
      <c r="AW343" s="14"/>
      <c r="AX343" s="14"/>
    </row>
    <row r="344" spans="1:50" ht="17.25" customHeight="1">
      <c r="A344" s="4" t="s">
        <v>692</v>
      </c>
      <c r="B344" s="4" t="s">
        <v>692</v>
      </c>
      <c r="C344" s="5" t="s">
        <v>678</v>
      </c>
      <c r="D344" s="7" t="s">
        <v>1036</v>
      </c>
      <c r="E344" s="24" t="s">
        <v>2</v>
      </c>
      <c r="F344" s="5" t="s">
        <v>1013</v>
      </c>
      <c r="G344" s="5" t="s">
        <v>865</v>
      </c>
      <c r="H344" s="24" t="s">
        <v>1</v>
      </c>
      <c r="I344" s="5" t="s">
        <v>854</v>
      </c>
      <c r="J344" s="5" t="s">
        <v>1022</v>
      </c>
      <c r="K344" s="5" t="s">
        <v>867</v>
      </c>
      <c r="L344" s="5" t="s">
        <v>1015</v>
      </c>
      <c r="M344" s="5" t="s">
        <v>1023</v>
      </c>
      <c r="N344" s="24" t="s">
        <v>0</v>
      </c>
      <c r="O344" s="24" t="s">
        <v>1</v>
      </c>
      <c r="P344" s="5" t="s">
        <v>1012</v>
      </c>
      <c r="Q344" s="24" t="s">
        <v>848</v>
      </c>
      <c r="R344" s="5" t="s">
        <v>854</v>
      </c>
      <c r="S344" s="5" t="s">
        <v>1024</v>
      </c>
      <c r="T344" s="5" t="s">
        <v>1023</v>
      </c>
      <c r="U344" s="5" t="s">
        <v>856</v>
      </c>
      <c r="V344" s="5" t="s">
        <v>759</v>
      </c>
      <c r="W344" s="14" t="b">
        <v>1</v>
      </c>
      <c r="X344" s="81" t="s">
        <v>1024</v>
      </c>
      <c r="Y344" s="81" t="s">
        <v>2281</v>
      </c>
      <c r="Z344" s="82">
        <v>2017</v>
      </c>
      <c r="AA344" s="81" t="s">
        <v>858</v>
      </c>
      <c r="AB344" s="81" t="s">
        <v>413</v>
      </c>
      <c r="AE344" s="10">
        <v>1</v>
      </c>
      <c r="AF344" s="83" t="s">
        <v>695</v>
      </c>
      <c r="AG344" s="14"/>
      <c r="AH344" s="14"/>
      <c r="AI344" s="14"/>
      <c r="AJ344" s="14"/>
      <c r="AK344" s="14"/>
      <c r="AL344" s="14"/>
      <c r="AM344" s="14"/>
      <c r="AN344" s="14"/>
      <c r="AO344" s="14"/>
      <c r="AP344" s="14"/>
      <c r="AQ344" s="14"/>
      <c r="AR344" s="14"/>
      <c r="AS344" s="14"/>
      <c r="AT344" s="14"/>
      <c r="AU344" s="14"/>
      <c r="AV344" s="14"/>
      <c r="AW344" s="14"/>
      <c r="AX344" s="14"/>
    </row>
    <row r="345" spans="1:50" ht="17.25" customHeight="1">
      <c r="A345" s="5" t="s">
        <v>696</v>
      </c>
      <c r="B345" s="5" t="s">
        <v>696</v>
      </c>
      <c r="C345" s="5" t="s">
        <v>697</v>
      </c>
      <c r="D345" s="7" t="s">
        <v>1038</v>
      </c>
      <c r="E345" s="24" t="s">
        <v>2</v>
      </c>
      <c r="F345" s="5" t="s">
        <v>1039</v>
      </c>
      <c r="G345" s="5" t="s">
        <v>1040</v>
      </c>
      <c r="H345" s="24" t="s">
        <v>1</v>
      </c>
      <c r="I345" s="5" t="s">
        <v>854</v>
      </c>
      <c r="J345" s="5" t="s">
        <v>1041</v>
      </c>
      <c r="K345" s="19"/>
      <c r="L345" s="5" t="s">
        <v>1015</v>
      </c>
      <c r="M345" s="5" t="s">
        <v>1042</v>
      </c>
      <c r="N345" s="24" t="s">
        <v>0</v>
      </c>
      <c r="O345" s="24" t="s">
        <v>1</v>
      </c>
      <c r="P345" s="5" t="s">
        <v>1012</v>
      </c>
      <c r="Q345" s="24" t="s">
        <v>848</v>
      </c>
      <c r="R345" s="5" t="s">
        <v>854</v>
      </c>
      <c r="S345" s="5" t="s">
        <v>1024</v>
      </c>
      <c r="T345" s="5" t="s">
        <v>1042</v>
      </c>
      <c r="U345" s="5" t="s">
        <v>856</v>
      </c>
      <c r="V345" s="5" t="s">
        <v>759</v>
      </c>
      <c r="W345" s="14" t="b">
        <v>1</v>
      </c>
      <c r="X345" s="81" t="s">
        <v>2264</v>
      </c>
      <c r="Y345" s="81" t="s">
        <v>2282</v>
      </c>
      <c r="Z345" s="82">
        <v>2017</v>
      </c>
      <c r="AA345" s="81" t="s">
        <v>858</v>
      </c>
      <c r="AB345" s="81" t="s">
        <v>413</v>
      </c>
      <c r="AE345" s="10">
        <v>1</v>
      </c>
      <c r="AF345" s="83">
        <v>151009</v>
      </c>
      <c r="AG345" s="14"/>
      <c r="AH345" s="14"/>
      <c r="AI345" s="14"/>
      <c r="AJ345" s="14"/>
      <c r="AK345" s="14"/>
      <c r="AL345" s="14"/>
      <c r="AM345" s="14"/>
      <c r="AN345" s="14"/>
      <c r="AO345" s="14"/>
      <c r="AP345" s="14"/>
      <c r="AQ345" s="14"/>
      <c r="AR345" s="14"/>
      <c r="AS345" s="14"/>
      <c r="AT345" s="14"/>
      <c r="AU345" s="14"/>
      <c r="AV345" s="14"/>
      <c r="AW345" s="14"/>
      <c r="AX345" s="14"/>
    </row>
    <row r="346" spans="1:50" ht="17.25" customHeight="1">
      <c r="A346" s="5" t="s">
        <v>699</v>
      </c>
      <c r="B346" s="5" t="s">
        <v>699</v>
      </c>
      <c r="C346" s="5" t="s">
        <v>697</v>
      </c>
      <c r="D346" s="7" t="s">
        <v>1043</v>
      </c>
      <c r="E346" s="24" t="s">
        <v>2</v>
      </c>
      <c r="F346" s="5" t="s">
        <v>1039</v>
      </c>
      <c r="G346" s="5" t="s">
        <v>1040</v>
      </c>
      <c r="H346" s="24" t="s">
        <v>1</v>
      </c>
      <c r="I346" s="5" t="s">
        <v>854</v>
      </c>
      <c r="J346" s="5" t="s">
        <v>1041</v>
      </c>
      <c r="K346" s="19"/>
      <c r="L346" s="5" t="s">
        <v>1015</v>
      </c>
      <c r="M346" s="5" t="s">
        <v>1042</v>
      </c>
      <c r="N346" s="24" t="s">
        <v>0</v>
      </c>
      <c r="O346" s="24" t="s">
        <v>1</v>
      </c>
      <c r="P346" s="5" t="s">
        <v>1012</v>
      </c>
      <c r="Q346" s="24" t="s">
        <v>848</v>
      </c>
      <c r="R346" s="5" t="s">
        <v>854</v>
      </c>
      <c r="S346" s="5" t="s">
        <v>1024</v>
      </c>
      <c r="T346" s="5" t="s">
        <v>1042</v>
      </c>
      <c r="U346" s="5" t="s">
        <v>856</v>
      </c>
      <c r="V346" s="5" t="s">
        <v>759</v>
      </c>
      <c r="W346" s="14" t="b">
        <v>1</v>
      </c>
      <c r="X346" s="81" t="s">
        <v>2264</v>
      </c>
      <c r="Y346" s="81" t="s">
        <v>2282</v>
      </c>
      <c r="Z346" s="82">
        <v>2017</v>
      </c>
      <c r="AA346" s="81" t="s">
        <v>858</v>
      </c>
      <c r="AB346" s="81" t="s">
        <v>413</v>
      </c>
      <c r="AE346" s="10">
        <v>1</v>
      </c>
      <c r="AF346" s="83" t="s">
        <v>700</v>
      </c>
      <c r="AG346" s="14"/>
      <c r="AH346" s="14"/>
      <c r="AI346" s="14"/>
      <c r="AJ346" s="14"/>
      <c r="AK346" s="14"/>
      <c r="AL346" s="14"/>
      <c r="AM346" s="14"/>
      <c r="AN346" s="14"/>
      <c r="AO346" s="14"/>
      <c r="AP346" s="14"/>
      <c r="AQ346" s="14"/>
      <c r="AR346" s="14"/>
      <c r="AS346" s="14"/>
      <c r="AT346" s="14"/>
      <c r="AU346" s="14"/>
      <c r="AV346" s="14"/>
      <c r="AW346" s="14"/>
      <c r="AX346" s="14"/>
    </row>
    <row r="347" spans="1:50" ht="17.25" customHeight="1">
      <c r="A347" s="5" t="s">
        <v>701</v>
      </c>
      <c r="B347" s="5" t="s">
        <v>701</v>
      </c>
      <c r="C347" s="5" t="s">
        <v>703</v>
      </c>
      <c r="D347" s="7" t="s">
        <v>1045</v>
      </c>
      <c r="E347" s="24" t="s">
        <v>2</v>
      </c>
      <c r="F347" s="5" t="s">
        <v>1039</v>
      </c>
      <c r="G347" s="5" t="s">
        <v>1040</v>
      </c>
      <c r="H347" s="24" t="s">
        <v>1</v>
      </c>
      <c r="I347" s="5" t="s">
        <v>854</v>
      </c>
      <c r="J347" s="5" t="s">
        <v>1014</v>
      </c>
      <c r="K347" s="19"/>
      <c r="L347" s="5" t="s">
        <v>1015</v>
      </c>
      <c r="M347" s="5" t="s">
        <v>1046</v>
      </c>
      <c r="N347" s="24" t="s">
        <v>0</v>
      </c>
      <c r="O347" s="24" t="s">
        <v>1</v>
      </c>
      <c r="P347" s="5" t="s">
        <v>1012</v>
      </c>
      <c r="Q347" s="24" t="s">
        <v>848</v>
      </c>
      <c r="R347" s="5" t="s">
        <v>854</v>
      </c>
      <c r="S347" s="4" t="s">
        <v>1047</v>
      </c>
      <c r="T347" s="5" t="s">
        <v>1046</v>
      </c>
      <c r="U347" s="5" t="s">
        <v>856</v>
      </c>
      <c r="V347" s="5" t="s">
        <v>759</v>
      </c>
      <c r="W347" s="14" t="b">
        <v>1</v>
      </c>
      <c r="X347" s="81" t="s">
        <v>2426</v>
      </c>
      <c r="Y347" s="81" t="s">
        <v>2283</v>
      </c>
      <c r="Z347" s="82">
        <v>2016</v>
      </c>
      <c r="AA347" s="81" t="s">
        <v>858</v>
      </c>
      <c r="AB347" s="81" t="s">
        <v>413</v>
      </c>
      <c r="AE347" s="10">
        <v>1</v>
      </c>
      <c r="AF347" s="83" t="s">
        <v>702</v>
      </c>
      <c r="AG347" s="14"/>
      <c r="AH347" s="14"/>
      <c r="AI347" s="14"/>
      <c r="AJ347" s="14"/>
      <c r="AK347" s="14"/>
      <c r="AL347" s="14"/>
      <c r="AM347" s="14"/>
      <c r="AN347" s="14"/>
      <c r="AO347" s="14"/>
      <c r="AP347" s="14"/>
      <c r="AQ347" s="14"/>
      <c r="AR347" s="14"/>
      <c r="AS347" s="14"/>
      <c r="AT347" s="14"/>
      <c r="AU347" s="14"/>
      <c r="AV347" s="14"/>
      <c r="AW347" s="14"/>
      <c r="AX347" s="14"/>
    </row>
    <row r="348" spans="1:50" ht="17.25" customHeight="1">
      <c r="A348" s="5" t="s">
        <v>423</v>
      </c>
      <c r="B348" s="5" t="s">
        <v>423</v>
      </c>
      <c r="C348" s="5" t="s">
        <v>706</v>
      </c>
      <c r="D348" s="7" t="s">
        <v>1048</v>
      </c>
      <c r="E348" s="24" t="s">
        <v>2</v>
      </c>
      <c r="F348" s="5" t="s">
        <v>1013</v>
      </c>
      <c r="G348" s="5" t="s">
        <v>865</v>
      </c>
      <c r="H348" s="24" t="s">
        <v>1</v>
      </c>
      <c r="I348" s="5" t="s">
        <v>854</v>
      </c>
      <c r="J348" s="5" t="s">
        <v>1049</v>
      </c>
      <c r="K348" s="19"/>
      <c r="L348" s="5" t="s">
        <v>1015</v>
      </c>
      <c r="M348" s="5" t="s">
        <v>1050</v>
      </c>
      <c r="N348" s="24" t="s">
        <v>0</v>
      </c>
      <c r="O348" s="24" t="s">
        <v>1</v>
      </c>
      <c r="P348" s="5" t="s">
        <v>1012</v>
      </c>
      <c r="Q348" s="24" t="s">
        <v>848</v>
      </c>
      <c r="R348" s="5" t="s">
        <v>854</v>
      </c>
      <c r="S348" s="5" t="s">
        <v>1051</v>
      </c>
      <c r="T348" s="5" t="s">
        <v>1050</v>
      </c>
      <c r="U348" s="5" t="s">
        <v>856</v>
      </c>
      <c r="V348" s="5" t="s">
        <v>759</v>
      </c>
      <c r="W348" s="14" t="b">
        <v>1</v>
      </c>
      <c r="X348" s="81" t="s">
        <v>2265</v>
      </c>
      <c r="Y348" s="81" t="s">
        <v>2284</v>
      </c>
      <c r="Z348" s="82">
        <v>2015</v>
      </c>
      <c r="AA348" s="81" t="s">
        <v>858</v>
      </c>
      <c r="AB348" s="81" t="s">
        <v>413</v>
      </c>
      <c r="AE348" s="10">
        <v>1</v>
      </c>
      <c r="AF348" s="83" t="s">
        <v>705</v>
      </c>
      <c r="AG348" s="14"/>
      <c r="AH348" s="14"/>
      <c r="AI348" s="14"/>
      <c r="AJ348" s="14"/>
      <c r="AK348" s="14"/>
      <c r="AL348" s="14"/>
      <c r="AM348" s="14"/>
      <c r="AN348" s="14"/>
      <c r="AO348" s="14"/>
      <c r="AP348" s="14"/>
      <c r="AQ348" s="14"/>
      <c r="AR348" s="14"/>
      <c r="AS348" s="14"/>
      <c r="AT348" s="14"/>
      <c r="AU348" s="14"/>
      <c r="AV348" s="14"/>
      <c r="AW348" s="14"/>
      <c r="AX348" s="14"/>
    </row>
    <row r="349" spans="1:50" ht="17.25" customHeight="1">
      <c r="A349" s="5" t="s">
        <v>423</v>
      </c>
      <c r="B349" s="5" t="s">
        <v>423</v>
      </c>
      <c r="C349" s="5" t="s">
        <v>706</v>
      </c>
      <c r="D349" s="7" t="s">
        <v>1052</v>
      </c>
      <c r="E349" s="24" t="s">
        <v>2</v>
      </c>
      <c r="F349" s="5" t="s">
        <v>1013</v>
      </c>
      <c r="G349" s="5" t="s">
        <v>865</v>
      </c>
      <c r="H349" s="24" t="s">
        <v>1</v>
      </c>
      <c r="I349" s="5" t="s">
        <v>854</v>
      </c>
      <c r="J349" s="5" t="s">
        <v>1049</v>
      </c>
      <c r="K349" s="19"/>
      <c r="L349" s="5" t="s">
        <v>1015</v>
      </c>
      <c r="M349" s="5" t="s">
        <v>1050</v>
      </c>
      <c r="N349" s="24" t="s">
        <v>0</v>
      </c>
      <c r="O349" s="24" t="s">
        <v>1</v>
      </c>
      <c r="P349" s="5" t="s">
        <v>1012</v>
      </c>
      <c r="Q349" s="24" t="s">
        <v>848</v>
      </c>
      <c r="R349" s="5" t="s">
        <v>854</v>
      </c>
      <c r="S349" s="4" t="s">
        <v>1053</v>
      </c>
      <c r="T349" s="5" t="s">
        <v>1050</v>
      </c>
      <c r="U349" s="5" t="s">
        <v>856</v>
      </c>
      <c r="V349" s="5" t="s">
        <v>759</v>
      </c>
      <c r="W349" s="14" t="b">
        <v>1</v>
      </c>
      <c r="X349" s="81" t="s">
        <v>2265</v>
      </c>
      <c r="Y349" s="81" t="s">
        <v>2284</v>
      </c>
      <c r="Z349" s="82">
        <v>2015</v>
      </c>
      <c r="AA349" s="81" t="s">
        <v>858</v>
      </c>
      <c r="AB349" s="81" t="s">
        <v>413</v>
      </c>
      <c r="AE349" s="10">
        <v>1</v>
      </c>
      <c r="AF349" s="83" t="s">
        <v>707</v>
      </c>
      <c r="AG349" s="14"/>
      <c r="AH349" s="14"/>
      <c r="AI349" s="14"/>
      <c r="AJ349" s="14"/>
      <c r="AK349" s="14"/>
      <c r="AL349" s="14"/>
      <c r="AM349" s="14"/>
      <c r="AN349" s="14"/>
      <c r="AO349" s="14"/>
      <c r="AP349" s="14"/>
      <c r="AQ349" s="14"/>
      <c r="AR349" s="14"/>
      <c r="AS349" s="14"/>
      <c r="AT349" s="14"/>
      <c r="AU349" s="14"/>
      <c r="AV349" s="14"/>
      <c r="AW349" s="14"/>
      <c r="AX349" s="14"/>
    </row>
    <row r="350" spans="1:50" ht="17.25" customHeight="1">
      <c r="A350" s="5" t="s">
        <v>423</v>
      </c>
      <c r="B350" s="5" t="s">
        <v>423</v>
      </c>
      <c r="C350" s="5" t="s">
        <v>706</v>
      </c>
      <c r="D350" s="7" t="s">
        <v>1054</v>
      </c>
      <c r="E350" s="24" t="s">
        <v>2</v>
      </c>
      <c r="F350" s="5" t="s">
        <v>1013</v>
      </c>
      <c r="G350" s="5" t="s">
        <v>865</v>
      </c>
      <c r="H350" s="24" t="s">
        <v>1</v>
      </c>
      <c r="I350" s="5" t="s">
        <v>854</v>
      </c>
      <c r="J350" s="5" t="s">
        <v>1049</v>
      </c>
      <c r="K350" s="19"/>
      <c r="L350" s="5" t="s">
        <v>1015</v>
      </c>
      <c r="M350" s="5" t="s">
        <v>1050</v>
      </c>
      <c r="N350" s="24" t="s">
        <v>0</v>
      </c>
      <c r="O350" s="24" t="s">
        <v>1</v>
      </c>
      <c r="P350" s="5" t="s">
        <v>1012</v>
      </c>
      <c r="Q350" s="24" t="s">
        <v>848</v>
      </c>
      <c r="R350" s="5" t="s">
        <v>854</v>
      </c>
      <c r="S350" s="4" t="s">
        <v>1053</v>
      </c>
      <c r="T350" s="5" t="s">
        <v>1050</v>
      </c>
      <c r="U350" s="5" t="s">
        <v>856</v>
      </c>
      <c r="V350" s="5" t="s">
        <v>759</v>
      </c>
      <c r="W350" s="14" t="b">
        <v>1</v>
      </c>
      <c r="X350" s="81" t="s">
        <v>2265</v>
      </c>
      <c r="Y350" s="81" t="s">
        <v>2284</v>
      </c>
      <c r="Z350" s="82">
        <v>2015</v>
      </c>
      <c r="AA350" s="81" t="s">
        <v>858</v>
      </c>
      <c r="AB350" s="81" t="s">
        <v>413</v>
      </c>
      <c r="AE350" s="10">
        <v>1</v>
      </c>
      <c r="AF350" s="83" t="s">
        <v>708</v>
      </c>
      <c r="AG350" s="14"/>
      <c r="AH350" s="14"/>
      <c r="AI350" s="14"/>
      <c r="AJ350" s="14"/>
      <c r="AK350" s="14"/>
      <c r="AL350" s="14"/>
      <c r="AM350" s="14"/>
      <c r="AN350" s="14"/>
      <c r="AO350" s="14"/>
      <c r="AP350" s="14"/>
      <c r="AQ350" s="14"/>
      <c r="AR350" s="14"/>
      <c r="AS350" s="14"/>
      <c r="AT350" s="14"/>
      <c r="AU350" s="14"/>
      <c r="AV350" s="14"/>
      <c r="AW350" s="14"/>
      <c r="AX350" s="14"/>
    </row>
    <row r="351" spans="1:50" ht="17.25" customHeight="1">
      <c r="A351" s="5" t="s">
        <v>423</v>
      </c>
      <c r="B351" s="5" t="s">
        <v>423</v>
      </c>
      <c r="C351" s="5" t="s">
        <v>706</v>
      </c>
      <c r="D351" s="7" t="s">
        <v>1055</v>
      </c>
      <c r="E351" s="24" t="s">
        <v>2</v>
      </c>
      <c r="F351" s="5" t="s">
        <v>1013</v>
      </c>
      <c r="G351" s="5" t="s">
        <v>865</v>
      </c>
      <c r="H351" s="24" t="s">
        <v>1</v>
      </c>
      <c r="I351" s="5" t="s">
        <v>854</v>
      </c>
      <c r="J351" s="5" t="s">
        <v>1049</v>
      </c>
      <c r="K351" s="19"/>
      <c r="L351" s="5" t="s">
        <v>1015</v>
      </c>
      <c r="M351" s="5" t="s">
        <v>1050</v>
      </c>
      <c r="N351" s="24" t="s">
        <v>0</v>
      </c>
      <c r="O351" s="24" t="s">
        <v>1</v>
      </c>
      <c r="P351" s="5" t="s">
        <v>1012</v>
      </c>
      <c r="Q351" s="24" t="s">
        <v>848</v>
      </c>
      <c r="R351" s="5" t="s">
        <v>854</v>
      </c>
      <c r="S351" s="4" t="s">
        <v>1053</v>
      </c>
      <c r="T351" s="5" t="s">
        <v>1050</v>
      </c>
      <c r="U351" s="5" t="s">
        <v>856</v>
      </c>
      <c r="V351" s="5" t="s">
        <v>759</v>
      </c>
      <c r="W351" s="14" t="b">
        <v>1</v>
      </c>
      <c r="X351" s="81" t="s">
        <v>2265</v>
      </c>
      <c r="Y351" s="81" t="s">
        <v>2284</v>
      </c>
      <c r="Z351" s="82">
        <v>2015</v>
      </c>
      <c r="AA351" s="81" t="s">
        <v>858</v>
      </c>
      <c r="AB351" s="81" t="s">
        <v>413</v>
      </c>
      <c r="AE351" s="10">
        <v>1</v>
      </c>
      <c r="AF351" s="83" t="s">
        <v>709</v>
      </c>
      <c r="AG351" s="14"/>
      <c r="AH351" s="14"/>
      <c r="AI351" s="14"/>
      <c r="AJ351" s="14"/>
      <c r="AK351" s="14"/>
      <c r="AL351" s="14"/>
      <c r="AM351" s="14"/>
      <c r="AN351" s="14"/>
      <c r="AO351" s="14"/>
      <c r="AP351" s="14"/>
      <c r="AQ351" s="14"/>
      <c r="AR351" s="14"/>
      <c r="AS351" s="14"/>
      <c r="AT351" s="14"/>
      <c r="AU351" s="14"/>
      <c r="AV351" s="14"/>
      <c r="AW351" s="14"/>
      <c r="AX351" s="14"/>
    </row>
    <row r="352" spans="1:50" ht="17.25" customHeight="1">
      <c r="A352" s="5" t="s">
        <v>423</v>
      </c>
      <c r="B352" s="5" t="s">
        <v>423</v>
      </c>
      <c r="C352" s="5" t="s">
        <v>706</v>
      </c>
      <c r="D352" s="7" t="s">
        <v>1056</v>
      </c>
      <c r="E352" s="24" t="s">
        <v>2</v>
      </c>
      <c r="F352" s="5" t="s">
        <v>1013</v>
      </c>
      <c r="G352" s="5" t="s">
        <v>865</v>
      </c>
      <c r="H352" s="24" t="s">
        <v>1</v>
      </c>
      <c r="I352" s="5" t="s">
        <v>854</v>
      </c>
      <c r="J352" s="5" t="s">
        <v>1049</v>
      </c>
      <c r="K352" s="19"/>
      <c r="L352" s="5" t="s">
        <v>1015</v>
      </c>
      <c r="M352" s="5" t="s">
        <v>1050</v>
      </c>
      <c r="N352" s="24" t="s">
        <v>0</v>
      </c>
      <c r="O352" s="24" t="s">
        <v>1</v>
      </c>
      <c r="P352" s="5" t="s">
        <v>1012</v>
      </c>
      <c r="Q352" s="24" t="s">
        <v>848</v>
      </c>
      <c r="R352" s="5" t="s">
        <v>854</v>
      </c>
      <c r="S352" s="4" t="s">
        <v>1053</v>
      </c>
      <c r="T352" s="5" t="s">
        <v>1050</v>
      </c>
      <c r="U352" s="5" t="s">
        <v>856</v>
      </c>
      <c r="V352" s="5" t="s">
        <v>759</v>
      </c>
      <c r="W352" s="14" t="b">
        <v>1</v>
      </c>
      <c r="X352" s="81" t="s">
        <v>2265</v>
      </c>
      <c r="Y352" s="81" t="s">
        <v>2284</v>
      </c>
      <c r="Z352" s="82">
        <v>2015</v>
      </c>
      <c r="AA352" s="81" t="s">
        <v>858</v>
      </c>
      <c r="AB352" s="81" t="s">
        <v>413</v>
      </c>
      <c r="AE352" s="10">
        <v>1</v>
      </c>
      <c r="AF352" s="83" t="s">
        <v>710</v>
      </c>
      <c r="AG352" s="14"/>
      <c r="AH352" s="14"/>
      <c r="AI352" s="14"/>
      <c r="AJ352" s="14"/>
      <c r="AK352" s="14"/>
      <c r="AL352" s="14"/>
      <c r="AM352" s="14"/>
      <c r="AN352" s="14"/>
      <c r="AO352" s="14"/>
      <c r="AP352" s="14"/>
      <c r="AQ352" s="14"/>
      <c r="AR352" s="14"/>
      <c r="AS352" s="14"/>
      <c r="AT352" s="14"/>
      <c r="AU352" s="14"/>
      <c r="AV352" s="14"/>
      <c r="AW352" s="14"/>
      <c r="AX352" s="14"/>
    </row>
    <row r="353" spans="1:50" ht="17.25" customHeight="1">
      <c r="A353" s="5" t="s">
        <v>423</v>
      </c>
      <c r="B353" s="5" t="s">
        <v>423</v>
      </c>
      <c r="C353" s="5" t="s">
        <v>706</v>
      </c>
      <c r="D353" s="7" t="s">
        <v>1057</v>
      </c>
      <c r="E353" s="24" t="s">
        <v>2</v>
      </c>
      <c r="F353" s="5" t="s">
        <v>1013</v>
      </c>
      <c r="G353" s="5" t="s">
        <v>865</v>
      </c>
      <c r="H353" s="24" t="s">
        <v>1</v>
      </c>
      <c r="I353" s="5" t="s">
        <v>854</v>
      </c>
      <c r="J353" s="5" t="s">
        <v>1049</v>
      </c>
      <c r="K353" s="19"/>
      <c r="L353" s="5" t="s">
        <v>1015</v>
      </c>
      <c r="M353" s="5" t="s">
        <v>1050</v>
      </c>
      <c r="N353" s="24" t="s">
        <v>0</v>
      </c>
      <c r="O353" s="24" t="s">
        <v>1</v>
      </c>
      <c r="P353" s="5" t="s">
        <v>1012</v>
      </c>
      <c r="Q353" s="24" t="s">
        <v>848</v>
      </c>
      <c r="R353" s="5" t="s">
        <v>854</v>
      </c>
      <c r="S353" s="4" t="s">
        <v>1053</v>
      </c>
      <c r="T353" s="5" t="s">
        <v>1050</v>
      </c>
      <c r="U353" s="5" t="s">
        <v>856</v>
      </c>
      <c r="V353" s="5" t="s">
        <v>759</v>
      </c>
      <c r="W353" s="14" t="b">
        <v>1</v>
      </c>
      <c r="X353" s="81" t="s">
        <v>2265</v>
      </c>
      <c r="Y353" s="81" t="s">
        <v>2284</v>
      </c>
      <c r="Z353" s="82">
        <v>2015</v>
      </c>
      <c r="AA353" s="81" t="s">
        <v>858</v>
      </c>
      <c r="AB353" s="81" t="s">
        <v>413</v>
      </c>
      <c r="AE353" s="10">
        <v>1</v>
      </c>
      <c r="AF353" s="83" t="s">
        <v>711</v>
      </c>
      <c r="AG353" s="14"/>
      <c r="AH353" s="14"/>
      <c r="AI353" s="14"/>
      <c r="AJ353" s="14"/>
      <c r="AK353" s="14"/>
      <c r="AL353" s="14"/>
      <c r="AM353" s="14"/>
      <c r="AN353" s="14"/>
      <c r="AO353" s="14"/>
      <c r="AP353" s="14"/>
      <c r="AQ353" s="14"/>
      <c r="AR353" s="14"/>
      <c r="AS353" s="14"/>
      <c r="AT353" s="14"/>
      <c r="AU353" s="14"/>
      <c r="AV353" s="14"/>
      <c r="AW353" s="14"/>
      <c r="AX353" s="14"/>
    </row>
    <row r="354" spans="1:50" ht="17.25" customHeight="1">
      <c r="A354" s="5" t="s">
        <v>423</v>
      </c>
      <c r="B354" s="5" t="s">
        <v>423</v>
      </c>
      <c r="C354" s="5" t="s">
        <v>706</v>
      </c>
      <c r="D354" s="7" t="s">
        <v>1058</v>
      </c>
      <c r="E354" s="24" t="s">
        <v>2</v>
      </c>
      <c r="F354" s="5" t="s">
        <v>1013</v>
      </c>
      <c r="G354" s="5" t="s">
        <v>865</v>
      </c>
      <c r="H354" s="24" t="s">
        <v>1</v>
      </c>
      <c r="I354" s="5" t="s">
        <v>854</v>
      </c>
      <c r="J354" s="5" t="s">
        <v>1049</v>
      </c>
      <c r="K354" s="19"/>
      <c r="L354" s="5" t="s">
        <v>1015</v>
      </c>
      <c r="M354" s="5" t="s">
        <v>1050</v>
      </c>
      <c r="N354" s="24" t="s">
        <v>0</v>
      </c>
      <c r="O354" s="24" t="s">
        <v>1</v>
      </c>
      <c r="P354" s="5" t="s">
        <v>1012</v>
      </c>
      <c r="Q354" s="24" t="s">
        <v>848</v>
      </c>
      <c r="R354" s="5" t="s">
        <v>854</v>
      </c>
      <c r="S354" s="4" t="s">
        <v>1053</v>
      </c>
      <c r="T354" s="5" t="s">
        <v>1050</v>
      </c>
      <c r="U354" s="5" t="s">
        <v>856</v>
      </c>
      <c r="V354" s="5" t="s">
        <v>759</v>
      </c>
      <c r="W354" s="14" t="b">
        <v>1</v>
      </c>
      <c r="X354" s="81" t="s">
        <v>2265</v>
      </c>
      <c r="Y354" s="81" t="s">
        <v>2284</v>
      </c>
      <c r="Z354" s="82">
        <v>2015</v>
      </c>
      <c r="AA354" s="81" t="s">
        <v>858</v>
      </c>
      <c r="AB354" s="81" t="s">
        <v>413</v>
      </c>
      <c r="AE354" s="10">
        <v>1</v>
      </c>
      <c r="AF354" s="83" t="s">
        <v>712</v>
      </c>
      <c r="AG354" s="14"/>
      <c r="AH354" s="14"/>
      <c r="AI354" s="14"/>
      <c r="AJ354" s="14"/>
      <c r="AK354" s="14"/>
      <c r="AL354" s="14"/>
      <c r="AM354" s="14"/>
      <c r="AN354" s="14"/>
      <c r="AO354" s="14"/>
      <c r="AP354" s="14"/>
      <c r="AQ354" s="14"/>
      <c r="AR354" s="14"/>
      <c r="AS354" s="14"/>
      <c r="AT354" s="14"/>
      <c r="AU354" s="14"/>
      <c r="AV354" s="14"/>
      <c r="AW354" s="14"/>
      <c r="AX354" s="14"/>
    </row>
    <row r="355" spans="1:50" ht="17.25" customHeight="1">
      <c r="A355" s="5" t="s">
        <v>423</v>
      </c>
      <c r="B355" s="5" t="s">
        <v>423</v>
      </c>
      <c r="C355" s="5" t="s">
        <v>706</v>
      </c>
      <c r="D355" s="7" t="s">
        <v>1059</v>
      </c>
      <c r="E355" s="24" t="s">
        <v>2</v>
      </c>
      <c r="F355" s="5" t="s">
        <v>1013</v>
      </c>
      <c r="G355" s="5" t="s">
        <v>865</v>
      </c>
      <c r="H355" s="24" t="s">
        <v>1</v>
      </c>
      <c r="I355" s="5" t="s">
        <v>854</v>
      </c>
      <c r="J355" s="5" t="s">
        <v>1049</v>
      </c>
      <c r="K355" s="19"/>
      <c r="L355" s="5" t="s">
        <v>1015</v>
      </c>
      <c r="M355" s="5" t="s">
        <v>1050</v>
      </c>
      <c r="N355" s="24" t="s">
        <v>0</v>
      </c>
      <c r="O355" s="24" t="s">
        <v>1</v>
      </c>
      <c r="P355" s="5" t="s">
        <v>1012</v>
      </c>
      <c r="Q355" s="24" t="s">
        <v>848</v>
      </c>
      <c r="R355" s="5" t="s">
        <v>854</v>
      </c>
      <c r="S355" s="4" t="s">
        <v>1053</v>
      </c>
      <c r="T355" s="5" t="s">
        <v>1050</v>
      </c>
      <c r="U355" s="5" t="s">
        <v>856</v>
      </c>
      <c r="V355" s="5" t="s">
        <v>759</v>
      </c>
      <c r="W355" s="14" t="b">
        <v>1</v>
      </c>
      <c r="X355" s="81" t="s">
        <v>2265</v>
      </c>
      <c r="Y355" s="81" t="s">
        <v>2284</v>
      </c>
      <c r="Z355" s="82">
        <v>2015</v>
      </c>
      <c r="AA355" s="81" t="s">
        <v>858</v>
      </c>
      <c r="AB355" s="81" t="s">
        <v>413</v>
      </c>
      <c r="AE355" s="10">
        <v>1</v>
      </c>
      <c r="AF355" s="83" t="s">
        <v>713</v>
      </c>
      <c r="AG355" s="14"/>
      <c r="AH355" s="14"/>
      <c r="AI355" s="14"/>
      <c r="AJ355" s="14"/>
      <c r="AK355" s="14"/>
      <c r="AL355" s="14"/>
      <c r="AM355" s="14"/>
      <c r="AN355" s="14"/>
      <c r="AO355" s="14"/>
      <c r="AP355" s="14"/>
      <c r="AQ355" s="14"/>
      <c r="AR355" s="14"/>
      <c r="AS355" s="14"/>
      <c r="AT355" s="14"/>
      <c r="AU355" s="14"/>
      <c r="AV355" s="14"/>
      <c r="AW355" s="14"/>
      <c r="AX355" s="14"/>
    </row>
    <row r="356" spans="1:50" ht="17.25" customHeight="1">
      <c r="A356" s="5" t="s">
        <v>423</v>
      </c>
      <c r="B356" s="5" t="s">
        <v>423</v>
      </c>
      <c r="C356" s="5" t="s">
        <v>706</v>
      </c>
      <c r="D356" s="7" t="s">
        <v>1060</v>
      </c>
      <c r="E356" s="24" t="s">
        <v>2</v>
      </c>
      <c r="F356" s="5" t="s">
        <v>1013</v>
      </c>
      <c r="G356" s="5" t="s">
        <v>865</v>
      </c>
      <c r="H356" s="24" t="s">
        <v>1</v>
      </c>
      <c r="I356" s="5" t="s">
        <v>854</v>
      </c>
      <c r="J356" s="5" t="s">
        <v>1049</v>
      </c>
      <c r="K356" s="19"/>
      <c r="L356" s="5" t="s">
        <v>1015</v>
      </c>
      <c r="M356" s="5" t="s">
        <v>1050</v>
      </c>
      <c r="N356" s="24" t="s">
        <v>0</v>
      </c>
      <c r="O356" s="24" t="s">
        <v>1</v>
      </c>
      <c r="P356" s="5" t="s">
        <v>1012</v>
      </c>
      <c r="Q356" s="24" t="s">
        <v>848</v>
      </c>
      <c r="R356" s="5" t="s">
        <v>854</v>
      </c>
      <c r="S356" s="4" t="s">
        <v>1053</v>
      </c>
      <c r="T356" s="5" t="s">
        <v>1050</v>
      </c>
      <c r="U356" s="5" t="s">
        <v>856</v>
      </c>
      <c r="V356" s="5" t="s">
        <v>759</v>
      </c>
      <c r="W356" s="14" t="b">
        <v>1</v>
      </c>
      <c r="X356" s="81" t="s">
        <v>2265</v>
      </c>
      <c r="Y356" s="81" t="s">
        <v>2284</v>
      </c>
      <c r="Z356" s="82">
        <v>2015</v>
      </c>
      <c r="AA356" s="81" t="s">
        <v>858</v>
      </c>
      <c r="AB356" s="81" t="s">
        <v>413</v>
      </c>
      <c r="AE356" s="10">
        <v>1</v>
      </c>
      <c r="AF356" s="83" t="s">
        <v>714</v>
      </c>
      <c r="AG356" s="14"/>
      <c r="AH356" s="14"/>
      <c r="AI356" s="14"/>
      <c r="AJ356" s="14"/>
      <c r="AK356" s="14"/>
      <c r="AL356" s="14"/>
      <c r="AM356" s="14"/>
      <c r="AN356" s="14"/>
      <c r="AO356" s="14"/>
      <c r="AP356" s="14"/>
      <c r="AQ356" s="14"/>
      <c r="AR356" s="14"/>
      <c r="AS356" s="14"/>
      <c r="AT356" s="14"/>
      <c r="AU356" s="14"/>
      <c r="AV356" s="14"/>
      <c r="AW356" s="14"/>
      <c r="AX356" s="14"/>
    </row>
    <row r="357" spans="1:50" ht="17.25" customHeight="1">
      <c r="A357" s="5" t="s">
        <v>423</v>
      </c>
      <c r="B357" s="5" t="s">
        <v>423</v>
      </c>
      <c r="C357" s="5" t="s">
        <v>706</v>
      </c>
      <c r="D357" s="7" t="s">
        <v>1061</v>
      </c>
      <c r="E357" s="24" t="s">
        <v>2</v>
      </c>
      <c r="F357" s="5" t="s">
        <v>1013</v>
      </c>
      <c r="G357" s="5" t="s">
        <v>865</v>
      </c>
      <c r="H357" s="24" t="s">
        <v>1</v>
      </c>
      <c r="I357" s="5" t="s">
        <v>854</v>
      </c>
      <c r="J357" s="5" t="s">
        <v>1049</v>
      </c>
      <c r="K357" s="19"/>
      <c r="L357" s="5" t="s">
        <v>1015</v>
      </c>
      <c r="M357" s="5" t="s">
        <v>1050</v>
      </c>
      <c r="N357" s="24" t="s">
        <v>0</v>
      </c>
      <c r="O357" s="24" t="s">
        <v>1</v>
      </c>
      <c r="P357" s="5" t="s">
        <v>1012</v>
      </c>
      <c r="Q357" s="24" t="s">
        <v>848</v>
      </c>
      <c r="R357" s="5" t="s">
        <v>854</v>
      </c>
      <c r="S357" s="4" t="s">
        <v>1053</v>
      </c>
      <c r="T357" s="5" t="s">
        <v>1050</v>
      </c>
      <c r="U357" s="5" t="s">
        <v>856</v>
      </c>
      <c r="V357" s="5" t="s">
        <v>759</v>
      </c>
      <c r="W357" s="14" t="b">
        <v>1</v>
      </c>
      <c r="X357" s="81" t="s">
        <v>2265</v>
      </c>
      <c r="Y357" s="81" t="s">
        <v>2284</v>
      </c>
      <c r="Z357" s="82">
        <v>2015</v>
      </c>
      <c r="AA357" s="81" t="s">
        <v>858</v>
      </c>
      <c r="AB357" s="81" t="s">
        <v>413</v>
      </c>
      <c r="AE357" s="10">
        <v>1</v>
      </c>
      <c r="AF357" s="83" t="s">
        <v>715</v>
      </c>
      <c r="AG357" s="14"/>
      <c r="AH357" s="14"/>
      <c r="AI357" s="14"/>
      <c r="AJ357" s="14"/>
      <c r="AK357" s="14"/>
      <c r="AL357" s="14"/>
      <c r="AM357" s="14"/>
      <c r="AN357" s="14"/>
      <c r="AO357" s="14"/>
      <c r="AP357" s="14"/>
      <c r="AQ357" s="14"/>
      <c r="AR357" s="14"/>
      <c r="AS357" s="14"/>
      <c r="AT357" s="14"/>
      <c r="AU357" s="14"/>
      <c r="AV357" s="14"/>
      <c r="AW357" s="14"/>
      <c r="AX357" s="14"/>
    </row>
    <row r="358" spans="1:50" ht="17.25" customHeight="1">
      <c r="A358" s="5" t="s">
        <v>716</v>
      </c>
      <c r="B358" s="5" t="s">
        <v>716</v>
      </c>
      <c r="C358" s="5" t="s">
        <v>718</v>
      </c>
      <c r="D358" s="7" t="s">
        <v>1062</v>
      </c>
      <c r="E358" s="24" t="s">
        <v>2</v>
      </c>
      <c r="F358" s="5" t="s">
        <v>1013</v>
      </c>
      <c r="G358" s="5" t="s">
        <v>865</v>
      </c>
      <c r="H358" s="24" t="s">
        <v>1</v>
      </c>
      <c r="I358" s="5" t="s">
        <v>854</v>
      </c>
      <c r="J358" s="19"/>
      <c r="K358" s="19"/>
      <c r="L358" s="5" t="s">
        <v>1015</v>
      </c>
      <c r="M358" s="5" t="s">
        <v>1063</v>
      </c>
      <c r="N358" s="24" t="s">
        <v>0</v>
      </c>
      <c r="O358" s="24" t="s">
        <v>1</v>
      </c>
      <c r="P358" s="5" t="s">
        <v>1012</v>
      </c>
      <c r="Q358" s="24" t="s">
        <v>848</v>
      </c>
      <c r="R358" s="5" t="s">
        <v>854</v>
      </c>
      <c r="S358" s="4" t="s">
        <v>1064</v>
      </c>
      <c r="T358" s="5" t="s">
        <v>1063</v>
      </c>
      <c r="U358" s="5" t="s">
        <v>856</v>
      </c>
      <c r="V358" s="5" t="s">
        <v>759</v>
      </c>
      <c r="W358" s="14" t="b">
        <v>1</v>
      </c>
      <c r="X358" s="81" t="s">
        <v>2410</v>
      </c>
      <c r="Y358" s="81" t="s">
        <v>2285</v>
      </c>
      <c r="Z358" s="82">
        <v>2016</v>
      </c>
      <c r="AA358" s="81" t="s">
        <v>858</v>
      </c>
      <c r="AB358" s="81" t="s">
        <v>413</v>
      </c>
      <c r="AE358" s="10">
        <v>1</v>
      </c>
      <c r="AF358" s="83" t="s">
        <v>717</v>
      </c>
      <c r="AG358" s="14"/>
      <c r="AH358" s="14"/>
      <c r="AI358" s="14"/>
      <c r="AJ358" s="14"/>
      <c r="AK358" s="14"/>
      <c r="AL358" s="14"/>
      <c r="AM358" s="14"/>
      <c r="AN358" s="14"/>
      <c r="AO358" s="14"/>
      <c r="AP358" s="14"/>
      <c r="AQ358" s="14"/>
      <c r="AR358" s="14"/>
      <c r="AS358" s="14"/>
      <c r="AT358" s="14"/>
      <c r="AU358" s="14"/>
      <c r="AV358" s="14"/>
      <c r="AW358" s="14"/>
      <c r="AX358" s="14"/>
    </row>
    <row r="359" spans="1:50" ht="17.25" customHeight="1">
      <c r="A359" s="5" t="s">
        <v>720</v>
      </c>
      <c r="B359" s="5" t="s">
        <v>720</v>
      </c>
      <c r="C359" s="5" t="s">
        <v>718</v>
      </c>
      <c r="D359" s="7" t="s">
        <v>1065</v>
      </c>
      <c r="E359" s="24" t="s">
        <v>2</v>
      </c>
      <c r="F359" s="5" t="s">
        <v>1013</v>
      </c>
      <c r="G359" s="5" t="s">
        <v>865</v>
      </c>
      <c r="H359" s="24" t="s">
        <v>1</v>
      </c>
      <c r="I359" s="5" t="s">
        <v>854</v>
      </c>
      <c r="J359" s="19"/>
      <c r="K359" s="19"/>
      <c r="L359" s="5" t="s">
        <v>1015</v>
      </c>
      <c r="M359" s="5" t="s">
        <v>1063</v>
      </c>
      <c r="N359" s="24" t="s">
        <v>0</v>
      </c>
      <c r="O359" s="24" t="s">
        <v>1</v>
      </c>
      <c r="P359" s="5" t="s">
        <v>1012</v>
      </c>
      <c r="Q359" s="24" t="s">
        <v>848</v>
      </c>
      <c r="R359" s="5" t="s">
        <v>854</v>
      </c>
      <c r="S359" s="4" t="s">
        <v>1064</v>
      </c>
      <c r="T359" s="5" t="s">
        <v>1063</v>
      </c>
      <c r="U359" s="5" t="s">
        <v>856</v>
      </c>
      <c r="V359" s="5" t="s">
        <v>759</v>
      </c>
      <c r="W359" s="14" t="b">
        <v>1</v>
      </c>
      <c r="X359" s="81" t="s">
        <v>2410</v>
      </c>
      <c r="Y359" s="81" t="s">
        <v>2285</v>
      </c>
      <c r="Z359" s="82">
        <v>2016</v>
      </c>
      <c r="AA359" s="81" t="s">
        <v>858</v>
      </c>
      <c r="AB359" s="81" t="s">
        <v>413</v>
      </c>
      <c r="AE359" s="10">
        <v>1</v>
      </c>
      <c r="AF359" s="83" t="s">
        <v>717</v>
      </c>
      <c r="AG359" s="14"/>
      <c r="AH359" s="14"/>
      <c r="AI359" s="14"/>
      <c r="AJ359" s="14"/>
      <c r="AK359" s="14"/>
      <c r="AL359" s="14"/>
      <c r="AM359" s="14"/>
      <c r="AN359" s="14"/>
      <c r="AO359" s="14"/>
      <c r="AP359" s="14"/>
      <c r="AQ359" s="14"/>
      <c r="AR359" s="14"/>
      <c r="AS359" s="14"/>
      <c r="AT359" s="14"/>
      <c r="AU359" s="14"/>
      <c r="AV359" s="14"/>
      <c r="AW359" s="14"/>
      <c r="AX359" s="14"/>
    </row>
    <row r="360" spans="1:50" ht="17.25" customHeight="1">
      <c r="A360" s="5" t="s">
        <v>721</v>
      </c>
      <c r="B360" s="5" t="s">
        <v>721</v>
      </c>
      <c r="C360" s="5" t="s">
        <v>718</v>
      </c>
      <c r="D360" s="7" t="s">
        <v>1066</v>
      </c>
      <c r="E360" s="24" t="s">
        <v>2</v>
      </c>
      <c r="F360" s="5" t="s">
        <v>1013</v>
      </c>
      <c r="G360" s="5" t="s">
        <v>865</v>
      </c>
      <c r="H360" s="24" t="s">
        <v>1</v>
      </c>
      <c r="I360" s="5" t="s">
        <v>854</v>
      </c>
      <c r="J360" s="19"/>
      <c r="K360" s="19"/>
      <c r="L360" s="5" t="s">
        <v>1015</v>
      </c>
      <c r="M360" s="5" t="s">
        <v>1063</v>
      </c>
      <c r="N360" s="24" t="s">
        <v>0</v>
      </c>
      <c r="O360" s="24" t="s">
        <v>1</v>
      </c>
      <c r="P360" s="5" t="s">
        <v>1012</v>
      </c>
      <c r="Q360" s="24" t="s">
        <v>848</v>
      </c>
      <c r="R360" s="5" t="s">
        <v>854</v>
      </c>
      <c r="S360" s="4" t="s">
        <v>1064</v>
      </c>
      <c r="T360" s="5" t="s">
        <v>1063</v>
      </c>
      <c r="U360" s="5" t="s">
        <v>856</v>
      </c>
      <c r="V360" s="5" t="s">
        <v>759</v>
      </c>
      <c r="W360" s="14" t="b">
        <v>1</v>
      </c>
      <c r="X360" s="81" t="s">
        <v>2410</v>
      </c>
      <c r="Y360" s="81" t="s">
        <v>2285</v>
      </c>
      <c r="Z360" s="82">
        <v>2016</v>
      </c>
      <c r="AA360" s="81" t="s">
        <v>858</v>
      </c>
      <c r="AB360" s="81" t="s">
        <v>413</v>
      </c>
      <c r="AE360" s="10">
        <v>1</v>
      </c>
      <c r="AF360" s="83" t="s">
        <v>717</v>
      </c>
      <c r="AG360" s="14"/>
      <c r="AH360" s="14"/>
      <c r="AI360" s="14"/>
      <c r="AJ360" s="14"/>
      <c r="AK360" s="14"/>
      <c r="AL360" s="14"/>
      <c r="AM360" s="14"/>
      <c r="AN360" s="14"/>
      <c r="AO360" s="14"/>
      <c r="AP360" s="14"/>
      <c r="AQ360" s="14"/>
      <c r="AR360" s="14"/>
      <c r="AS360" s="14"/>
      <c r="AT360" s="14"/>
      <c r="AU360" s="14"/>
      <c r="AV360" s="14"/>
      <c r="AW360" s="14"/>
      <c r="AX360" s="14"/>
    </row>
    <row r="361" spans="1:50" ht="17.25" customHeight="1">
      <c r="A361" s="5" t="s">
        <v>722</v>
      </c>
      <c r="B361" s="5" t="s">
        <v>722</v>
      </c>
      <c r="C361" s="5" t="s">
        <v>718</v>
      </c>
      <c r="D361" s="7" t="s">
        <v>1067</v>
      </c>
      <c r="E361" s="24" t="s">
        <v>2</v>
      </c>
      <c r="F361" s="5" t="s">
        <v>1013</v>
      </c>
      <c r="G361" s="5" t="s">
        <v>865</v>
      </c>
      <c r="H361" s="24" t="s">
        <v>1</v>
      </c>
      <c r="I361" s="5" t="s">
        <v>854</v>
      </c>
      <c r="J361" s="19"/>
      <c r="K361" s="19"/>
      <c r="L361" s="5" t="s">
        <v>1015</v>
      </c>
      <c r="M361" s="5" t="s">
        <v>1063</v>
      </c>
      <c r="N361" s="24" t="s">
        <v>0</v>
      </c>
      <c r="O361" s="24" t="s">
        <v>1</v>
      </c>
      <c r="P361" s="5" t="s">
        <v>1012</v>
      </c>
      <c r="Q361" s="24" t="s">
        <v>848</v>
      </c>
      <c r="R361" s="5" t="s">
        <v>854</v>
      </c>
      <c r="S361" s="4" t="s">
        <v>1064</v>
      </c>
      <c r="T361" s="5" t="s">
        <v>1063</v>
      </c>
      <c r="U361" s="5" t="s">
        <v>856</v>
      </c>
      <c r="V361" s="5" t="s">
        <v>759</v>
      </c>
      <c r="W361" s="14" t="b">
        <v>1</v>
      </c>
      <c r="X361" s="81" t="s">
        <v>2410</v>
      </c>
      <c r="Y361" s="81" t="s">
        <v>2285</v>
      </c>
      <c r="Z361" s="82">
        <v>2016</v>
      </c>
      <c r="AA361" s="81" t="s">
        <v>858</v>
      </c>
      <c r="AB361" s="81" t="s">
        <v>413</v>
      </c>
      <c r="AE361" s="10">
        <v>1</v>
      </c>
      <c r="AF361" s="83" t="s">
        <v>717</v>
      </c>
      <c r="AG361" s="14"/>
      <c r="AH361" s="14"/>
      <c r="AI361" s="14"/>
      <c r="AJ361" s="14"/>
      <c r="AK361" s="14"/>
      <c r="AL361" s="14"/>
      <c r="AM361" s="14"/>
      <c r="AN361" s="14"/>
      <c r="AO361" s="14"/>
      <c r="AP361" s="14"/>
      <c r="AQ361" s="14"/>
      <c r="AR361" s="14"/>
      <c r="AS361" s="14"/>
      <c r="AT361" s="14"/>
      <c r="AU361" s="14"/>
      <c r="AV361" s="14"/>
      <c r="AW361" s="14"/>
      <c r="AX361" s="14"/>
    </row>
    <row r="362" spans="1:50" ht="17.25" customHeight="1">
      <c r="A362" s="5" t="s">
        <v>723</v>
      </c>
      <c r="B362" s="5" t="s">
        <v>723</v>
      </c>
      <c r="C362" s="5" t="s">
        <v>718</v>
      </c>
      <c r="D362" s="7" t="s">
        <v>1068</v>
      </c>
      <c r="E362" s="24" t="s">
        <v>2</v>
      </c>
      <c r="F362" s="5" t="s">
        <v>1013</v>
      </c>
      <c r="G362" s="5" t="s">
        <v>865</v>
      </c>
      <c r="H362" s="24" t="s">
        <v>1</v>
      </c>
      <c r="I362" s="5" t="s">
        <v>854</v>
      </c>
      <c r="J362" s="19"/>
      <c r="K362" s="19"/>
      <c r="L362" s="5" t="s">
        <v>1015</v>
      </c>
      <c r="M362" s="5" t="s">
        <v>1063</v>
      </c>
      <c r="N362" s="24" t="s">
        <v>0</v>
      </c>
      <c r="O362" s="24" t="s">
        <v>1</v>
      </c>
      <c r="P362" s="5" t="s">
        <v>1012</v>
      </c>
      <c r="Q362" s="24" t="s">
        <v>848</v>
      </c>
      <c r="R362" s="5" t="s">
        <v>854</v>
      </c>
      <c r="S362" s="4" t="s">
        <v>1064</v>
      </c>
      <c r="T362" s="5" t="s">
        <v>1063</v>
      </c>
      <c r="U362" s="5" t="s">
        <v>856</v>
      </c>
      <c r="V362" s="5" t="s">
        <v>759</v>
      </c>
      <c r="W362" s="14" t="b">
        <v>1</v>
      </c>
      <c r="X362" s="81" t="s">
        <v>2410</v>
      </c>
      <c r="Y362" s="81" t="s">
        <v>2285</v>
      </c>
      <c r="Z362" s="82">
        <v>2016</v>
      </c>
      <c r="AA362" s="81" t="s">
        <v>858</v>
      </c>
      <c r="AB362" s="81" t="s">
        <v>413</v>
      </c>
      <c r="AE362" s="10">
        <v>1</v>
      </c>
      <c r="AF362" s="83" t="s">
        <v>717</v>
      </c>
      <c r="AG362" s="14"/>
      <c r="AH362" s="14"/>
      <c r="AI362" s="14"/>
      <c r="AJ362" s="14"/>
      <c r="AK362" s="14"/>
      <c r="AL362" s="14"/>
      <c r="AM362" s="14"/>
      <c r="AN362" s="14"/>
      <c r="AO362" s="14"/>
      <c r="AP362" s="14"/>
      <c r="AQ362" s="14"/>
      <c r="AR362" s="14"/>
      <c r="AS362" s="14"/>
      <c r="AT362" s="14"/>
      <c r="AU362" s="14"/>
      <c r="AV362" s="14"/>
      <c r="AW362" s="14"/>
      <c r="AX362" s="14"/>
    </row>
    <row r="363" spans="1:50" ht="17.25" customHeight="1">
      <c r="A363" s="5" t="s">
        <v>724</v>
      </c>
      <c r="B363" s="5" t="s">
        <v>724</v>
      </c>
      <c r="C363" s="5" t="s">
        <v>718</v>
      </c>
      <c r="D363" s="7" t="s">
        <v>1069</v>
      </c>
      <c r="E363" s="24" t="s">
        <v>2</v>
      </c>
      <c r="F363" s="5" t="s">
        <v>1013</v>
      </c>
      <c r="G363" s="5" t="s">
        <v>865</v>
      </c>
      <c r="H363" s="24" t="s">
        <v>1</v>
      </c>
      <c r="I363" s="5" t="s">
        <v>854</v>
      </c>
      <c r="J363" s="19"/>
      <c r="K363" s="19"/>
      <c r="L363" s="5" t="s">
        <v>1015</v>
      </c>
      <c r="M363" s="5" t="s">
        <v>1063</v>
      </c>
      <c r="N363" s="24" t="s">
        <v>0</v>
      </c>
      <c r="O363" s="24" t="s">
        <v>1</v>
      </c>
      <c r="P363" s="5" t="s">
        <v>1012</v>
      </c>
      <c r="Q363" s="24" t="s">
        <v>848</v>
      </c>
      <c r="R363" s="5" t="s">
        <v>854</v>
      </c>
      <c r="S363" s="4" t="s">
        <v>1064</v>
      </c>
      <c r="T363" s="5" t="s">
        <v>1063</v>
      </c>
      <c r="U363" s="5" t="s">
        <v>856</v>
      </c>
      <c r="V363" s="5" t="s">
        <v>759</v>
      </c>
      <c r="W363" s="14" t="b">
        <v>1</v>
      </c>
      <c r="X363" s="81" t="s">
        <v>2410</v>
      </c>
      <c r="Y363" s="81" t="s">
        <v>2285</v>
      </c>
      <c r="Z363" s="82">
        <v>2016</v>
      </c>
      <c r="AA363" s="81" t="s">
        <v>858</v>
      </c>
      <c r="AB363" s="81" t="s">
        <v>413</v>
      </c>
      <c r="AE363" s="10">
        <v>1</v>
      </c>
      <c r="AF363" s="83" t="s">
        <v>717</v>
      </c>
      <c r="AG363" s="14"/>
      <c r="AH363" s="14"/>
      <c r="AI363" s="14"/>
      <c r="AJ363" s="14"/>
      <c r="AK363" s="14"/>
      <c r="AL363" s="14"/>
      <c r="AM363" s="14"/>
      <c r="AN363" s="14"/>
      <c r="AO363" s="14"/>
      <c r="AP363" s="14"/>
      <c r="AQ363" s="14"/>
      <c r="AR363" s="14"/>
      <c r="AS363" s="14"/>
      <c r="AT363" s="14"/>
      <c r="AU363" s="14"/>
      <c r="AV363" s="14"/>
      <c r="AW363" s="14"/>
      <c r="AX363" s="14"/>
    </row>
    <row r="364" spans="1:50" ht="17.25" customHeight="1">
      <c r="A364" s="5" t="s">
        <v>725</v>
      </c>
      <c r="B364" s="5" t="s">
        <v>725</v>
      </c>
      <c r="C364" s="5" t="s">
        <v>718</v>
      </c>
      <c r="D364" s="7" t="s">
        <v>1070</v>
      </c>
      <c r="E364" s="24" t="s">
        <v>2</v>
      </c>
      <c r="F364" s="5" t="s">
        <v>1013</v>
      </c>
      <c r="G364" s="5" t="s">
        <v>865</v>
      </c>
      <c r="H364" s="24" t="s">
        <v>1</v>
      </c>
      <c r="I364" s="5" t="s">
        <v>854</v>
      </c>
      <c r="J364" s="19"/>
      <c r="K364" s="19"/>
      <c r="L364" s="5" t="s">
        <v>1015</v>
      </c>
      <c r="M364" s="5" t="s">
        <v>1063</v>
      </c>
      <c r="N364" s="24" t="s">
        <v>0</v>
      </c>
      <c r="O364" s="24" t="s">
        <v>1</v>
      </c>
      <c r="P364" s="5" t="s">
        <v>1012</v>
      </c>
      <c r="Q364" s="24" t="s">
        <v>848</v>
      </c>
      <c r="R364" s="5" t="s">
        <v>854</v>
      </c>
      <c r="S364" s="4" t="s">
        <v>1064</v>
      </c>
      <c r="T364" s="5" t="s">
        <v>1063</v>
      </c>
      <c r="U364" s="5" t="s">
        <v>856</v>
      </c>
      <c r="V364" s="5" t="s">
        <v>759</v>
      </c>
      <c r="W364" s="14" t="b">
        <v>1</v>
      </c>
      <c r="X364" s="81" t="s">
        <v>2410</v>
      </c>
      <c r="Y364" s="81" t="s">
        <v>2285</v>
      </c>
      <c r="Z364" s="82">
        <v>2016</v>
      </c>
      <c r="AA364" s="81" t="s">
        <v>858</v>
      </c>
      <c r="AB364" s="81" t="s">
        <v>413</v>
      </c>
      <c r="AE364" s="10">
        <v>1</v>
      </c>
      <c r="AF364" s="83" t="s">
        <v>717</v>
      </c>
      <c r="AG364" s="14"/>
      <c r="AH364" s="14"/>
      <c r="AI364" s="14"/>
      <c r="AJ364" s="14"/>
      <c r="AK364" s="14"/>
      <c r="AL364" s="14"/>
      <c r="AM364" s="14"/>
      <c r="AN364" s="14"/>
      <c r="AO364" s="14"/>
      <c r="AP364" s="14"/>
      <c r="AQ364" s="14"/>
      <c r="AR364" s="14"/>
      <c r="AS364" s="14"/>
      <c r="AT364" s="14"/>
      <c r="AU364" s="14"/>
      <c r="AV364" s="14"/>
      <c r="AW364" s="14"/>
      <c r="AX364" s="14"/>
    </row>
    <row r="365" spans="1:50" ht="17.25" customHeight="1">
      <c r="A365" s="5" t="s">
        <v>726</v>
      </c>
      <c r="B365" s="5" t="s">
        <v>726</v>
      </c>
      <c r="C365" s="5" t="s">
        <v>718</v>
      </c>
      <c r="D365" s="7" t="s">
        <v>1071</v>
      </c>
      <c r="E365" s="24" t="s">
        <v>2</v>
      </c>
      <c r="F365" s="5" t="s">
        <v>1013</v>
      </c>
      <c r="G365" s="5" t="s">
        <v>865</v>
      </c>
      <c r="H365" s="24" t="s">
        <v>1</v>
      </c>
      <c r="I365" s="5" t="s">
        <v>854</v>
      </c>
      <c r="J365" s="19"/>
      <c r="K365" s="19"/>
      <c r="L365" s="5" t="s">
        <v>1015</v>
      </c>
      <c r="M365" s="5" t="s">
        <v>1063</v>
      </c>
      <c r="N365" s="24" t="s">
        <v>0</v>
      </c>
      <c r="O365" s="24" t="s">
        <v>1</v>
      </c>
      <c r="P365" s="5" t="s">
        <v>1012</v>
      </c>
      <c r="Q365" s="24" t="s">
        <v>848</v>
      </c>
      <c r="R365" s="5" t="s">
        <v>854</v>
      </c>
      <c r="S365" s="4" t="s">
        <v>1064</v>
      </c>
      <c r="T365" s="5" t="s">
        <v>1063</v>
      </c>
      <c r="U365" s="5" t="s">
        <v>856</v>
      </c>
      <c r="V365" s="5" t="s">
        <v>759</v>
      </c>
      <c r="W365" s="14" t="b">
        <v>1</v>
      </c>
      <c r="X365" s="81" t="s">
        <v>2410</v>
      </c>
      <c r="Y365" s="81" t="s">
        <v>2285</v>
      </c>
      <c r="Z365" s="82">
        <v>2016</v>
      </c>
      <c r="AA365" s="81" t="s">
        <v>858</v>
      </c>
      <c r="AB365" s="81" t="s">
        <v>413</v>
      </c>
      <c r="AE365" s="10">
        <v>1</v>
      </c>
      <c r="AF365" s="83" t="s">
        <v>717</v>
      </c>
      <c r="AG365" s="14"/>
      <c r="AH365" s="14"/>
      <c r="AI365" s="14"/>
      <c r="AJ365" s="14"/>
      <c r="AK365" s="14"/>
      <c r="AL365" s="14"/>
      <c r="AM365" s="14"/>
      <c r="AN365" s="14"/>
      <c r="AO365" s="14"/>
      <c r="AP365" s="14"/>
      <c r="AQ365" s="14"/>
      <c r="AR365" s="14"/>
      <c r="AS365" s="14"/>
      <c r="AT365" s="14"/>
      <c r="AU365" s="14"/>
      <c r="AV365" s="14"/>
      <c r="AW365" s="14"/>
      <c r="AX365" s="14"/>
    </row>
    <row r="366" spans="1:50" ht="17.25" customHeight="1">
      <c r="A366" s="5" t="s">
        <v>727</v>
      </c>
      <c r="B366" s="5" t="s">
        <v>727</v>
      </c>
      <c r="C366" s="5" t="s">
        <v>718</v>
      </c>
      <c r="D366" s="7" t="s">
        <v>1072</v>
      </c>
      <c r="E366" s="24" t="s">
        <v>2</v>
      </c>
      <c r="F366" s="5" t="s">
        <v>1013</v>
      </c>
      <c r="G366" s="5" t="s">
        <v>865</v>
      </c>
      <c r="H366" s="24" t="s">
        <v>1</v>
      </c>
      <c r="I366" s="5" t="s">
        <v>854</v>
      </c>
      <c r="J366" s="19"/>
      <c r="K366" s="19"/>
      <c r="L366" s="5" t="s">
        <v>1015</v>
      </c>
      <c r="M366" s="5" t="s">
        <v>1063</v>
      </c>
      <c r="N366" s="24" t="s">
        <v>0</v>
      </c>
      <c r="O366" s="24" t="s">
        <v>1</v>
      </c>
      <c r="P366" s="5" t="s">
        <v>1012</v>
      </c>
      <c r="Q366" s="24" t="s">
        <v>848</v>
      </c>
      <c r="R366" s="5" t="s">
        <v>854</v>
      </c>
      <c r="S366" s="4" t="s">
        <v>1064</v>
      </c>
      <c r="T366" s="5" t="s">
        <v>1063</v>
      </c>
      <c r="U366" s="5" t="s">
        <v>856</v>
      </c>
      <c r="V366" s="5" t="s">
        <v>759</v>
      </c>
      <c r="W366" s="14" t="b">
        <v>1</v>
      </c>
      <c r="X366" s="81" t="s">
        <v>2410</v>
      </c>
      <c r="Y366" s="81" t="s">
        <v>2285</v>
      </c>
      <c r="Z366" s="82">
        <v>2016</v>
      </c>
      <c r="AA366" s="81" t="s">
        <v>858</v>
      </c>
      <c r="AB366" s="81" t="s">
        <v>413</v>
      </c>
      <c r="AE366" s="10">
        <v>1</v>
      </c>
      <c r="AF366" s="83" t="s">
        <v>717</v>
      </c>
      <c r="AG366" s="14"/>
      <c r="AH366" s="14"/>
      <c r="AI366" s="14"/>
      <c r="AJ366" s="14"/>
      <c r="AK366" s="14"/>
      <c r="AL366" s="14"/>
      <c r="AM366" s="14"/>
      <c r="AN366" s="14"/>
      <c r="AO366" s="14"/>
      <c r="AP366" s="14"/>
      <c r="AQ366" s="14"/>
      <c r="AR366" s="14"/>
      <c r="AS366" s="14"/>
      <c r="AT366" s="14"/>
      <c r="AU366" s="14"/>
      <c r="AV366" s="14"/>
      <c r="AW366" s="14"/>
      <c r="AX366" s="14"/>
    </row>
    <row r="367" spans="1:50" ht="17.25" customHeight="1">
      <c r="A367" s="5" t="s">
        <v>728</v>
      </c>
      <c r="B367" s="5" t="s">
        <v>728</v>
      </c>
      <c r="C367" s="5" t="s">
        <v>718</v>
      </c>
      <c r="D367" s="7" t="s">
        <v>1073</v>
      </c>
      <c r="E367" s="24" t="s">
        <v>2</v>
      </c>
      <c r="F367" s="5" t="s">
        <v>1013</v>
      </c>
      <c r="G367" s="5" t="s">
        <v>865</v>
      </c>
      <c r="H367" s="24" t="s">
        <v>1</v>
      </c>
      <c r="I367" s="5" t="s">
        <v>854</v>
      </c>
      <c r="J367" s="19"/>
      <c r="K367" s="19"/>
      <c r="L367" s="5" t="s">
        <v>1015</v>
      </c>
      <c r="M367" s="5" t="s">
        <v>1063</v>
      </c>
      <c r="N367" s="24" t="s">
        <v>0</v>
      </c>
      <c r="O367" s="24" t="s">
        <v>1</v>
      </c>
      <c r="P367" s="5" t="s">
        <v>1012</v>
      </c>
      <c r="Q367" s="24" t="s">
        <v>848</v>
      </c>
      <c r="R367" s="5" t="s">
        <v>854</v>
      </c>
      <c r="S367" s="4" t="s">
        <v>1064</v>
      </c>
      <c r="T367" s="5" t="s">
        <v>1063</v>
      </c>
      <c r="U367" s="5" t="s">
        <v>856</v>
      </c>
      <c r="V367" s="5" t="s">
        <v>759</v>
      </c>
      <c r="W367" s="14" t="b">
        <v>1</v>
      </c>
      <c r="X367" s="81" t="s">
        <v>2410</v>
      </c>
      <c r="Y367" s="81" t="s">
        <v>2285</v>
      </c>
      <c r="Z367" s="82">
        <v>2016</v>
      </c>
      <c r="AA367" s="81" t="s">
        <v>858</v>
      </c>
      <c r="AB367" s="81" t="s">
        <v>413</v>
      </c>
      <c r="AE367" s="10">
        <v>1</v>
      </c>
      <c r="AF367" s="83" t="s">
        <v>717</v>
      </c>
      <c r="AG367" s="14"/>
      <c r="AH367" s="14"/>
      <c r="AI367" s="14"/>
      <c r="AJ367" s="14"/>
      <c r="AK367" s="14"/>
      <c r="AL367" s="14"/>
      <c r="AM367" s="14"/>
      <c r="AN367" s="14"/>
      <c r="AO367" s="14"/>
      <c r="AP367" s="14"/>
      <c r="AQ367" s="14"/>
      <c r="AR367" s="14"/>
      <c r="AS367" s="14"/>
      <c r="AT367" s="14"/>
      <c r="AU367" s="14"/>
      <c r="AV367" s="14"/>
      <c r="AW367" s="14"/>
      <c r="AX367" s="14"/>
    </row>
    <row r="368" spans="1:50" ht="17.25" customHeight="1">
      <c r="A368" s="5" t="s">
        <v>729</v>
      </c>
      <c r="B368" s="5" t="s">
        <v>729</v>
      </c>
      <c r="C368" s="5" t="s">
        <v>730</v>
      </c>
      <c r="D368" s="7" t="s">
        <v>1075</v>
      </c>
      <c r="E368" s="24" t="s">
        <v>2</v>
      </c>
      <c r="F368" s="5" t="s">
        <v>1013</v>
      </c>
      <c r="G368" s="5" t="s">
        <v>865</v>
      </c>
      <c r="H368" s="24" t="s">
        <v>1</v>
      </c>
      <c r="I368" s="5" t="s">
        <v>854</v>
      </c>
      <c r="J368" s="5" t="s">
        <v>1014</v>
      </c>
      <c r="K368" s="19"/>
      <c r="L368" s="5" t="s">
        <v>1015</v>
      </c>
      <c r="M368" s="5" t="s">
        <v>1076</v>
      </c>
      <c r="N368" s="24" t="s">
        <v>0</v>
      </c>
      <c r="O368" s="24" t="s">
        <v>1</v>
      </c>
      <c r="P368" s="5" t="s">
        <v>1012</v>
      </c>
      <c r="Q368" s="24" t="s">
        <v>848</v>
      </c>
      <c r="R368" s="5" t="s">
        <v>854</v>
      </c>
      <c r="S368" s="5" t="s">
        <v>1017</v>
      </c>
      <c r="T368" s="5" t="s">
        <v>1076</v>
      </c>
      <c r="U368" s="5" t="s">
        <v>856</v>
      </c>
      <c r="V368" s="5" t="s">
        <v>759</v>
      </c>
      <c r="W368" s="14" t="b">
        <v>1</v>
      </c>
      <c r="X368" s="81" t="s">
        <v>2268</v>
      </c>
      <c r="Y368" s="81" t="s">
        <v>2286</v>
      </c>
      <c r="Z368" s="82">
        <v>2016</v>
      </c>
      <c r="AA368" s="81" t="s">
        <v>858</v>
      </c>
      <c r="AB368" s="81" t="s">
        <v>413</v>
      </c>
      <c r="AE368" s="10">
        <v>1</v>
      </c>
      <c r="AF368" s="83" t="s">
        <v>423</v>
      </c>
      <c r="AG368" s="14"/>
      <c r="AH368" s="14"/>
      <c r="AI368" s="14"/>
      <c r="AJ368" s="14"/>
      <c r="AK368" s="14"/>
      <c r="AL368" s="14"/>
      <c r="AM368" s="14"/>
      <c r="AN368" s="14"/>
      <c r="AO368" s="14"/>
      <c r="AP368" s="14"/>
      <c r="AQ368" s="14"/>
      <c r="AR368" s="14"/>
      <c r="AS368" s="14"/>
      <c r="AT368" s="14"/>
      <c r="AU368" s="14"/>
      <c r="AV368" s="14"/>
      <c r="AW368" s="14"/>
      <c r="AX368" s="14"/>
    </row>
    <row r="369" spans="1:50" ht="17.25" customHeight="1">
      <c r="A369" s="5" t="s">
        <v>731</v>
      </c>
      <c r="B369" s="5" t="s">
        <v>731</v>
      </c>
      <c r="C369" s="5" t="s">
        <v>732</v>
      </c>
      <c r="D369" s="7" t="s">
        <v>1078</v>
      </c>
      <c r="E369" s="24" t="s">
        <v>2</v>
      </c>
      <c r="F369" s="5" t="s">
        <v>1013</v>
      </c>
      <c r="G369" s="5" t="s">
        <v>865</v>
      </c>
      <c r="H369" s="24" t="s">
        <v>1</v>
      </c>
      <c r="I369" s="5" t="s">
        <v>854</v>
      </c>
      <c r="J369" s="5" t="s">
        <v>1014</v>
      </c>
      <c r="K369" s="5" t="s">
        <v>956</v>
      </c>
      <c r="L369" s="5" t="s">
        <v>1015</v>
      </c>
      <c r="M369" s="5" t="s">
        <v>1042</v>
      </c>
      <c r="N369" s="24" t="s">
        <v>0</v>
      </c>
      <c r="O369" s="24" t="s">
        <v>1</v>
      </c>
      <c r="P369" s="5" t="s">
        <v>1012</v>
      </c>
      <c r="Q369" s="24" t="s">
        <v>848</v>
      </c>
      <c r="R369" s="5" t="s">
        <v>854</v>
      </c>
      <c r="S369" s="4" t="s">
        <v>1079</v>
      </c>
      <c r="T369" s="5" t="s">
        <v>1042</v>
      </c>
      <c r="U369" s="5" t="s">
        <v>856</v>
      </c>
      <c r="V369" s="5" t="s">
        <v>759</v>
      </c>
      <c r="W369" s="14" t="b">
        <v>1</v>
      </c>
      <c r="X369" s="81" t="s">
        <v>2269</v>
      </c>
      <c r="Y369" s="81" t="s">
        <v>2287</v>
      </c>
      <c r="Z369" s="82">
        <v>2016</v>
      </c>
      <c r="AA369" s="81" t="s">
        <v>858</v>
      </c>
      <c r="AB369" s="81" t="s">
        <v>413</v>
      </c>
      <c r="AE369" s="10">
        <v>1</v>
      </c>
      <c r="AF369" s="83" t="s">
        <v>423</v>
      </c>
      <c r="AG369" s="14"/>
      <c r="AH369" s="14"/>
      <c r="AI369" s="14"/>
      <c r="AJ369" s="14"/>
      <c r="AK369" s="14"/>
      <c r="AL369" s="14"/>
      <c r="AM369" s="14"/>
      <c r="AN369" s="14"/>
      <c r="AO369" s="14"/>
      <c r="AP369" s="14"/>
      <c r="AQ369" s="14"/>
      <c r="AR369" s="14"/>
      <c r="AS369" s="14"/>
      <c r="AT369" s="14"/>
      <c r="AU369" s="14"/>
      <c r="AV369" s="14"/>
      <c r="AW369" s="14"/>
      <c r="AX369" s="14"/>
    </row>
    <row r="370" spans="1:50" ht="17.25" customHeight="1">
      <c r="A370" s="5" t="s">
        <v>734</v>
      </c>
      <c r="B370" s="5" t="s">
        <v>734</v>
      </c>
      <c r="C370" s="5" t="s">
        <v>735</v>
      </c>
      <c r="D370" s="7" t="s">
        <v>1081</v>
      </c>
      <c r="E370" s="24" t="s">
        <v>2</v>
      </c>
      <c r="F370" s="5" t="s">
        <v>1013</v>
      </c>
      <c r="G370" s="5" t="s">
        <v>865</v>
      </c>
      <c r="H370" s="24" t="s">
        <v>1</v>
      </c>
      <c r="I370" s="5" t="s">
        <v>854</v>
      </c>
      <c r="J370" s="5" t="s">
        <v>1082</v>
      </c>
      <c r="K370" s="5" t="s">
        <v>867</v>
      </c>
      <c r="L370" s="5" t="s">
        <v>1015</v>
      </c>
      <c r="M370" s="5" t="s">
        <v>1083</v>
      </c>
      <c r="N370" s="24" t="s">
        <v>0</v>
      </c>
      <c r="O370" s="24" t="s">
        <v>1</v>
      </c>
      <c r="P370" s="5" t="s">
        <v>1012</v>
      </c>
      <c r="Q370" s="24" t="s">
        <v>848</v>
      </c>
      <c r="R370" s="5" t="s">
        <v>854</v>
      </c>
      <c r="S370" s="4" t="s">
        <v>1079</v>
      </c>
      <c r="T370" s="5" t="s">
        <v>1083</v>
      </c>
      <c r="U370" s="5" t="s">
        <v>856</v>
      </c>
      <c r="V370" s="5" t="s">
        <v>759</v>
      </c>
      <c r="W370" s="14" t="b">
        <v>1</v>
      </c>
      <c r="X370" s="81" t="s">
        <v>1084</v>
      </c>
      <c r="Y370" s="81" t="s">
        <v>2288</v>
      </c>
      <c r="Z370" s="82">
        <v>2016</v>
      </c>
      <c r="AA370" s="81" t="s">
        <v>858</v>
      </c>
      <c r="AB370" s="81" t="s">
        <v>413</v>
      </c>
      <c r="AE370" s="10">
        <v>1</v>
      </c>
      <c r="AF370" s="83" t="s">
        <v>652</v>
      </c>
      <c r="AG370" s="14"/>
      <c r="AH370" s="14"/>
      <c r="AI370" s="14"/>
      <c r="AJ370" s="14"/>
      <c r="AK370" s="14"/>
      <c r="AL370" s="14"/>
      <c r="AM370" s="14"/>
      <c r="AN370" s="14"/>
      <c r="AO370" s="14"/>
      <c r="AP370" s="14"/>
      <c r="AQ370" s="14"/>
      <c r="AR370" s="14"/>
      <c r="AS370" s="14"/>
      <c r="AT370" s="14"/>
      <c r="AU370" s="14"/>
      <c r="AV370" s="14"/>
      <c r="AW370" s="14"/>
      <c r="AX370" s="14"/>
    </row>
    <row r="371" spans="1:50" ht="17.25" customHeight="1">
      <c r="A371" s="5" t="s">
        <v>734</v>
      </c>
      <c r="B371" s="5" t="s">
        <v>734</v>
      </c>
      <c r="C371" s="5" t="s">
        <v>735</v>
      </c>
      <c r="D371" s="7" t="s">
        <v>1085</v>
      </c>
      <c r="E371" s="24" t="s">
        <v>2</v>
      </c>
      <c r="F371" s="5" t="s">
        <v>1013</v>
      </c>
      <c r="G371" s="5" t="s">
        <v>865</v>
      </c>
      <c r="H371" s="24" t="s">
        <v>1</v>
      </c>
      <c r="I371" s="5" t="s">
        <v>854</v>
      </c>
      <c r="J371" s="5" t="s">
        <v>1082</v>
      </c>
      <c r="K371" s="5" t="s">
        <v>867</v>
      </c>
      <c r="L371" s="5" t="s">
        <v>1015</v>
      </c>
      <c r="M371" s="5" t="s">
        <v>1083</v>
      </c>
      <c r="N371" s="24" t="s">
        <v>0</v>
      </c>
      <c r="O371" s="24" t="s">
        <v>1</v>
      </c>
      <c r="P371" s="5" t="s">
        <v>1012</v>
      </c>
      <c r="Q371" s="24" t="s">
        <v>848</v>
      </c>
      <c r="R371" s="5" t="s">
        <v>854</v>
      </c>
      <c r="S371" s="4" t="s">
        <v>1079</v>
      </c>
      <c r="T371" s="5" t="s">
        <v>1083</v>
      </c>
      <c r="U371" s="5" t="s">
        <v>856</v>
      </c>
      <c r="V371" s="5" t="s">
        <v>759</v>
      </c>
      <c r="W371" s="14" t="b">
        <v>1</v>
      </c>
      <c r="X371" s="81" t="s">
        <v>1084</v>
      </c>
      <c r="Y371" s="81" t="s">
        <v>2288</v>
      </c>
      <c r="Z371" s="82">
        <v>2016</v>
      </c>
      <c r="AA371" s="81" t="s">
        <v>858</v>
      </c>
      <c r="AB371" s="81" t="s">
        <v>413</v>
      </c>
      <c r="AE371" s="10">
        <v>1</v>
      </c>
      <c r="AF371" s="83" t="s">
        <v>656</v>
      </c>
      <c r="AG371" s="14"/>
      <c r="AH371" s="14"/>
      <c r="AI371" s="14"/>
      <c r="AJ371" s="14"/>
      <c r="AK371" s="14"/>
      <c r="AL371" s="14"/>
      <c r="AM371" s="14"/>
      <c r="AN371" s="14"/>
      <c r="AO371" s="14"/>
      <c r="AP371" s="14"/>
      <c r="AQ371" s="14"/>
      <c r="AR371" s="14"/>
      <c r="AS371" s="14"/>
      <c r="AT371" s="14"/>
      <c r="AU371" s="14"/>
      <c r="AV371" s="14"/>
      <c r="AW371" s="14"/>
      <c r="AX371" s="14"/>
    </row>
    <row r="372" spans="1:50" ht="17.25" customHeight="1">
      <c r="A372" s="5" t="s">
        <v>734</v>
      </c>
      <c r="B372" s="5" t="s">
        <v>734</v>
      </c>
      <c r="C372" s="5" t="s">
        <v>735</v>
      </c>
      <c r="D372" s="7" t="s">
        <v>1086</v>
      </c>
      <c r="E372" s="24" t="s">
        <v>2</v>
      </c>
      <c r="F372" s="5" t="s">
        <v>1013</v>
      </c>
      <c r="G372" s="5" t="s">
        <v>865</v>
      </c>
      <c r="H372" s="24" t="s">
        <v>1</v>
      </c>
      <c r="I372" s="5" t="s">
        <v>854</v>
      </c>
      <c r="J372" s="5" t="s">
        <v>1082</v>
      </c>
      <c r="K372" s="5" t="s">
        <v>867</v>
      </c>
      <c r="L372" s="5" t="s">
        <v>1015</v>
      </c>
      <c r="M372" s="5" t="s">
        <v>1083</v>
      </c>
      <c r="N372" s="24" t="s">
        <v>0</v>
      </c>
      <c r="O372" s="24" t="s">
        <v>1</v>
      </c>
      <c r="P372" s="5" t="s">
        <v>1012</v>
      </c>
      <c r="Q372" s="24" t="s">
        <v>848</v>
      </c>
      <c r="R372" s="5" t="s">
        <v>854</v>
      </c>
      <c r="S372" s="4" t="s">
        <v>1079</v>
      </c>
      <c r="T372" s="5" t="s">
        <v>1083</v>
      </c>
      <c r="U372" s="5" t="s">
        <v>856</v>
      </c>
      <c r="V372" s="5" t="s">
        <v>759</v>
      </c>
      <c r="W372" s="14" t="b">
        <v>1</v>
      </c>
      <c r="X372" s="81" t="s">
        <v>1084</v>
      </c>
      <c r="Y372" s="81" t="s">
        <v>2288</v>
      </c>
      <c r="Z372" s="82">
        <v>2016</v>
      </c>
      <c r="AA372" s="81" t="s">
        <v>858</v>
      </c>
      <c r="AB372" s="81" t="s">
        <v>413</v>
      </c>
      <c r="AE372" s="10">
        <v>1</v>
      </c>
      <c r="AF372" s="83" t="s">
        <v>658</v>
      </c>
      <c r="AG372" s="14"/>
      <c r="AH372" s="14"/>
      <c r="AI372" s="14"/>
      <c r="AJ372" s="14"/>
      <c r="AK372" s="14"/>
      <c r="AL372" s="14"/>
      <c r="AM372" s="14"/>
      <c r="AN372" s="14"/>
      <c r="AO372" s="14"/>
      <c r="AP372" s="14"/>
      <c r="AQ372" s="14"/>
      <c r="AR372" s="14"/>
      <c r="AS372" s="14"/>
      <c r="AT372" s="14"/>
      <c r="AU372" s="14"/>
      <c r="AV372" s="14"/>
      <c r="AW372" s="14"/>
      <c r="AX372" s="14"/>
    </row>
    <row r="373" spans="1:50" ht="17.25" customHeight="1">
      <c r="A373" s="5" t="s">
        <v>734</v>
      </c>
      <c r="B373" s="5" t="s">
        <v>734</v>
      </c>
      <c r="C373" s="5" t="s">
        <v>735</v>
      </c>
      <c r="D373" s="7" t="s">
        <v>1087</v>
      </c>
      <c r="E373" s="24" t="s">
        <v>2</v>
      </c>
      <c r="F373" s="5" t="s">
        <v>1013</v>
      </c>
      <c r="G373" s="5" t="s">
        <v>865</v>
      </c>
      <c r="H373" s="24" t="s">
        <v>1</v>
      </c>
      <c r="I373" s="5" t="s">
        <v>854</v>
      </c>
      <c r="J373" s="5" t="s">
        <v>1082</v>
      </c>
      <c r="K373" s="5" t="s">
        <v>867</v>
      </c>
      <c r="L373" s="5" t="s">
        <v>1015</v>
      </c>
      <c r="M373" s="5" t="s">
        <v>1083</v>
      </c>
      <c r="N373" s="24" t="s">
        <v>0</v>
      </c>
      <c r="O373" s="24" t="s">
        <v>1</v>
      </c>
      <c r="P373" s="5" t="s">
        <v>1012</v>
      </c>
      <c r="Q373" s="24" t="s">
        <v>848</v>
      </c>
      <c r="R373" s="5" t="s">
        <v>854</v>
      </c>
      <c r="S373" s="4" t="s">
        <v>1079</v>
      </c>
      <c r="T373" s="5" t="s">
        <v>1083</v>
      </c>
      <c r="U373" s="5" t="s">
        <v>856</v>
      </c>
      <c r="V373" s="5" t="s">
        <v>759</v>
      </c>
      <c r="W373" s="14" t="b">
        <v>1</v>
      </c>
      <c r="X373" s="81" t="s">
        <v>1084</v>
      </c>
      <c r="Y373" s="81" t="s">
        <v>2288</v>
      </c>
      <c r="Z373" s="82">
        <v>2016</v>
      </c>
      <c r="AA373" s="81" t="s">
        <v>858</v>
      </c>
      <c r="AB373" s="81" t="s">
        <v>413</v>
      </c>
      <c r="AE373" s="10">
        <v>1</v>
      </c>
      <c r="AF373" s="83" t="s">
        <v>660</v>
      </c>
      <c r="AG373" s="14"/>
      <c r="AH373" s="14"/>
      <c r="AI373" s="14"/>
      <c r="AJ373" s="14"/>
      <c r="AK373" s="14"/>
      <c r="AL373" s="14"/>
      <c r="AM373" s="14"/>
      <c r="AN373" s="14"/>
      <c r="AO373" s="14"/>
      <c r="AP373" s="14"/>
      <c r="AQ373" s="14"/>
      <c r="AR373" s="14"/>
      <c r="AS373" s="14"/>
      <c r="AT373" s="14"/>
      <c r="AU373" s="14"/>
      <c r="AV373" s="14"/>
      <c r="AW373" s="14"/>
      <c r="AX373" s="14"/>
    </row>
    <row r="374" spans="1:50" ht="17.25" customHeight="1">
      <c r="A374" s="5" t="s">
        <v>737</v>
      </c>
      <c r="B374" s="5" t="s">
        <v>737</v>
      </c>
      <c r="C374" s="5" t="s">
        <v>738</v>
      </c>
      <c r="D374" s="7" t="s">
        <v>1088</v>
      </c>
      <c r="E374" s="24" t="s">
        <v>2</v>
      </c>
      <c r="F374" s="5" t="s">
        <v>1039</v>
      </c>
      <c r="G374" s="5" t="s">
        <v>1040</v>
      </c>
      <c r="H374" s="24" t="s">
        <v>1</v>
      </c>
      <c r="I374" s="5" t="s">
        <v>854</v>
      </c>
      <c r="J374" s="5" t="s">
        <v>1089</v>
      </c>
      <c r="K374" s="19"/>
      <c r="L374" s="5" t="s">
        <v>1015</v>
      </c>
      <c r="M374" s="5" t="s">
        <v>1090</v>
      </c>
      <c r="N374" s="24" t="s">
        <v>0</v>
      </c>
      <c r="O374" s="24" t="s">
        <v>1</v>
      </c>
      <c r="P374" s="5" t="s">
        <v>1012</v>
      </c>
      <c r="Q374" s="24" t="s">
        <v>848</v>
      </c>
      <c r="R374" s="5" t="s">
        <v>854</v>
      </c>
      <c r="S374" s="4" t="s">
        <v>1091</v>
      </c>
      <c r="T374" s="5" t="s">
        <v>1090</v>
      </c>
      <c r="U374" s="5" t="s">
        <v>856</v>
      </c>
      <c r="V374" s="5" t="s">
        <v>759</v>
      </c>
      <c r="W374" s="14" t="b">
        <v>1</v>
      </c>
      <c r="X374" s="81" t="s">
        <v>2270</v>
      </c>
      <c r="Y374" s="81" t="s">
        <v>2289</v>
      </c>
      <c r="Z374" s="82">
        <v>2015</v>
      </c>
      <c r="AA374" s="81" t="s">
        <v>858</v>
      </c>
      <c r="AB374" s="81" t="s">
        <v>413</v>
      </c>
      <c r="AE374" s="10">
        <v>1</v>
      </c>
      <c r="AF374" s="83" t="s">
        <v>738</v>
      </c>
      <c r="AG374" s="14"/>
      <c r="AH374" s="14"/>
      <c r="AI374" s="14"/>
      <c r="AJ374" s="14"/>
      <c r="AK374" s="14"/>
      <c r="AL374" s="14"/>
      <c r="AM374" s="14"/>
      <c r="AN374" s="14"/>
      <c r="AO374" s="14"/>
      <c r="AP374" s="14"/>
      <c r="AQ374" s="14"/>
      <c r="AR374" s="14"/>
      <c r="AS374" s="14"/>
      <c r="AT374" s="14"/>
      <c r="AU374" s="14"/>
      <c r="AV374" s="14"/>
      <c r="AW374" s="14"/>
      <c r="AX374" s="14"/>
    </row>
    <row r="375" spans="1:50" ht="17.25" customHeight="1">
      <c r="A375" s="5" t="s">
        <v>741</v>
      </c>
      <c r="B375" s="5" t="s">
        <v>741</v>
      </c>
      <c r="C375" s="5" t="s">
        <v>743</v>
      </c>
      <c r="D375" s="7" t="s">
        <v>1093</v>
      </c>
      <c r="E375" s="24" t="s">
        <v>2</v>
      </c>
      <c r="F375" s="5" t="s">
        <v>1094</v>
      </c>
      <c r="G375" s="5" t="s">
        <v>1095</v>
      </c>
      <c r="H375" s="24" t="s">
        <v>1</v>
      </c>
      <c r="I375" s="5" t="s">
        <v>854</v>
      </c>
      <c r="J375" s="5" t="s">
        <v>1014</v>
      </c>
      <c r="K375" s="5" t="s">
        <v>867</v>
      </c>
      <c r="L375" s="5" t="s">
        <v>1015</v>
      </c>
      <c r="M375" s="5" t="s">
        <v>1096</v>
      </c>
      <c r="N375" s="24" t="s">
        <v>0</v>
      </c>
      <c r="O375" s="24" t="s">
        <v>1</v>
      </c>
      <c r="P375" s="5" t="s">
        <v>1012</v>
      </c>
      <c r="Q375" s="24" t="s">
        <v>848</v>
      </c>
      <c r="R375" s="5" t="s">
        <v>854</v>
      </c>
      <c r="S375" s="4" t="s">
        <v>1097</v>
      </c>
      <c r="T375" s="5" t="s">
        <v>1096</v>
      </c>
      <c r="U375" s="5" t="s">
        <v>856</v>
      </c>
      <c r="V375" s="5" t="s">
        <v>759</v>
      </c>
      <c r="W375" s="14" t="b">
        <v>1</v>
      </c>
      <c r="X375" s="81" t="s">
        <v>2271</v>
      </c>
      <c r="Y375" s="81" t="s">
        <v>2290</v>
      </c>
      <c r="Z375" s="82">
        <v>2015</v>
      </c>
      <c r="AA375" s="81" t="s">
        <v>858</v>
      </c>
      <c r="AB375" s="81" t="s">
        <v>413</v>
      </c>
      <c r="AE375" s="10">
        <v>1</v>
      </c>
      <c r="AF375" s="83" t="s">
        <v>742</v>
      </c>
      <c r="AG375" s="14"/>
      <c r="AH375" s="14"/>
      <c r="AI375" s="14"/>
      <c r="AJ375" s="14"/>
      <c r="AK375" s="14"/>
      <c r="AL375" s="14"/>
      <c r="AM375" s="14"/>
      <c r="AN375" s="14"/>
      <c r="AO375" s="14"/>
      <c r="AP375" s="14"/>
      <c r="AQ375" s="14"/>
      <c r="AR375" s="14"/>
      <c r="AS375" s="14"/>
      <c r="AT375" s="14"/>
      <c r="AU375" s="14"/>
      <c r="AV375" s="14"/>
      <c r="AW375" s="14"/>
      <c r="AX375" s="14"/>
    </row>
    <row r="376" spans="1:50" ht="17.25" customHeight="1">
      <c r="A376" s="5" t="s">
        <v>741</v>
      </c>
      <c r="B376" s="5" t="s">
        <v>741</v>
      </c>
      <c r="C376" s="5" t="s">
        <v>743</v>
      </c>
      <c r="D376" s="7" t="s">
        <v>1098</v>
      </c>
      <c r="E376" s="24" t="s">
        <v>2</v>
      </c>
      <c r="F376" s="5" t="s">
        <v>1094</v>
      </c>
      <c r="G376" s="5" t="s">
        <v>1095</v>
      </c>
      <c r="H376" s="24" t="s">
        <v>1</v>
      </c>
      <c r="I376" s="5" t="s">
        <v>854</v>
      </c>
      <c r="J376" s="5" t="s">
        <v>1014</v>
      </c>
      <c r="K376" s="5" t="s">
        <v>867</v>
      </c>
      <c r="L376" s="5" t="s">
        <v>1015</v>
      </c>
      <c r="M376" s="5" t="s">
        <v>1096</v>
      </c>
      <c r="N376" s="24" t="s">
        <v>0</v>
      </c>
      <c r="O376" s="24" t="s">
        <v>1</v>
      </c>
      <c r="P376" s="5" t="s">
        <v>1012</v>
      </c>
      <c r="Q376" s="24" t="s">
        <v>848</v>
      </c>
      <c r="R376" s="5" t="s">
        <v>854</v>
      </c>
      <c r="S376" s="4" t="s">
        <v>1097</v>
      </c>
      <c r="T376" s="5" t="s">
        <v>1096</v>
      </c>
      <c r="U376" s="5" t="s">
        <v>856</v>
      </c>
      <c r="V376" s="5" t="s">
        <v>759</v>
      </c>
      <c r="W376" s="14" t="b">
        <v>1</v>
      </c>
      <c r="X376" s="81" t="s">
        <v>2271</v>
      </c>
      <c r="Y376" s="81" t="s">
        <v>2290</v>
      </c>
      <c r="Z376" s="82">
        <v>2015</v>
      </c>
      <c r="AA376" s="81" t="s">
        <v>858</v>
      </c>
      <c r="AB376" s="81" t="s">
        <v>413</v>
      </c>
      <c r="AE376" s="10">
        <v>1</v>
      </c>
      <c r="AF376" s="83" t="s">
        <v>406</v>
      </c>
      <c r="AG376" s="14"/>
      <c r="AH376" s="14"/>
      <c r="AI376" s="14"/>
      <c r="AJ376" s="14"/>
      <c r="AK376" s="14"/>
      <c r="AL376" s="14"/>
      <c r="AM376" s="14"/>
      <c r="AN376" s="14"/>
      <c r="AO376" s="14"/>
      <c r="AP376" s="14"/>
      <c r="AQ376" s="14"/>
      <c r="AR376" s="14"/>
      <c r="AS376" s="14"/>
      <c r="AT376" s="14"/>
      <c r="AU376" s="14"/>
      <c r="AV376" s="14"/>
      <c r="AW376" s="14"/>
      <c r="AX376" s="14"/>
    </row>
    <row r="377" spans="1:50" ht="17.25" customHeight="1">
      <c r="A377" s="5" t="s">
        <v>745</v>
      </c>
      <c r="B377" s="5" t="s">
        <v>745</v>
      </c>
      <c r="C377" s="5" t="s">
        <v>743</v>
      </c>
      <c r="D377" s="7" t="s">
        <v>1099</v>
      </c>
      <c r="E377" s="5" t="s">
        <v>1012</v>
      </c>
      <c r="F377" s="5" t="s">
        <v>1094</v>
      </c>
      <c r="G377" s="5" t="s">
        <v>1095</v>
      </c>
      <c r="H377" s="24" t="s">
        <v>1</v>
      </c>
      <c r="I377" s="5" t="s">
        <v>854</v>
      </c>
      <c r="J377" s="5" t="s">
        <v>1014</v>
      </c>
      <c r="K377" s="5" t="s">
        <v>867</v>
      </c>
      <c r="L377" s="5" t="s">
        <v>1015</v>
      </c>
      <c r="M377" s="5" t="s">
        <v>1096</v>
      </c>
      <c r="N377" s="24" t="s">
        <v>0</v>
      </c>
      <c r="O377" s="24" t="s">
        <v>1</v>
      </c>
      <c r="P377" s="5" t="s">
        <v>1012</v>
      </c>
      <c r="Q377" s="24" t="s">
        <v>848</v>
      </c>
      <c r="R377" s="5" t="s">
        <v>854</v>
      </c>
      <c r="S377" s="4" t="s">
        <v>1097</v>
      </c>
      <c r="T377" s="5" t="s">
        <v>1096</v>
      </c>
      <c r="U377" s="5" t="s">
        <v>856</v>
      </c>
      <c r="V377" s="5" t="s">
        <v>759</v>
      </c>
      <c r="W377" s="14" t="b">
        <v>1</v>
      </c>
      <c r="X377" s="81" t="s">
        <v>2271</v>
      </c>
      <c r="Y377" s="81" t="s">
        <v>2290</v>
      </c>
      <c r="Z377" s="82">
        <v>2015</v>
      </c>
      <c r="AA377" s="81" t="s">
        <v>858</v>
      </c>
      <c r="AB377" s="81" t="s">
        <v>413</v>
      </c>
      <c r="AE377" s="10">
        <v>1</v>
      </c>
      <c r="AF377" s="83" t="s">
        <v>742</v>
      </c>
      <c r="AG377" s="14"/>
      <c r="AH377" s="14"/>
      <c r="AI377" s="14"/>
      <c r="AJ377" s="14"/>
      <c r="AK377" s="14"/>
      <c r="AL377" s="14"/>
      <c r="AM377" s="14"/>
      <c r="AN377" s="14"/>
      <c r="AO377" s="14"/>
      <c r="AP377" s="14"/>
      <c r="AQ377" s="14"/>
      <c r="AR377" s="14"/>
      <c r="AS377" s="14"/>
      <c r="AT377" s="14"/>
      <c r="AU377" s="14"/>
      <c r="AV377" s="14"/>
      <c r="AW377" s="14"/>
      <c r="AX377" s="14"/>
    </row>
    <row r="378" spans="1:50" ht="17.25" customHeight="1">
      <c r="A378" s="5" t="s">
        <v>745</v>
      </c>
      <c r="B378" s="5" t="s">
        <v>745</v>
      </c>
      <c r="C378" s="5" t="s">
        <v>743</v>
      </c>
      <c r="D378" s="7" t="s">
        <v>1100</v>
      </c>
      <c r="E378" s="5" t="s">
        <v>1012</v>
      </c>
      <c r="F378" s="5" t="s">
        <v>1094</v>
      </c>
      <c r="G378" s="5" t="s">
        <v>1095</v>
      </c>
      <c r="H378" s="24" t="s">
        <v>1</v>
      </c>
      <c r="I378" s="5" t="s">
        <v>854</v>
      </c>
      <c r="J378" s="5" t="s">
        <v>1014</v>
      </c>
      <c r="K378" s="5" t="s">
        <v>867</v>
      </c>
      <c r="L378" s="5" t="s">
        <v>1015</v>
      </c>
      <c r="M378" s="5" t="s">
        <v>1096</v>
      </c>
      <c r="N378" s="24" t="s">
        <v>0</v>
      </c>
      <c r="O378" s="24" t="s">
        <v>1</v>
      </c>
      <c r="P378" s="5" t="s">
        <v>1012</v>
      </c>
      <c r="Q378" s="24" t="s">
        <v>848</v>
      </c>
      <c r="R378" s="5" t="s">
        <v>854</v>
      </c>
      <c r="S378" s="4" t="s">
        <v>1097</v>
      </c>
      <c r="T378" s="5" t="s">
        <v>1096</v>
      </c>
      <c r="U378" s="5" t="s">
        <v>856</v>
      </c>
      <c r="V378" s="5" t="s">
        <v>759</v>
      </c>
      <c r="W378" s="14" t="b">
        <v>1</v>
      </c>
      <c r="X378" s="81" t="s">
        <v>2271</v>
      </c>
      <c r="Y378" s="81" t="s">
        <v>2290</v>
      </c>
      <c r="Z378" s="82">
        <v>2015</v>
      </c>
      <c r="AA378" s="81" t="s">
        <v>858</v>
      </c>
      <c r="AB378" s="81" t="s">
        <v>413</v>
      </c>
      <c r="AE378" s="10">
        <v>1</v>
      </c>
      <c r="AF378" s="83" t="s">
        <v>406</v>
      </c>
      <c r="AG378" s="14"/>
      <c r="AH378" s="14"/>
      <c r="AI378" s="14"/>
      <c r="AJ378" s="14"/>
      <c r="AK378" s="14"/>
      <c r="AL378" s="14"/>
      <c r="AM378" s="14"/>
      <c r="AN378" s="14"/>
      <c r="AO378" s="14"/>
      <c r="AP378" s="14"/>
      <c r="AQ378" s="14"/>
      <c r="AR378" s="14"/>
      <c r="AS378" s="14"/>
      <c r="AT378" s="14"/>
      <c r="AU378" s="14"/>
      <c r="AV378" s="14"/>
      <c r="AW378" s="14"/>
      <c r="AX378" s="14"/>
    </row>
    <row r="379" spans="1:50" ht="17.25" customHeight="1">
      <c r="A379" s="5" t="s">
        <v>746</v>
      </c>
      <c r="B379" s="5" t="s">
        <v>746</v>
      </c>
      <c r="C379" s="5" t="s">
        <v>743</v>
      </c>
      <c r="D379" s="7" t="s">
        <v>1101</v>
      </c>
      <c r="E379" s="5" t="s">
        <v>1012</v>
      </c>
      <c r="F379" s="5" t="s">
        <v>1094</v>
      </c>
      <c r="G379" s="5" t="s">
        <v>1095</v>
      </c>
      <c r="H379" s="24" t="s">
        <v>1</v>
      </c>
      <c r="I379" s="5" t="s">
        <v>854</v>
      </c>
      <c r="J379" s="5" t="s">
        <v>1014</v>
      </c>
      <c r="K379" s="5" t="s">
        <v>867</v>
      </c>
      <c r="L379" s="5" t="s">
        <v>1015</v>
      </c>
      <c r="M379" s="5" t="s">
        <v>1096</v>
      </c>
      <c r="N379" s="24" t="s">
        <v>0</v>
      </c>
      <c r="O379" s="24" t="s">
        <v>1</v>
      </c>
      <c r="P379" s="5" t="s">
        <v>1012</v>
      </c>
      <c r="Q379" s="24" t="s">
        <v>848</v>
      </c>
      <c r="R379" s="5" t="s">
        <v>854</v>
      </c>
      <c r="S379" s="4" t="s">
        <v>1097</v>
      </c>
      <c r="T379" s="5" t="s">
        <v>1096</v>
      </c>
      <c r="U379" s="5" t="s">
        <v>856</v>
      </c>
      <c r="V379" s="5" t="s">
        <v>759</v>
      </c>
      <c r="W379" s="14" t="b">
        <v>1</v>
      </c>
      <c r="X379" s="81" t="s">
        <v>2271</v>
      </c>
      <c r="Y379" s="81" t="s">
        <v>2290</v>
      </c>
      <c r="Z379" s="82">
        <v>2015</v>
      </c>
      <c r="AA379" s="81" t="s">
        <v>858</v>
      </c>
      <c r="AB379" s="81" t="s">
        <v>413</v>
      </c>
      <c r="AE379" s="10">
        <v>1</v>
      </c>
      <c r="AF379" s="83" t="s">
        <v>742</v>
      </c>
      <c r="AG379" s="14"/>
      <c r="AH379" s="14"/>
      <c r="AI379" s="14"/>
      <c r="AJ379" s="14"/>
      <c r="AK379" s="14"/>
      <c r="AL379" s="14"/>
      <c r="AM379" s="14"/>
      <c r="AN379" s="14"/>
      <c r="AO379" s="14"/>
      <c r="AP379" s="14"/>
      <c r="AQ379" s="14"/>
      <c r="AR379" s="14"/>
      <c r="AS379" s="14"/>
      <c r="AT379" s="14"/>
      <c r="AU379" s="14"/>
      <c r="AV379" s="14"/>
      <c r="AW379" s="14"/>
      <c r="AX379" s="14"/>
    </row>
    <row r="380" spans="1:50" ht="17.25" customHeight="1">
      <c r="A380" s="5" t="s">
        <v>746</v>
      </c>
      <c r="B380" s="5" t="s">
        <v>746</v>
      </c>
      <c r="C380" s="5" t="s">
        <v>743</v>
      </c>
      <c r="D380" s="7" t="s">
        <v>1102</v>
      </c>
      <c r="E380" s="5" t="s">
        <v>1012</v>
      </c>
      <c r="F380" s="5" t="s">
        <v>1094</v>
      </c>
      <c r="G380" s="5" t="s">
        <v>1095</v>
      </c>
      <c r="H380" s="24" t="s">
        <v>1</v>
      </c>
      <c r="I380" s="5" t="s">
        <v>854</v>
      </c>
      <c r="J380" s="5" t="s">
        <v>1014</v>
      </c>
      <c r="K380" s="5" t="s">
        <v>867</v>
      </c>
      <c r="L380" s="5" t="s">
        <v>1015</v>
      </c>
      <c r="M380" s="5" t="s">
        <v>1096</v>
      </c>
      <c r="N380" s="24" t="s">
        <v>0</v>
      </c>
      <c r="O380" s="24" t="s">
        <v>1</v>
      </c>
      <c r="P380" s="5" t="s">
        <v>1012</v>
      </c>
      <c r="Q380" s="24" t="s">
        <v>848</v>
      </c>
      <c r="R380" s="5" t="s">
        <v>854</v>
      </c>
      <c r="S380" s="4" t="s">
        <v>1097</v>
      </c>
      <c r="T380" s="5" t="s">
        <v>1096</v>
      </c>
      <c r="U380" s="5" t="s">
        <v>856</v>
      </c>
      <c r="V380" s="5" t="s">
        <v>759</v>
      </c>
      <c r="W380" s="14" t="b">
        <v>1</v>
      </c>
      <c r="X380" s="81" t="s">
        <v>2271</v>
      </c>
      <c r="Y380" s="81" t="s">
        <v>2290</v>
      </c>
      <c r="Z380" s="82">
        <v>2015</v>
      </c>
      <c r="AA380" s="81" t="s">
        <v>858</v>
      </c>
      <c r="AB380" s="81" t="s">
        <v>413</v>
      </c>
      <c r="AE380" s="10">
        <v>1</v>
      </c>
      <c r="AF380" s="83" t="s">
        <v>406</v>
      </c>
      <c r="AG380" s="14"/>
      <c r="AH380" s="14"/>
      <c r="AI380" s="14"/>
      <c r="AJ380" s="14"/>
      <c r="AK380" s="14"/>
      <c r="AL380" s="14"/>
      <c r="AM380" s="14"/>
      <c r="AN380" s="14"/>
      <c r="AO380" s="14"/>
      <c r="AP380" s="14"/>
      <c r="AQ380" s="14"/>
      <c r="AR380" s="14"/>
      <c r="AS380" s="14"/>
      <c r="AT380" s="14"/>
      <c r="AU380" s="14"/>
      <c r="AV380" s="14"/>
      <c r="AW380" s="14"/>
      <c r="AX380" s="14"/>
    </row>
    <row r="381" spans="1:50" ht="17.25" customHeight="1">
      <c r="A381" s="5" t="s">
        <v>747</v>
      </c>
      <c r="B381" s="5" t="s">
        <v>747</v>
      </c>
      <c r="C381" s="5" t="s">
        <v>748</v>
      </c>
      <c r="D381" s="7" t="s">
        <v>1103</v>
      </c>
      <c r="E381" s="5" t="s">
        <v>1012</v>
      </c>
      <c r="F381" s="5" t="s">
        <v>1104</v>
      </c>
      <c r="G381" s="5" t="s">
        <v>850</v>
      </c>
      <c r="H381" s="24" t="s">
        <v>1</v>
      </c>
      <c r="I381" s="5" t="s">
        <v>854</v>
      </c>
      <c r="J381" s="19"/>
      <c r="K381" s="19"/>
      <c r="L381" s="5" t="s">
        <v>1015</v>
      </c>
      <c r="M381" s="5" t="s">
        <v>1105</v>
      </c>
      <c r="N381" s="24" t="s">
        <v>0</v>
      </c>
      <c r="O381" s="24" t="s">
        <v>1</v>
      </c>
      <c r="P381" s="5" t="s">
        <v>1012</v>
      </c>
      <c r="Q381" s="24" t="s">
        <v>848</v>
      </c>
      <c r="R381" s="5" t="s">
        <v>854</v>
      </c>
      <c r="S381" s="4" t="s">
        <v>1106</v>
      </c>
      <c r="T381" s="5" t="s">
        <v>1105</v>
      </c>
      <c r="U381" s="5" t="s">
        <v>856</v>
      </c>
      <c r="V381" s="5" t="s">
        <v>759</v>
      </c>
      <c r="W381" s="14" t="b">
        <v>1</v>
      </c>
      <c r="X381" s="81" t="s">
        <v>1107</v>
      </c>
      <c r="Y381" s="81" t="s">
        <v>2291</v>
      </c>
      <c r="Z381" s="82">
        <v>2015</v>
      </c>
      <c r="AA381" s="81" t="s">
        <v>858</v>
      </c>
      <c r="AB381" s="81" t="s">
        <v>413</v>
      </c>
      <c r="AE381" s="10">
        <v>1</v>
      </c>
      <c r="AF381" s="83" t="s">
        <v>672</v>
      </c>
      <c r="AG381" s="14"/>
      <c r="AH381" s="14"/>
      <c r="AI381" s="14"/>
      <c r="AJ381" s="14"/>
      <c r="AK381" s="14"/>
      <c r="AL381" s="14"/>
      <c r="AM381" s="14"/>
      <c r="AN381" s="14"/>
      <c r="AO381" s="14"/>
      <c r="AP381" s="14"/>
      <c r="AQ381" s="14"/>
      <c r="AR381" s="14"/>
      <c r="AS381" s="14"/>
      <c r="AT381" s="14"/>
      <c r="AU381" s="14"/>
      <c r="AV381" s="14"/>
      <c r="AW381" s="14"/>
      <c r="AX381" s="14"/>
    </row>
    <row r="382" spans="1:50" ht="17.25" customHeight="1">
      <c r="A382" s="5" t="s">
        <v>747</v>
      </c>
      <c r="B382" s="5" t="s">
        <v>747</v>
      </c>
      <c r="C382" s="5" t="s">
        <v>748</v>
      </c>
      <c r="D382" s="7" t="s">
        <v>1108</v>
      </c>
      <c r="E382" s="5" t="s">
        <v>1012</v>
      </c>
      <c r="F382" s="5" t="s">
        <v>1104</v>
      </c>
      <c r="G382" s="5" t="s">
        <v>850</v>
      </c>
      <c r="H382" s="24" t="s">
        <v>1</v>
      </c>
      <c r="I382" s="5" t="s">
        <v>854</v>
      </c>
      <c r="J382" s="19"/>
      <c r="K382" s="19"/>
      <c r="L382" s="5" t="s">
        <v>1015</v>
      </c>
      <c r="M382" s="5" t="s">
        <v>1105</v>
      </c>
      <c r="N382" s="24" t="s">
        <v>0</v>
      </c>
      <c r="O382" s="24" t="s">
        <v>1</v>
      </c>
      <c r="P382" s="5" t="s">
        <v>1012</v>
      </c>
      <c r="Q382" s="24" t="s">
        <v>848</v>
      </c>
      <c r="R382" s="5" t="s">
        <v>854</v>
      </c>
      <c r="S382" s="4" t="s">
        <v>1106</v>
      </c>
      <c r="T382" s="5" t="s">
        <v>1105</v>
      </c>
      <c r="U382" s="5" t="s">
        <v>856</v>
      </c>
      <c r="V382" s="5" t="s">
        <v>759</v>
      </c>
      <c r="W382" s="14" t="b">
        <v>1</v>
      </c>
      <c r="X382" s="81" t="s">
        <v>1107</v>
      </c>
      <c r="Y382" s="81" t="s">
        <v>2291</v>
      </c>
      <c r="Z382" s="82">
        <v>2015</v>
      </c>
      <c r="AA382" s="81" t="s">
        <v>858</v>
      </c>
      <c r="AB382" s="81" t="s">
        <v>413</v>
      </c>
      <c r="AE382" s="10">
        <v>1</v>
      </c>
      <c r="AF382" s="83" t="s">
        <v>423</v>
      </c>
      <c r="AG382" s="14"/>
      <c r="AH382" s="14"/>
      <c r="AI382" s="14"/>
      <c r="AJ382" s="14"/>
      <c r="AK382" s="14"/>
      <c r="AL382" s="14"/>
      <c r="AM382" s="14"/>
      <c r="AN382" s="14"/>
      <c r="AO382" s="14"/>
      <c r="AP382" s="14"/>
      <c r="AQ382" s="14"/>
      <c r="AR382" s="14"/>
      <c r="AS382" s="14"/>
      <c r="AT382" s="14"/>
      <c r="AU382" s="14"/>
      <c r="AV382" s="14"/>
      <c r="AW382" s="14"/>
      <c r="AX382" s="14"/>
    </row>
    <row r="383" spans="1:50" ht="17.25" customHeight="1">
      <c r="A383" s="5" t="s">
        <v>750</v>
      </c>
      <c r="B383" s="5" t="s">
        <v>750</v>
      </c>
      <c r="C383" s="5" t="s">
        <v>751</v>
      </c>
      <c r="D383" s="7" t="s">
        <v>1109</v>
      </c>
      <c r="E383" s="5" t="s">
        <v>1012</v>
      </c>
      <c r="F383" s="5" t="s">
        <v>1013</v>
      </c>
      <c r="G383" s="5" t="s">
        <v>865</v>
      </c>
      <c r="H383" s="24" t="s">
        <v>1</v>
      </c>
      <c r="I383" s="5" t="s">
        <v>854</v>
      </c>
      <c r="J383" s="5" t="s">
        <v>1110</v>
      </c>
      <c r="K383" s="19"/>
      <c r="L383" s="5" t="s">
        <v>1015</v>
      </c>
      <c r="M383" s="5" t="s">
        <v>1111</v>
      </c>
      <c r="N383" s="24" t="s">
        <v>0</v>
      </c>
      <c r="O383" s="24" t="s">
        <v>1</v>
      </c>
      <c r="P383" s="5" t="s">
        <v>1012</v>
      </c>
      <c r="Q383" s="24" t="s">
        <v>848</v>
      </c>
      <c r="R383" s="5" t="s">
        <v>854</v>
      </c>
      <c r="S383" s="4" t="s">
        <v>1112</v>
      </c>
      <c r="T383" s="5" t="s">
        <v>1111</v>
      </c>
      <c r="U383" s="5" t="s">
        <v>856</v>
      </c>
      <c r="V383" s="5" t="s">
        <v>759</v>
      </c>
      <c r="W383" s="14" t="b">
        <v>1</v>
      </c>
      <c r="X383" s="81" t="s">
        <v>2273</v>
      </c>
      <c r="Y383" s="81" t="s">
        <v>2428</v>
      </c>
      <c r="Z383" s="82">
        <v>2015</v>
      </c>
      <c r="AA383" s="81" t="s">
        <v>858</v>
      </c>
      <c r="AB383" s="81" t="s">
        <v>413</v>
      </c>
      <c r="AE383" s="10">
        <v>1</v>
      </c>
      <c r="AF383" s="83" t="s">
        <v>406</v>
      </c>
      <c r="AG383" s="14"/>
      <c r="AH383" s="14"/>
      <c r="AI383" s="14"/>
      <c r="AJ383" s="14"/>
      <c r="AK383" s="14"/>
      <c r="AL383" s="14"/>
      <c r="AM383" s="14"/>
      <c r="AN383" s="14"/>
      <c r="AO383" s="14"/>
      <c r="AP383" s="14"/>
      <c r="AQ383" s="14"/>
      <c r="AR383" s="14"/>
      <c r="AS383" s="14"/>
      <c r="AT383" s="14"/>
      <c r="AU383" s="14"/>
      <c r="AV383" s="14"/>
      <c r="AW383" s="14"/>
      <c r="AX383" s="14"/>
    </row>
    <row r="384" spans="1:50" ht="17.25" customHeight="1">
      <c r="A384" s="5" t="s">
        <v>750</v>
      </c>
      <c r="B384" s="5" t="s">
        <v>750</v>
      </c>
      <c r="C384" s="5" t="s">
        <v>751</v>
      </c>
      <c r="D384" s="7" t="s">
        <v>1113</v>
      </c>
      <c r="E384" s="5" t="s">
        <v>1012</v>
      </c>
      <c r="F384" s="5" t="s">
        <v>1013</v>
      </c>
      <c r="G384" s="5" t="s">
        <v>865</v>
      </c>
      <c r="H384" s="24" t="s">
        <v>1</v>
      </c>
      <c r="I384" s="5" t="s">
        <v>854</v>
      </c>
      <c r="J384" s="5" t="s">
        <v>1110</v>
      </c>
      <c r="K384" s="19"/>
      <c r="L384" s="5" t="s">
        <v>1015</v>
      </c>
      <c r="M384" s="5" t="s">
        <v>1111</v>
      </c>
      <c r="N384" s="24" t="s">
        <v>0</v>
      </c>
      <c r="O384" s="24" t="s">
        <v>1</v>
      </c>
      <c r="P384" s="5" t="s">
        <v>1012</v>
      </c>
      <c r="Q384" s="24" t="s">
        <v>848</v>
      </c>
      <c r="R384" s="5" t="s">
        <v>854</v>
      </c>
      <c r="S384" s="4" t="s">
        <v>1112</v>
      </c>
      <c r="T384" s="5" t="s">
        <v>1111</v>
      </c>
      <c r="U384" s="5" t="s">
        <v>856</v>
      </c>
      <c r="V384" s="5" t="s">
        <v>759</v>
      </c>
      <c r="W384" s="14" t="b">
        <v>1</v>
      </c>
      <c r="X384" s="81" t="s">
        <v>2273</v>
      </c>
      <c r="Y384" s="81" t="s">
        <v>2428</v>
      </c>
      <c r="Z384" s="82">
        <v>2015</v>
      </c>
      <c r="AA384" s="81" t="s">
        <v>858</v>
      </c>
      <c r="AB384" s="81" t="s">
        <v>413</v>
      </c>
      <c r="AE384" s="10">
        <v>1</v>
      </c>
      <c r="AF384" s="83" t="s">
        <v>753</v>
      </c>
      <c r="AG384" s="14"/>
      <c r="AH384" s="14"/>
      <c r="AI384" s="14"/>
      <c r="AJ384" s="14"/>
      <c r="AK384" s="14"/>
      <c r="AL384" s="14"/>
      <c r="AM384" s="14"/>
      <c r="AN384" s="14"/>
      <c r="AO384" s="14"/>
      <c r="AP384" s="14"/>
      <c r="AQ384" s="14"/>
      <c r="AR384" s="14"/>
      <c r="AS384" s="14"/>
      <c r="AT384" s="14"/>
      <c r="AU384" s="14"/>
      <c r="AV384" s="14"/>
      <c r="AW384" s="14"/>
      <c r="AX384" s="14"/>
    </row>
    <row r="385" spans="1:50" ht="17.25" customHeight="1">
      <c r="A385" s="5" t="s">
        <v>750</v>
      </c>
      <c r="B385" s="5" t="s">
        <v>750</v>
      </c>
      <c r="C385" s="5" t="s">
        <v>751</v>
      </c>
      <c r="D385" s="7" t="s">
        <v>1114</v>
      </c>
      <c r="E385" s="5" t="s">
        <v>1012</v>
      </c>
      <c r="F385" s="5" t="s">
        <v>1013</v>
      </c>
      <c r="G385" s="5" t="s">
        <v>865</v>
      </c>
      <c r="H385" s="24" t="s">
        <v>1</v>
      </c>
      <c r="I385" s="5" t="s">
        <v>854</v>
      </c>
      <c r="J385" s="5" t="s">
        <v>1110</v>
      </c>
      <c r="K385" s="19"/>
      <c r="L385" s="5" t="s">
        <v>1015</v>
      </c>
      <c r="M385" s="5" t="s">
        <v>1111</v>
      </c>
      <c r="N385" s="24" t="s">
        <v>0</v>
      </c>
      <c r="O385" s="24" t="s">
        <v>1</v>
      </c>
      <c r="P385" s="5" t="s">
        <v>1012</v>
      </c>
      <c r="Q385" s="24" t="s">
        <v>848</v>
      </c>
      <c r="R385" s="5" t="s">
        <v>854</v>
      </c>
      <c r="S385" s="4" t="s">
        <v>1112</v>
      </c>
      <c r="T385" s="5" t="s">
        <v>1111</v>
      </c>
      <c r="U385" s="5" t="s">
        <v>856</v>
      </c>
      <c r="V385" s="5" t="s">
        <v>759</v>
      </c>
      <c r="W385" s="14" t="b">
        <v>1</v>
      </c>
      <c r="X385" s="81" t="s">
        <v>2273</v>
      </c>
      <c r="Y385" s="81" t="s">
        <v>2428</v>
      </c>
      <c r="Z385" s="82">
        <v>2015</v>
      </c>
      <c r="AA385" s="81" t="s">
        <v>858</v>
      </c>
      <c r="AB385" s="81" t="s">
        <v>413</v>
      </c>
      <c r="AE385" s="10">
        <v>1</v>
      </c>
      <c r="AF385" s="83" t="s">
        <v>754</v>
      </c>
      <c r="AG385" s="14"/>
      <c r="AH385" s="14"/>
      <c r="AI385" s="14"/>
      <c r="AJ385" s="14"/>
      <c r="AK385" s="14"/>
      <c r="AL385" s="14"/>
      <c r="AM385" s="14"/>
      <c r="AN385" s="14"/>
      <c r="AO385" s="14"/>
      <c r="AP385" s="14"/>
      <c r="AQ385" s="14"/>
      <c r="AR385" s="14"/>
      <c r="AS385" s="14"/>
      <c r="AT385" s="14"/>
      <c r="AU385" s="14"/>
      <c r="AV385" s="14"/>
      <c r="AW385" s="14"/>
      <c r="AX385" s="14"/>
    </row>
    <row r="386" spans="1:50" ht="17.25" customHeight="1">
      <c r="A386" s="5" t="s">
        <v>750</v>
      </c>
      <c r="B386" s="5" t="s">
        <v>750</v>
      </c>
      <c r="C386" s="5" t="s">
        <v>751</v>
      </c>
      <c r="D386" s="7" t="s">
        <v>1115</v>
      </c>
      <c r="E386" s="5" t="s">
        <v>1012</v>
      </c>
      <c r="F386" s="5" t="s">
        <v>1013</v>
      </c>
      <c r="G386" s="5" t="s">
        <v>865</v>
      </c>
      <c r="H386" s="24" t="s">
        <v>1</v>
      </c>
      <c r="I386" s="5" t="s">
        <v>854</v>
      </c>
      <c r="J386" s="5" t="s">
        <v>1110</v>
      </c>
      <c r="K386" s="19"/>
      <c r="L386" s="5" t="s">
        <v>1015</v>
      </c>
      <c r="M386" s="5" t="s">
        <v>1111</v>
      </c>
      <c r="N386" s="24" t="s">
        <v>0</v>
      </c>
      <c r="O386" s="24" t="s">
        <v>1</v>
      </c>
      <c r="P386" s="5" t="s">
        <v>1012</v>
      </c>
      <c r="Q386" s="24" t="s">
        <v>848</v>
      </c>
      <c r="R386" s="5" t="s">
        <v>854</v>
      </c>
      <c r="S386" s="4" t="s">
        <v>1112</v>
      </c>
      <c r="T386" s="5" t="s">
        <v>1111</v>
      </c>
      <c r="U386" s="5" t="s">
        <v>856</v>
      </c>
      <c r="V386" s="5" t="s">
        <v>759</v>
      </c>
      <c r="W386" s="14" t="b">
        <v>1</v>
      </c>
      <c r="X386" s="81" t="s">
        <v>2273</v>
      </c>
      <c r="Y386" s="81" t="s">
        <v>2428</v>
      </c>
      <c r="Z386" s="82">
        <v>2015</v>
      </c>
      <c r="AA386" s="81" t="s">
        <v>858</v>
      </c>
      <c r="AB386" s="81" t="s">
        <v>413</v>
      </c>
      <c r="AE386" s="10">
        <v>1</v>
      </c>
      <c r="AF386" s="83" t="s">
        <v>755</v>
      </c>
      <c r="AG386" s="14"/>
      <c r="AH386" s="14"/>
      <c r="AI386" s="14"/>
      <c r="AJ386" s="14"/>
      <c r="AK386" s="14"/>
      <c r="AL386" s="14"/>
      <c r="AM386" s="14"/>
      <c r="AN386" s="14"/>
      <c r="AO386" s="14"/>
      <c r="AP386" s="14"/>
      <c r="AQ386" s="14"/>
      <c r="AR386" s="14"/>
      <c r="AS386" s="14"/>
      <c r="AT386" s="14"/>
      <c r="AU386" s="14"/>
      <c r="AV386" s="14"/>
      <c r="AW386" s="14"/>
      <c r="AX386" s="14"/>
    </row>
    <row r="387" spans="1:50" ht="17.25" customHeight="1">
      <c r="A387" s="5" t="s">
        <v>750</v>
      </c>
      <c r="B387" s="5" t="s">
        <v>750</v>
      </c>
      <c r="C387" s="5" t="s">
        <v>751</v>
      </c>
      <c r="D387" s="7" t="s">
        <v>1116</v>
      </c>
      <c r="E387" s="5" t="s">
        <v>1012</v>
      </c>
      <c r="F387" s="5" t="s">
        <v>1013</v>
      </c>
      <c r="G387" s="5" t="s">
        <v>865</v>
      </c>
      <c r="H387" s="24" t="s">
        <v>1</v>
      </c>
      <c r="I387" s="5" t="s">
        <v>854</v>
      </c>
      <c r="J387" s="5" t="s">
        <v>1110</v>
      </c>
      <c r="K387" s="19"/>
      <c r="L387" s="5" t="s">
        <v>1015</v>
      </c>
      <c r="M387" s="5" t="s">
        <v>1111</v>
      </c>
      <c r="N387" s="24" t="s">
        <v>0</v>
      </c>
      <c r="O387" s="24" t="s">
        <v>1</v>
      </c>
      <c r="P387" s="5" t="s">
        <v>1012</v>
      </c>
      <c r="Q387" s="24" t="s">
        <v>848</v>
      </c>
      <c r="R387" s="5" t="s">
        <v>854</v>
      </c>
      <c r="S387" s="4" t="s">
        <v>1112</v>
      </c>
      <c r="T387" s="5" t="s">
        <v>1111</v>
      </c>
      <c r="U387" s="5" t="s">
        <v>856</v>
      </c>
      <c r="V387" s="5" t="s">
        <v>759</v>
      </c>
      <c r="W387" s="14" t="b">
        <v>1</v>
      </c>
      <c r="X387" s="81" t="s">
        <v>2273</v>
      </c>
      <c r="Y387" s="81" t="s">
        <v>2428</v>
      </c>
      <c r="Z387" s="82">
        <v>2015</v>
      </c>
      <c r="AA387" s="81" t="s">
        <v>858</v>
      </c>
      <c r="AB387" s="81" t="s">
        <v>413</v>
      </c>
      <c r="AE387" s="10">
        <v>1</v>
      </c>
      <c r="AF387" s="83" t="s">
        <v>756</v>
      </c>
      <c r="AG387" s="14"/>
      <c r="AH387" s="14"/>
      <c r="AI387" s="14"/>
      <c r="AJ387" s="14"/>
      <c r="AK387" s="14"/>
      <c r="AL387" s="14"/>
      <c r="AM387" s="14"/>
      <c r="AN387" s="14"/>
      <c r="AO387" s="14"/>
      <c r="AP387" s="14"/>
      <c r="AQ387" s="14"/>
      <c r="AR387" s="14"/>
      <c r="AS387" s="14"/>
      <c r="AT387" s="14"/>
      <c r="AU387" s="14"/>
      <c r="AV387" s="14"/>
      <c r="AW387" s="14"/>
      <c r="AX387" s="14"/>
    </row>
    <row r="388" spans="1:50" ht="17.25" customHeight="1">
      <c r="A388" s="5" t="s">
        <v>757</v>
      </c>
      <c r="B388" s="5" t="s">
        <v>757</v>
      </c>
      <c r="C388" s="5" t="s">
        <v>751</v>
      </c>
      <c r="D388" s="7" t="s">
        <v>1117</v>
      </c>
      <c r="E388" s="5" t="s">
        <v>1012</v>
      </c>
      <c r="F388" s="5" t="s">
        <v>1013</v>
      </c>
      <c r="G388" s="5" t="s">
        <v>865</v>
      </c>
      <c r="H388" s="24" t="s">
        <v>1</v>
      </c>
      <c r="I388" s="5" t="s">
        <v>854</v>
      </c>
      <c r="J388" s="5" t="s">
        <v>1110</v>
      </c>
      <c r="K388" s="19"/>
      <c r="L388" s="5" t="s">
        <v>1015</v>
      </c>
      <c r="M388" s="5" t="s">
        <v>1111</v>
      </c>
      <c r="N388" s="24" t="s">
        <v>0</v>
      </c>
      <c r="O388" s="24" t="s">
        <v>1</v>
      </c>
      <c r="P388" s="5" t="s">
        <v>1012</v>
      </c>
      <c r="Q388" s="24" t="s">
        <v>848</v>
      </c>
      <c r="R388" s="5" t="s">
        <v>854</v>
      </c>
      <c r="S388" s="4" t="s">
        <v>1112</v>
      </c>
      <c r="T388" s="5" t="s">
        <v>1111</v>
      </c>
      <c r="U388" s="5" t="s">
        <v>856</v>
      </c>
      <c r="V388" s="5" t="s">
        <v>759</v>
      </c>
      <c r="W388" s="14" t="b">
        <v>1</v>
      </c>
      <c r="X388" s="81" t="s">
        <v>2273</v>
      </c>
      <c r="Y388" s="81" t="s">
        <v>2428</v>
      </c>
      <c r="Z388" s="82">
        <v>2015</v>
      </c>
      <c r="AA388" s="81" t="s">
        <v>858</v>
      </c>
      <c r="AB388" s="81" t="s">
        <v>413</v>
      </c>
      <c r="AE388" s="10">
        <v>1</v>
      </c>
      <c r="AF388" s="83"/>
      <c r="AG388" s="14"/>
      <c r="AH388" s="14"/>
      <c r="AI388" s="14"/>
      <c r="AJ388" s="14"/>
      <c r="AK388" s="14"/>
      <c r="AL388" s="14"/>
      <c r="AM388" s="14"/>
      <c r="AN388" s="14"/>
      <c r="AO388" s="14"/>
      <c r="AP388" s="14"/>
      <c r="AQ388" s="14"/>
      <c r="AR388" s="14"/>
      <c r="AS388" s="14"/>
      <c r="AT388" s="14"/>
      <c r="AU388" s="14"/>
      <c r="AV388" s="14"/>
      <c r="AW388" s="14"/>
      <c r="AX388" s="14"/>
    </row>
    <row r="389" spans="1:50" ht="17.25" customHeight="1">
      <c r="A389" s="5" t="s">
        <v>406</v>
      </c>
      <c r="B389" s="5" t="s">
        <v>406</v>
      </c>
      <c r="C389" s="5" t="s">
        <v>751</v>
      </c>
      <c r="D389" s="7" t="s">
        <v>1118</v>
      </c>
      <c r="E389" s="5" t="s">
        <v>1012</v>
      </c>
      <c r="F389" s="5" t="s">
        <v>1013</v>
      </c>
      <c r="G389" s="5" t="s">
        <v>865</v>
      </c>
      <c r="H389" s="24" t="s">
        <v>1</v>
      </c>
      <c r="I389" s="5" t="s">
        <v>854</v>
      </c>
      <c r="J389" s="5" t="s">
        <v>1110</v>
      </c>
      <c r="K389" s="19"/>
      <c r="L389" s="5" t="s">
        <v>1015</v>
      </c>
      <c r="M389" s="5" t="s">
        <v>1111</v>
      </c>
      <c r="N389" s="24" t="s">
        <v>0</v>
      </c>
      <c r="O389" s="24" t="s">
        <v>1</v>
      </c>
      <c r="P389" s="5" t="s">
        <v>1012</v>
      </c>
      <c r="Q389" s="24" t="s">
        <v>848</v>
      </c>
      <c r="R389" s="5" t="s">
        <v>854</v>
      </c>
      <c r="S389" s="4" t="s">
        <v>1112</v>
      </c>
      <c r="T389" s="5" t="s">
        <v>1111</v>
      </c>
      <c r="U389" s="5" t="s">
        <v>856</v>
      </c>
      <c r="V389" s="5" t="s">
        <v>759</v>
      </c>
      <c r="W389" s="14" t="b">
        <v>1</v>
      </c>
      <c r="X389" s="81" t="s">
        <v>2273</v>
      </c>
      <c r="Y389" s="81" t="s">
        <v>2428</v>
      </c>
      <c r="Z389" s="82">
        <v>2015</v>
      </c>
      <c r="AA389" s="81" t="s">
        <v>858</v>
      </c>
      <c r="AB389" s="81" t="s">
        <v>413</v>
      </c>
      <c r="AE389" s="10">
        <v>1</v>
      </c>
      <c r="AF389" s="83" t="s">
        <v>760</v>
      </c>
      <c r="AG389" s="14"/>
      <c r="AH389" s="14"/>
      <c r="AI389" s="14"/>
      <c r="AJ389" s="14"/>
      <c r="AK389" s="14"/>
      <c r="AL389" s="14"/>
      <c r="AM389" s="14"/>
      <c r="AN389" s="14"/>
      <c r="AO389" s="14"/>
      <c r="AP389" s="14"/>
      <c r="AQ389" s="14"/>
      <c r="AR389" s="14"/>
      <c r="AS389" s="14"/>
      <c r="AT389" s="14"/>
      <c r="AU389" s="14"/>
      <c r="AV389" s="14"/>
      <c r="AW389" s="14"/>
      <c r="AX389" s="14"/>
    </row>
    <row r="390" spans="1:50" ht="17.25" customHeight="1">
      <c r="A390" s="5" t="s">
        <v>406</v>
      </c>
      <c r="B390" s="5" t="s">
        <v>406</v>
      </c>
      <c r="C390" s="5" t="s">
        <v>751</v>
      </c>
      <c r="D390" s="7" t="s">
        <v>1119</v>
      </c>
      <c r="E390" s="5" t="s">
        <v>1012</v>
      </c>
      <c r="F390" s="5" t="s">
        <v>1013</v>
      </c>
      <c r="G390" s="5" t="s">
        <v>865</v>
      </c>
      <c r="H390" s="24" t="s">
        <v>1</v>
      </c>
      <c r="I390" s="5" t="s">
        <v>854</v>
      </c>
      <c r="J390" s="5" t="s">
        <v>1110</v>
      </c>
      <c r="K390" s="19"/>
      <c r="L390" s="5" t="s">
        <v>1015</v>
      </c>
      <c r="M390" s="5" t="s">
        <v>1111</v>
      </c>
      <c r="N390" s="24" t="s">
        <v>0</v>
      </c>
      <c r="O390" s="24" t="s">
        <v>1</v>
      </c>
      <c r="P390" s="5" t="s">
        <v>1012</v>
      </c>
      <c r="Q390" s="24" t="s">
        <v>848</v>
      </c>
      <c r="R390" s="5" t="s">
        <v>854</v>
      </c>
      <c r="S390" s="4" t="s">
        <v>1112</v>
      </c>
      <c r="T390" s="5" t="s">
        <v>1111</v>
      </c>
      <c r="U390" s="5" t="s">
        <v>856</v>
      </c>
      <c r="V390" s="5" t="s">
        <v>759</v>
      </c>
      <c r="W390" s="14" t="b">
        <v>1</v>
      </c>
      <c r="X390" s="81" t="s">
        <v>2273</v>
      </c>
      <c r="Y390" s="81" t="s">
        <v>2428</v>
      </c>
      <c r="Z390" s="82">
        <v>2015</v>
      </c>
      <c r="AA390" s="81" t="s">
        <v>858</v>
      </c>
      <c r="AB390" s="81" t="s">
        <v>413</v>
      </c>
      <c r="AE390" s="10">
        <v>1</v>
      </c>
      <c r="AF390" s="83" t="s">
        <v>761</v>
      </c>
      <c r="AG390" s="14"/>
      <c r="AH390" s="14"/>
      <c r="AI390" s="14"/>
      <c r="AJ390" s="14"/>
      <c r="AK390" s="14"/>
      <c r="AL390" s="14"/>
      <c r="AM390" s="14"/>
      <c r="AN390" s="14"/>
      <c r="AO390" s="14"/>
      <c r="AP390" s="14"/>
      <c r="AQ390" s="14"/>
      <c r="AR390" s="14"/>
      <c r="AS390" s="14"/>
      <c r="AT390" s="14"/>
      <c r="AU390" s="14"/>
      <c r="AV390" s="14"/>
      <c r="AW390" s="14"/>
      <c r="AX390" s="14"/>
    </row>
    <row r="391" spans="1:50" ht="17.25" customHeight="1">
      <c r="A391" s="5" t="s">
        <v>406</v>
      </c>
      <c r="B391" s="5" t="s">
        <v>406</v>
      </c>
      <c r="C391" s="5" t="s">
        <v>751</v>
      </c>
      <c r="D391" s="7" t="s">
        <v>1120</v>
      </c>
      <c r="E391" s="5" t="s">
        <v>1012</v>
      </c>
      <c r="F391" s="5" t="s">
        <v>1013</v>
      </c>
      <c r="G391" s="5" t="s">
        <v>865</v>
      </c>
      <c r="H391" s="24" t="s">
        <v>1</v>
      </c>
      <c r="I391" s="5" t="s">
        <v>854</v>
      </c>
      <c r="J391" s="5" t="s">
        <v>1110</v>
      </c>
      <c r="K391" s="19"/>
      <c r="L391" s="5" t="s">
        <v>1015</v>
      </c>
      <c r="M391" s="5" t="s">
        <v>1111</v>
      </c>
      <c r="N391" s="24" t="s">
        <v>0</v>
      </c>
      <c r="O391" s="24" t="s">
        <v>1</v>
      </c>
      <c r="P391" s="5" t="s">
        <v>1012</v>
      </c>
      <c r="Q391" s="24" t="s">
        <v>848</v>
      </c>
      <c r="R391" s="5" t="s">
        <v>854</v>
      </c>
      <c r="S391" s="4" t="s">
        <v>1112</v>
      </c>
      <c r="T391" s="5" t="s">
        <v>1111</v>
      </c>
      <c r="U391" s="5" t="s">
        <v>856</v>
      </c>
      <c r="V391" s="5" t="s">
        <v>759</v>
      </c>
      <c r="W391" s="14" t="b">
        <v>1</v>
      </c>
      <c r="X391" s="81" t="s">
        <v>2273</v>
      </c>
      <c r="Y391" s="81" t="s">
        <v>2428</v>
      </c>
      <c r="Z391" s="82">
        <v>2015</v>
      </c>
      <c r="AA391" s="81" t="s">
        <v>858</v>
      </c>
      <c r="AB391" s="81" t="s">
        <v>413</v>
      </c>
      <c r="AE391" s="10">
        <v>1</v>
      </c>
      <c r="AF391" s="83" t="s">
        <v>762</v>
      </c>
      <c r="AG391" s="14"/>
      <c r="AH391" s="14"/>
      <c r="AI391" s="14"/>
      <c r="AJ391" s="14"/>
      <c r="AK391" s="14"/>
      <c r="AL391" s="14"/>
      <c r="AM391" s="14"/>
      <c r="AN391" s="14"/>
      <c r="AO391" s="14"/>
      <c r="AP391" s="14"/>
      <c r="AQ391" s="14"/>
      <c r="AR391" s="14"/>
      <c r="AS391" s="14"/>
      <c r="AT391" s="14"/>
      <c r="AU391" s="14"/>
      <c r="AV391" s="14"/>
      <c r="AW391" s="14"/>
      <c r="AX391" s="14"/>
    </row>
    <row r="392" spans="1:50" ht="17.25" customHeight="1">
      <c r="A392" s="5" t="s">
        <v>406</v>
      </c>
      <c r="B392" s="5" t="s">
        <v>406</v>
      </c>
      <c r="C392" s="5" t="s">
        <v>751</v>
      </c>
      <c r="D392" s="7" t="s">
        <v>1121</v>
      </c>
      <c r="E392" s="5" t="s">
        <v>1012</v>
      </c>
      <c r="F392" s="5" t="s">
        <v>1013</v>
      </c>
      <c r="G392" s="5" t="s">
        <v>865</v>
      </c>
      <c r="H392" s="24" t="s">
        <v>1</v>
      </c>
      <c r="I392" s="5" t="s">
        <v>854</v>
      </c>
      <c r="J392" s="5" t="s">
        <v>1110</v>
      </c>
      <c r="K392" s="19"/>
      <c r="L392" s="5" t="s">
        <v>1015</v>
      </c>
      <c r="M392" s="5" t="s">
        <v>1111</v>
      </c>
      <c r="N392" s="24" t="s">
        <v>0</v>
      </c>
      <c r="O392" s="24" t="s">
        <v>1</v>
      </c>
      <c r="P392" s="5" t="s">
        <v>1012</v>
      </c>
      <c r="Q392" s="24" t="s">
        <v>848</v>
      </c>
      <c r="R392" s="5" t="s">
        <v>854</v>
      </c>
      <c r="S392" s="4" t="s">
        <v>1112</v>
      </c>
      <c r="T392" s="5" t="s">
        <v>1111</v>
      </c>
      <c r="U392" s="5" t="s">
        <v>856</v>
      </c>
      <c r="V392" s="5" t="s">
        <v>759</v>
      </c>
      <c r="W392" s="14" t="b">
        <v>1</v>
      </c>
      <c r="X392" s="81" t="s">
        <v>2273</v>
      </c>
      <c r="Y392" s="81" t="s">
        <v>2428</v>
      </c>
      <c r="Z392" s="82">
        <v>2015</v>
      </c>
      <c r="AA392" s="81" t="s">
        <v>858</v>
      </c>
      <c r="AB392" s="81" t="s">
        <v>413</v>
      </c>
      <c r="AE392" s="10">
        <v>1</v>
      </c>
      <c r="AF392" s="83" t="s">
        <v>763</v>
      </c>
      <c r="AG392" s="14"/>
      <c r="AH392" s="14"/>
      <c r="AI392" s="14"/>
      <c r="AJ392" s="14"/>
      <c r="AK392" s="14"/>
      <c r="AL392" s="14"/>
      <c r="AM392" s="14"/>
      <c r="AN392" s="14"/>
      <c r="AO392" s="14"/>
      <c r="AP392" s="14"/>
      <c r="AQ392" s="14"/>
      <c r="AR392" s="14"/>
      <c r="AS392" s="14"/>
      <c r="AT392" s="14"/>
      <c r="AU392" s="14"/>
      <c r="AV392" s="14"/>
      <c r="AW392" s="14"/>
      <c r="AX392" s="14"/>
    </row>
    <row r="393" spans="1:50" ht="17.25" customHeight="1">
      <c r="A393" s="5" t="s">
        <v>406</v>
      </c>
      <c r="B393" s="5" t="s">
        <v>406</v>
      </c>
      <c r="C393" s="5" t="s">
        <v>751</v>
      </c>
      <c r="D393" s="7" t="s">
        <v>1122</v>
      </c>
      <c r="E393" s="5" t="s">
        <v>1012</v>
      </c>
      <c r="F393" s="5" t="s">
        <v>1013</v>
      </c>
      <c r="G393" s="5" t="s">
        <v>865</v>
      </c>
      <c r="H393" s="24" t="s">
        <v>1</v>
      </c>
      <c r="I393" s="5" t="s">
        <v>854</v>
      </c>
      <c r="J393" s="5" t="s">
        <v>1110</v>
      </c>
      <c r="K393" s="19"/>
      <c r="L393" s="5" t="s">
        <v>1015</v>
      </c>
      <c r="M393" s="5" t="s">
        <v>1111</v>
      </c>
      <c r="N393" s="24" t="s">
        <v>0</v>
      </c>
      <c r="O393" s="24" t="s">
        <v>1</v>
      </c>
      <c r="P393" s="5" t="s">
        <v>1012</v>
      </c>
      <c r="Q393" s="24" t="s">
        <v>848</v>
      </c>
      <c r="R393" s="5" t="s">
        <v>854</v>
      </c>
      <c r="S393" s="4" t="s">
        <v>1112</v>
      </c>
      <c r="T393" s="5" t="s">
        <v>1111</v>
      </c>
      <c r="U393" s="5" t="s">
        <v>856</v>
      </c>
      <c r="V393" s="5" t="s">
        <v>759</v>
      </c>
      <c r="W393" s="14" t="b">
        <v>1</v>
      </c>
      <c r="X393" s="81" t="s">
        <v>2273</v>
      </c>
      <c r="Y393" s="81" t="s">
        <v>2428</v>
      </c>
      <c r="Z393" s="82">
        <v>2015</v>
      </c>
      <c r="AA393" s="81" t="s">
        <v>858</v>
      </c>
      <c r="AB393" s="81" t="s">
        <v>413</v>
      </c>
      <c r="AE393" s="10">
        <v>1</v>
      </c>
      <c r="AF393" s="83"/>
      <c r="AG393" s="14"/>
      <c r="AH393" s="14"/>
      <c r="AI393" s="14"/>
      <c r="AJ393" s="14"/>
      <c r="AK393" s="14"/>
      <c r="AL393" s="14"/>
      <c r="AM393" s="14"/>
      <c r="AN393" s="14"/>
      <c r="AO393" s="14"/>
      <c r="AP393" s="14"/>
      <c r="AQ393" s="14"/>
      <c r="AR393" s="14"/>
      <c r="AS393" s="14"/>
      <c r="AT393" s="14"/>
      <c r="AU393" s="14"/>
      <c r="AV393" s="14"/>
      <c r="AW393" s="14"/>
      <c r="AX393" s="14"/>
    </row>
    <row r="394" spans="1:50" ht="17.25" customHeight="1">
      <c r="A394" s="5" t="s">
        <v>764</v>
      </c>
      <c r="B394" s="5" t="s">
        <v>764</v>
      </c>
      <c r="C394" s="5" t="s">
        <v>765</v>
      </c>
      <c r="D394" s="7" t="s">
        <v>1123</v>
      </c>
      <c r="E394" s="20"/>
      <c r="F394" s="5" t="s">
        <v>1124</v>
      </c>
      <c r="G394" s="5" t="s">
        <v>1125</v>
      </c>
      <c r="H394" s="24" t="s">
        <v>1</v>
      </c>
      <c r="I394" s="5" t="s">
        <v>854</v>
      </c>
      <c r="J394" s="19"/>
      <c r="K394" s="19"/>
      <c r="L394" s="5" t="s">
        <v>1015</v>
      </c>
      <c r="M394" s="5" t="s">
        <v>1126</v>
      </c>
      <c r="N394" s="24" t="s">
        <v>0</v>
      </c>
      <c r="O394" s="24" t="s">
        <v>1</v>
      </c>
      <c r="P394" s="20"/>
      <c r="Q394" s="24" t="s">
        <v>848</v>
      </c>
      <c r="R394" s="5" t="s">
        <v>854</v>
      </c>
      <c r="S394" s="4" t="s">
        <v>1127</v>
      </c>
      <c r="T394" s="5" t="s">
        <v>1126</v>
      </c>
      <c r="U394" s="5" t="s">
        <v>856</v>
      </c>
      <c r="V394" s="5" t="s">
        <v>759</v>
      </c>
      <c r="W394" s="14" t="b">
        <v>1</v>
      </c>
      <c r="X394" s="81" t="s">
        <v>2274</v>
      </c>
      <c r="Y394" s="81" t="s">
        <v>2293</v>
      </c>
      <c r="Z394" s="82">
        <v>2015</v>
      </c>
      <c r="AA394" s="81" t="s">
        <v>858</v>
      </c>
      <c r="AB394" s="81" t="s">
        <v>413</v>
      </c>
      <c r="AE394" s="10">
        <v>1</v>
      </c>
      <c r="AF394" s="83" t="s">
        <v>423</v>
      </c>
      <c r="AG394" s="14"/>
      <c r="AH394" s="14"/>
      <c r="AI394" s="14"/>
      <c r="AJ394" s="14"/>
      <c r="AK394" s="14"/>
      <c r="AL394" s="14"/>
      <c r="AM394" s="14"/>
      <c r="AN394" s="14"/>
      <c r="AO394" s="14"/>
      <c r="AP394" s="14"/>
      <c r="AQ394" s="14"/>
      <c r="AR394" s="14"/>
      <c r="AS394" s="14"/>
      <c r="AT394" s="14"/>
      <c r="AU394" s="14"/>
      <c r="AV394" s="14"/>
      <c r="AW394" s="14"/>
      <c r="AX394" s="14"/>
    </row>
    <row r="395" spans="1:50" ht="17.25" customHeight="1">
      <c r="A395" s="5" t="s">
        <v>767</v>
      </c>
      <c r="B395" s="5" t="s">
        <v>767</v>
      </c>
      <c r="C395" s="5" t="s">
        <v>769</v>
      </c>
      <c r="D395" s="7" t="s">
        <v>1129</v>
      </c>
      <c r="E395" s="5" t="s">
        <v>1012</v>
      </c>
      <c r="F395" s="5" t="s">
        <v>1130</v>
      </c>
      <c r="G395" s="5" t="s">
        <v>888</v>
      </c>
      <c r="H395" s="24" t="s">
        <v>1</v>
      </c>
      <c r="I395" s="5" t="s">
        <v>854</v>
      </c>
      <c r="J395" s="5" t="s">
        <v>1014</v>
      </c>
      <c r="K395" s="5" t="s">
        <v>956</v>
      </c>
      <c r="L395" s="5" t="s">
        <v>1015</v>
      </c>
      <c r="M395" s="5" t="s">
        <v>1131</v>
      </c>
      <c r="N395" s="24" t="s">
        <v>0</v>
      </c>
      <c r="O395" s="24" t="s">
        <v>1</v>
      </c>
      <c r="P395" s="5" t="s">
        <v>1012</v>
      </c>
      <c r="Q395" s="24" t="s">
        <v>848</v>
      </c>
      <c r="R395" s="5" t="s">
        <v>854</v>
      </c>
      <c r="S395" s="4" t="s">
        <v>1132</v>
      </c>
      <c r="T395" s="5" t="s">
        <v>1131</v>
      </c>
      <c r="U395" s="5" t="s">
        <v>856</v>
      </c>
      <c r="V395" s="5" t="s">
        <v>759</v>
      </c>
      <c r="W395" s="14" t="b">
        <v>1</v>
      </c>
      <c r="X395" s="81" t="s">
        <v>1084</v>
      </c>
      <c r="Y395" s="81" t="s">
        <v>2294</v>
      </c>
      <c r="Z395" s="82">
        <v>2015</v>
      </c>
      <c r="AA395" s="81" t="s">
        <v>858</v>
      </c>
      <c r="AB395" s="81" t="s">
        <v>413</v>
      </c>
      <c r="AE395" s="10">
        <v>1</v>
      </c>
      <c r="AF395" s="83" t="s">
        <v>768</v>
      </c>
      <c r="AG395" s="14"/>
      <c r="AH395" s="14"/>
      <c r="AI395" s="14"/>
      <c r="AJ395" s="14"/>
      <c r="AK395" s="14"/>
      <c r="AL395" s="14"/>
      <c r="AM395" s="14"/>
      <c r="AN395" s="14"/>
      <c r="AO395" s="14"/>
      <c r="AP395" s="14"/>
      <c r="AQ395" s="14"/>
      <c r="AR395" s="14"/>
      <c r="AS395" s="14"/>
      <c r="AT395" s="14"/>
      <c r="AU395" s="14"/>
      <c r="AV395" s="14"/>
      <c r="AW395" s="14"/>
      <c r="AX395" s="14"/>
    </row>
    <row r="396" spans="1:50" ht="17.25" customHeight="1">
      <c r="A396" s="5" t="s">
        <v>770</v>
      </c>
      <c r="B396" s="5" t="s">
        <v>770</v>
      </c>
      <c r="C396" s="5" t="s">
        <v>769</v>
      </c>
      <c r="D396" s="7" t="s">
        <v>1133</v>
      </c>
      <c r="E396" s="5" t="s">
        <v>1012</v>
      </c>
      <c r="F396" s="5" t="s">
        <v>1130</v>
      </c>
      <c r="G396" s="5" t="s">
        <v>888</v>
      </c>
      <c r="H396" s="24" t="s">
        <v>1</v>
      </c>
      <c r="I396" s="5" t="s">
        <v>854</v>
      </c>
      <c r="J396" s="5" t="s">
        <v>1014</v>
      </c>
      <c r="K396" s="5" t="s">
        <v>956</v>
      </c>
      <c r="L396" s="5" t="s">
        <v>1015</v>
      </c>
      <c r="M396" s="5" t="s">
        <v>1131</v>
      </c>
      <c r="N396" s="24" t="s">
        <v>0</v>
      </c>
      <c r="O396" s="24" t="s">
        <v>1</v>
      </c>
      <c r="P396" s="5" t="s">
        <v>1012</v>
      </c>
      <c r="Q396" s="24" t="s">
        <v>848</v>
      </c>
      <c r="R396" s="5" t="s">
        <v>854</v>
      </c>
      <c r="S396" s="4" t="s">
        <v>1132</v>
      </c>
      <c r="T396" s="5" t="s">
        <v>1131</v>
      </c>
      <c r="U396" s="5" t="s">
        <v>856</v>
      </c>
      <c r="V396" s="5" t="s">
        <v>759</v>
      </c>
      <c r="W396" s="14" t="b">
        <v>1</v>
      </c>
      <c r="X396" s="81" t="s">
        <v>1084</v>
      </c>
      <c r="Y396" s="81" t="s">
        <v>2294</v>
      </c>
      <c r="Z396" s="82">
        <v>2015</v>
      </c>
      <c r="AA396" s="81" t="s">
        <v>858</v>
      </c>
      <c r="AB396" s="81" t="s">
        <v>413</v>
      </c>
      <c r="AE396" s="10">
        <v>1</v>
      </c>
      <c r="AF396" s="83" t="s">
        <v>768</v>
      </c>
      <c r="AG396" s="14"/>
      <c r="AH396" s="14"/>
      <c r="AI396" s="14"/>
      <c r="AJ396" s="14"/>
      <c r="AK396" s="14"/>
      <c r="AL396" s="14"/>
      <c r="AM396" s="14"/>
      <c r="AN396" s="14"/>
      <c r="AO396" s="14"/>
      <c r="AP396" s="14"/>
      <c r="AQ396" s="14"/>
      <c r="AR396" s="14"/>
      <c r="AS396" s="14"/>
      <c r="AT396" s="14"/>
      <c r="AU396" s="14"/>
      <c r="AV396" s="14"/>
      <c r="AW396" s="14"/>
      <c r="AX396" s="14"/>
    </row>
    <row r="397" spans="1:50" ht="17.25" customHeight="1">
      <c r="A397" s="5" t="s">
        <v>771</v>
      </c>
      <c r="B397" s="5" t="s">
        <v>771</v>
      </c>
      <c r="C397" s="5" t="s">
        <v>773</v>
      </c>
      <c r="D397" s="7" t="s">
        <v>1135</v>
      </c>
      <c r="E397" s="5" t="s">
        <v>1012</v>
      </c>
      <c r="F397" s="5" t="s">
        <v>1013</v>
      </c>
      <c r="G397" s="5" t="s">
        <v>865</v>
      </c>
      <c r="H397" s="24" t="s">
        <v>1</v>
      </c>
      <c r="I397" s="5" t="s">
        <v>854</v>
      </c>
      <c r="J397" s="5" t="s">
        <v>1014</v>
      </c>
      <c r="K397" s="5" t="s">
        <v>867</v>
      </c>
      <c r="L397" s="5" t="s">
        <v>1015</v>
      </c>
      <c r="M397" s="5" t="s">
        <v>1042</v>
      </c>
      <c r="N397" s="24" t="s">
        <v>0</v>
      </c>
      <c r="O397" s="24" t="s">
        <v>1</v>
      </c>
      <c r="P397" s="5" t="s">
        <v>1012</v>
      </c>
      <c r="Q397" s="24" t="s">
        <v>848</v>
      </c>
      <c r="R397" s="5" t="s">
        <v>854</v>
      </c>
      <c r="S397" s="4" t="s">
        <v>1136</v>
      </c>
      <c r="T397" s="5" t="s">
        <v>1042</v>
      </c>
      <c r="U397" s="5" t="s">
        <v>856</v>
      </c>
      <c r="V397" s="5" t="s">
        <v>759</v>
      </c>
      <c r="W397" s="14" t="b">
        <v>1</v>
      </c>
      <c r="X397" s="81" t="s">
        <v>2296</v>
      </c>
      <c r="Y397" s="81" t="s">
        <v>2295</v>
      </c>
      <c r="Z397" s="82">
        <v>2015</v>
      </c>
      <c r="AA397" s="81" t="s">
        <v>858</v>
      </c>
      <c r="AB397" s="81" t="s">
        <v>413</v>
      </c>
      <c r="AE397" s="10">
        <v>1</v>
      </c>
      <c r="AF397" s="83" t="s">
        <v>772</v>
      </c>
      <c r="AG397" s="14"/>
      <c r="AH397" s="14"/>
      <c r="AI397" s="14"/>
      <c r="AJ397" s="14"/>
      <c r="AK397" s="14"/>
      <c r="AL397" s="14"/>
      <c r="AM397" s="14"/>
      <c r="AN397" s="14"/>
      <c r="AO397" s="14"/>
      <c r="AP397" s="14"/>
      <c r="AQ397" s="14"/>
      <c r="AR397" s="14"/>
      <c r="AS397" s="14"/>
      <c r="AT397" s="14"/>
      <c r="AU397" s="14"/>
      <c r="AV397" s="14"/>
      <c r="AW397" s="14"/>
      <c r="AX397" s="14"/>
    </row>
    <row r="398" spans="1:50" ht="17.25" customHeight="1">
      <c r="A398" s="5" t="s">
        <v>771</v>
      </c>
      <c r="B398" s="5" t="s">
        <v>771</v>
      </c>
      <c r="C398" s="5" t="s">
        <v>773</v>
      </c>
      <c r="D398" s="7" t="s">
        <v>1137</v>
      </c>
      <c r="E398" s="5" t="s">
        <v>1012</v>
      </c>
      <c r="F398" s="5" t="s">
        <v>1013</v>
      </c>
      <c r="G398" s="5" t="s">
        <v>865</v>
      </c>
      <c r="H398" s="24" t="s">
        <v>1</v>
      </c>
      <c r="I398" s="5" t="s">
        <v>854</v>
      </c>
      <c r="J398" s="5" t="s">
        <v>1014</v>
      </c>
      <c r="K398" s="5" t="s">
        <v>867</v>
      </c>
      <c r="L398" s="5" t="s">
        <v>1015</v>
      </c>
      <c r="M398" s="5" t="s">
        <v>1042</v>
      </c>
      <c r="N398" s="24" t="s">
        <v>0</v>
      </c>
      <c r="O398" s="24" t="s">
        <v>1</v>
      </c>
      <c r="P398" s="5" t="s">
        <v>1012</v>
      </c>
      <c r="Q398" s="24" t="s">
        <v>848</v>
      </c>
      <c r="R398" s="5" t="s">
        <v>854</v>
      </c>
      <c r="S398" s="4" t="s">
        <v>1136</v>
      </c>
      <c r="T398" s="5" t="s">
        <v>1042</v>
      </c>
      <c r="U398" s="5" t="s">
        <v>856</v>
      </c>
      <c r="V398" s="5" t="s">
        <v>759</v>
      </c>
      <c r="W398" s="14" t="b">
        <v>1</v>
      </c>
      <c r="X398" s="81" t="s">
        <v>2296</v>
      </c>
      <c r="Y398" s="81" t="s">
        <v>2295</v>
      </c>
      <c r="Z398" s="82">
        <v>2015</v>
      </c>
      <c r="AA398" s="81" t="s">
        <v>858</v>
      </c>
      <c r="AB398" s="81" t="s">
        <v>413</v>
      </c>
      <c r="AE398" s="10">
        <v>1</v>
      </c>
      <c r="AF398" s="83" t="s">
        <v>775</v>
      </c>
      <c r="AG398" s="14"/>
      <c r="AH398" s="14"/>
      <c r="AI398" s="14"/>
      <c r="AJ398" s="14"/>
      <c r="AK398" s="14"/>
      <c r="AL398" s="14"/>
      <c r="AM398" s="14"/>
      <c r="AN398" s="14"/>
      <c r="AO398" s="14"/>
      <c r="AP398" s="14"/>
      <c r="AQ398" s="14"/>
      <c r="AR398" s="14"/>
      <c r="AS398" s="14"/>
      <c r="AT398" s="14"/>
      <c r="AU398" s="14"/>
      <c r="AV398" s="14"/>
      <c r="AW398" s="14"/>
      <c r="AX398" s="14"/>
    </row>
    <row r="399" spans="1:50" ht="17.25" customHeight="1">
      <c r="A399" s="5" t="s">
        <v>771</v>
      </c>
      <c r="B399" s="5" t="s">
        <v>771</v>
      </c>
      <c r="C399" s="5" t="s">
        <v>773</v>
      </c>
      <c r="D399" s="7" t="s">
        <v>1138</v>
      </c>
      <c r="E399" s="5" t="s">
        <v>1012</v>
      </c>
      <c r="F399" s="5" t="s">
        <v>1013</v>
      </c>
      <c r="G399" s="5" t="s">
        <v>865</v>
      </c>
      <c r="H399" s="24" t="s">
        <v>1</v>
      </c>
      <c r="I399" s="5" t="s">
        <v>854</v>
      </c>
      <c r="J399" s="5" t="s">
        <v>1014</v>
      </c>
      <c r="K399" s="5" t="s">
        <v>867</v>
      </c>
      <c r="L399" s="5" t="s">
        <v>1015</v>
      </c>
      <c r="M399" s="5" t="s">
        <v>1042</v>
      </c>
      <c r="N399" s="24" t="s">
        <v>0</v>
      </c>
      <c r="O399" s="24" t="s">
        <v>1</v>
      </c>
      <c r="P399" s="5" t="s">
        <v>1012</v>
      </c>
      <c r="Q399" s="24" t="s">
        <v>848</v>
      </c>
      <c r="R399" s="5" t="s">
        <v>854</v>
      </c>
      <c r="S399" s="4" t="s">
        <v>1136</v>
      </c>
      <c r="T399" s="5" t="s">
        <v>1042</v>
      </c>
      <c r="U399" s="5" t="s">
        <v>856</v>
      </c>
      <c r="V399" s="5" t="s">
        <v>759</v>
      </c>
      <c r="W399" s="14" t="b">
        <v>1</v>
      </c>
      <c r="X399" s="81" t="s">
        <v>2296</v>
      </c>
      <c r="Y399" s="81" t="s">
        <v>2295</v>
      </c>
      <c r="Z399" s="82">
        <v>2015</v>
      </c>
      <c r="AA399" s="81" t="s">
        <v>858</v>
      </c>
      <c r="AB399" s="81" t="s">
        <v>413</v>
      </c>
      <c r="AE399" s="10">
        <v>1</v>
      </c>
      <c r="AF399" s="83" t="s">
        <v>776</v>
      </c>
      <c r="AG399" s="14"/>
      <c r="AH399" s="14"/>
      <c r="AI399" s="14"/>
      <c r="AJ399" s="14"/>
      <c r="AK399" s="14"/>
      <c r="AL399" s="14"/>
      <c r="AM399" s="14"/>
      <c r="AN399" s="14"/>
      <c r="AO399" s="14"/>
      <c r="AP399" s="14"/>
      <c r="AQ399" s="14"/>
      <c r="AR399" s="14"/>
      <c r="AS399" s="14"/>
      <c r="AT399" s="14"/>
      <c r="AU399" s="14"/>
      <c r="AV399" s="14"/>
      <c r="AW399" s="14"/>
      <c r="AX399" s="14"/>
    </row>
    <row r="400" spans="1:50" ht="17.25" customHeight="1">
      <c r="A400" s="5" t="s">
        <v>771</v>
      </c>
      <c r="B400" s="5" t="s">
        <v>771</v>
      </c>
      <c r="C400" s="5" t="s">
        <v>773</v>
      </c>
      <c r="D400" s="7" t="s">
        <v>1139</v>
      </c>
      <c r="E400" s="5" t="s">
        <v>1012</v>
      </c>
      <c r="F400" s="5" t="s">
        <v>1013</v>
      </c>
      <c r="G400" s="5" t="s">
        <v>865</v>
      </c>
      <c r="H400" s="24" t="s">
        <v>1</v>
      </c>
      <c r="I400" s="5" t="s">
        <v>854</v>
      </c>
      <c r="J400" s="5" t="s">
        <v>1014</v>
      </c>
      <c r="K400" s="5" t="s">
        <v>867</v>
      </c>
      <c r="L400" s="5" t="s">
        <v>1015</v>
      </c>
      <c r="M400" s="5" t="s">
        <v>1042</v>
      </c>
      <c r="N400" s="24" t="s">
        <v>0</v>
      </c>
      <c r="O400" s="24" t="s">
        <v>1</v>
      </c>
      <c r="P400" s="5" t="s">
        <v>1012</v>
      </c>
      <c r="Q400" s="24" t="s">
        <v>848</v>
      </c>
      <c r="R400" s="5" t="s">
        <v>854</v>
      </c>
      <c r="S400" s="4" t="s">
        <v>1136</v>
      </c>
      <c r="T400" s="5" t="s">
        <v>1042</v>
      </c>
      <c r="U400" s="5" t="s">
        <v>856</v>
      </c>
      <c r="V400" s="5" t="s">
        <v>759</v>
      </c>
      <c r="W400" s="14" t="b">
        <v>1</v>
      </c>
      <c r="X400" s="81" t="s">
        <v>2296</v>
      </c>
      <c r="Y400" s="81" t="s">
        <v>2295</v>
      </c>
      <c r="Z400" s="82">
        <v>2015</v>
      </c>
      <c r="AA400" s="81" t="s">
        <v>858</v>
      </c>
      <c r="AB400" s="81" t="s">
        <v>413</v>
      </c>
      <c r="AE400" s="10">
        <v>1</v>
      </c>
      <c r="AF400" s="83" t="s">
        <v>777</v>
      </c>
      <c r="AG400" s="14"/>
      <c r="AH400" s="14"/>
      <c r="AI400" s="14"/>
      <c r="AJ400" s="14"/>
      <c r="AK400" s="14"/>
      <c r="AL400" s="14"/>
      <c r="AM400" s="14"/>
      <c r="AN400" s="14"/>
      <c r="AO400" s="14"/>
      <c r="AP400" s="14"/>
      <c r="AQ400" s="14"/>
      <c r="AR400" s="14"/>
      <c r="AS400" s="14"/>
      <c r="AT400" s="14"/>
      <c r="AU400" s="14"/>
      <c r="AV400" s="14"/>
      <c r="AW400" s="14"/>
      <c r="AX400" s="14"/>
    </row>
    <row r="401" spans="1:50" ht="17.25" customHeight="1">
      <c r="A401" s="5" t="s">
        <v>771</v>
      </c>
      <c r="B401" s="5" t="s">
        <v>771</v>
      </c>
      <c r="C401" s="5" t="s">
        <v>773</v>
      </c>
      <c r="D401" s="7" t="s">
        <v>1140</v>
      </c>
      <c r="E401" s="5" t="s">
        <v>1012</v>
      </c>
      <c r="F401" s="5" t="s">
        <v>1013</v>
      </c>
      <c r="G401" s="5" t="s">
        <v>865</v>
      </c>
      <c r="H401" s="24" t="s">
        <v>1</v>
      </c>
      <c r="I401" s="5" t="s">
        <v>854</v>
      </c>
      <c r="J401" s="5" t="s">
        <v>1014</v>
      </c>
      <c r="K401" s="5" t="s">
        <v>867</v>
      </c>
      <c r="L401" s="5" t="s">
        <v>1015</v>
      </c>
      <c r="M401" s="5" t="s">
        <v>1042</v>
      </c>
      <c r="N401" s="24" t="s">
        <v>0</v>
      </c>
      <c r="O401" s="24" t="s">
        <v>1</v>
      </c>
      <c r="P401" s="5" t="s">
        <v>1012</v>
      </c>
      <c r="Q401" s="24" t="s">
        <v>848</v>
      </c>
      <c r="R401" s="5" t="s">
        <v>854</v>
      </c>
      <c r="S401" s="4" t="s">
        <v>1136</v>
      </c>
      <c r="T401" s="5" t="s">
        <v>1042</v>
      </c>
      <c r="U401" s="5" t="s">
        <v>856</v>
      </c>
      <c r="V401" s="5" t="s">
        <v>759</v>
      </c>
      <c r="W401" s="14" t="b">
        <v>1</v>
      </c>
      <c r="X401" s="81" t="s">
        <v>2296</v>
      </c>
      <c r="Y401" s="81" t="s">
        <v>2295</v>
      </c>
      <c r="Z401" s="82">
        <v>2015</v>
      </c>
      <c r="AA401" s="81"/>
      <c r="AB401" s="81" t="s">
        <v>413</v>
      </c>
      <c r="AE401" s="10">
        <v>1</v>
      </c>
      <c r="AF401" s="83" t="s">
        <v>778</v>
      </c>
      <c r="AG401" s="14"/>
      <c r="AH401" s="14"/>
      <c r="AI401" s="14"/>
      <c r="AJ401" s="14"/>
      <c r="AK401" s="14"/>
      <c r="AL401" s="14"/>
      <c r="AM401" s="14"/>
      <c r="AN401" s="14"/>
      <c r="AO401" s="14"/>
      <c r="AP401" s="14"/>
      <c r="AQ401" s="14"/>
      <c r="AR401" s="14"/>
      <c r="AS401" s="14"/>
      <c r="AT401" s="14"/>
      <c r="AU401" s="14"/>
      <c r="AV401" s="14"/>
      <c r="AW401" s="14"/>
      <c r="AX401" s="14"/>
    </row>
    <row r="402" spans="1:50" ht="17.25" customHeight="1">
      <c r="A402" s="5" t="s">
        <v>771</v>
      </c>
      <c r="B402" s="5" t="s">
        <v>771</v>
      </c>
      <c r="C402" s="5" t="s">
        <v>773</v>
      </c>
      <c r="D402" s="7" t="s">
        <v>1141</v>
      </c>
      <c r="E402" s="5" t="s">
        <v>1012</v>
      </c>
      <c r="F402" s="5" t="s">
        <v>1013</v>
      </c>
      <c r="G402" s="5" t="s">
        <v>865</v>
      </c>
      <c r="H402" s="24" t="s">
        <v>1</v>
      </c>
      <c r="I402" s="5" t="s">
        <v>854</v>
      </c>
      <c r="J402" s="5" t="s">
        <v>1014</v>
      </c>
      <c r="K402" s="5" t="s">
        <v>867</v>
      </c>
      <c r="L402" s="5" t="s">
        <v>1015</v>
      </c>
      <c r="M402" s="5" t="s">
        <v>1042</v>
      </c>
      <c r="N402" s="24" t="s">
        <v>0</v>
      </c>
      <c r="O402" s="24" t="s">
        <v>1</v>
      </c>
      <c r="P402" s="5" t="s">
        <v>1012</v>
      </c>
      <c r="Q402" s="24" t="s">
        <v>848</v>
      </c>
      <c r="R402" s="5" t="s">
        <v>854</v>
      </c>
      <c r="S402" s="4" t="s">
        <v>1136</v>
      </c>
      <c r="T402" s="5" t="s">
        <v>1042</v>
      </c>
      <c r="U402" s="5" t="s">
        <v>856</v>
      </c>
      <c r="V402" s="5" t="s">
        <v>759</v>
      </c>
      <c r="W402" s="14" t="b">
        <v>1</v>
      </c>
      <c r="X402" s="81" t="s">
        <v>2296</v>
      </c>
      <c r="Y402" s="81" t="s">
        <v>2295</v>
      </c>
      <c r="Z402" s="82">
        <v>2015</v>
      </c>
      <c r="AA402" s="81"/>
      <c r="AB402" s="81" t="s">
        <v>413</v>
      </c>
      <c r="AE402" s="10">
        <v>1</v>
      </c>
      <c r="AF402" s="83" t="s">
        <v>779</v>
      </c>
      <c r="AG402" s="14"/>
      <c r="AH402" s="14"/>
      <c r="AI402" s="14"/>
      <c r="AJ402" s="14"/>
      <c r="AK402" s="14"/>
      <c r="AL402" s="14"/>
      <c r="AM402" s="14"/>
      <c r="AN402" s="14"/>
      <c r="AO402" s="14"/>
      <c r="AP402" s="14"/>
      <c r="AQ402" s="14"/>
      <c r="AR402" s="14"/>
      <c r="AS402" s="14"/>
      <c r="AT402" s="14"/>
      <c r="AU402" s="14"/>
      <c r="AV402" s="14"/>
      <c r="AW402" s="14"/>
      <c r="AX402" s="14"/>
    </row>
    <row r="403" spans="1:50" ht="17.25" customHeight="1">
      <c r="A403" s="5" t="s">
        <v>771</v>
      </c>
      <c r="B403" s="5" t="s">
        <v>771</v>
      </c>
      <c r="C403" s="5" t="s">
        <v>773</v>
      </c>
      <c r="D403" s="7" t="s">
        <v>1142</v>
      </c>
      <c r="E403" s="5" t="s">
        <v>1012</v>
      </c>
      <c r="F403" s="5" t="s">
        <v>1013</v>
      </c>
      <c r="G403" s="5" t="s">
        <v>865</v>
      </c>
      <c r="H403" s="24" t="s">
        <v>1</v>
      </c>
      <c r="I403" s="5" t="s">
        <v>854</v>
      </c>
      <c r="J403" s="5" t="s">
        <v>1014</v>
      </c>
      <c r="K403" s="5" t="s">
        <v>867</v>
      </c>
      <c r="L403" s="5" t="s">
        <v>1015</v>
      </c>
      <c r="M403" s="5" t="s">
        <v>1042</v>
      </c>
      <c r="N403" s="24" t="s">
        <v>0</v>
      </c>
      <c r="O403" s="24" t="s">
        <v>1</v>
      </c>
      <c r="P403" s="5" t="s">
        <v>1012</v>
      </c>
      <c r="Q403" s="24" t="s">
        <v>848</v>
      </c>
      <c r="R403" s="5" t="s">
        <v>854</v>
      </c>
      <c r="S403" s="4" t="s">
        <v>1136</v>
      </c>
      <c r="T403" s="5" t="s">
        <v>1042</v>
      </c>
      <c r="U403" s="5" t="s">
        <v>856</v>
      </c>
      <c r="V403" s="5" t="s">
        <v>759</v>
      </c>
      <c r="W403" s="14" t="b">
        <v>1</v>
      </c>
      <c r="X403" s="81" t="s">
        <v>2296</v>
      </c>
      <c r="Y403" s="81" t="s">
        <v>2295</v>
      </c>
      <c r="Z403" s="82">
        <v>2015</v>
      </c>
      <c r="AA403" s="81"/>
      <c r="AB403" s="81" t="s">
        <v>413</v>
      </c>
      <c r="AE403" s="10">
        <v>1</v>
      </c>
      <c r="AF403" s="83" t="s">
        <v>780</v>
      </c>
      <c r="AG403" s="14"/>
      <c r="AH403" s="14"/>
      <c r="AI403" s="14"/>
      <c r="AJ403" s="14"/>
      <c r="AK403" s="14"/>
      <c r="AL403" s="14"/>
      <c r="AM403" s="14"/>
      <c r="AN403" s="14"/>
      <c r="AO403" s="14"/>
      <c r="AP403" s="14"/>
      <c r="AQ403" s="14"/>
      <c r="AR403" s="14"/>
      <c r="AS403" s="14"/>
      <c r="AT403" s="14"/>
      <c r="AU403" s="14"/>
      <c r="AV403" s="14"/>
      <c r="AW403" s="14"/>
      <c r="AX403" s="14"/>
    </row>
    <row r="404" spans="1:50" ht="17.25" customHeight="1">
      <c r="A404" s="5" t="s">
        <v>771</v>
      </c>
      <c r="B404" s="5" t="s">
        <v>771</v>
      </c>
      <c r="C404" s="5" t="s">
        <v>773</v>
      </c>
      <c r="D404" s="7" t="s">
        <v>1143</v>
      </c>
      <c r="E404" s="5" t="s">
        <v>1012</v>
      </c>
      <c r="F404" s="5" t="s">
        <v>1013</v>
      </c>
      <c r="G404" s="5" t="s">
        <v>865</v>
      </c>
      <c r="H404" s="24" t="s">
        <v>1</v>
      </c>
      <c r="I404" s="5" t="s">
        <v>854</v>
      </c>
      <c r="J404" s="5" t="s">
        <v>1014</v>
      </c>
      <c r="K404" s="5" t="s">
        <v>867</v>
      </c>
      <c r="L404" s="5" t="s">
        <v>1015</v>
      </c>
      <c r="M404" s="5" t="s">
        <v>1042</v>
      </c>
      <c r="N404" s="24" t="s">
        <v>0</v>
      </c>
      <c r="O404" s="24" t="s">
        <v>1</v>
      </c>
      <c r="P404" s="5" t="s">
        <v>1012</v>
      </c>
      <c r="Q404" s="24" t="s">
        <v>848</v>
      </c>
      <c r="R404" s="5" t="s">
        <v>854</v>
      </c>
      <c r="S404" s="4" t="s">
        <v>1136</v>
      </c>
      <c r="T404" s="5" t="s">
        <v>1042</v>
      </c>
      <c r="U404" s="5" t="s">
        <v>856</v>
      </c>
      <c r="V404" s="5" t="s">
        <v>759</v>
      </c>
      <c r="W404" s="14" t="b">
        <v>1</v>
      </c>
      <c r="X404" s="81" t="s">
        <v>2296</v>
      </c>
      <c r="Y404" s="81" t="s">
        <v>2295</v>
      </c>
      <c r="Z404" s="82">
        <v>2015</v>
      </c>
      <c r="AA404" s="81"/>
      <c r="AB404" s="81" t="s">
        <v>413</v>
      </c>
      <c r="AE404" s="10">
        <v>1</v>
      </c>
      <c r="AF404" s="83" t="s">
        <v>781</v>
      </c>
      <c r="AG404" s="14"/>
      <c r="AH404" s="14"/>
      <c r="AI404" s="14"/>
      <c r="AJ404" s="14"/>
      <c r="AK404" s="14"/>
      <c r="AL404" s="14"/>
      <c r="AM404" s="14"/>
      <c r="AN404" s="14"/>
      <c r="AO404" s="14"/>
      <c r="AP404" s="14"/>
      <c r="AQ404" s="14"/>
      <c r="AR404" s="14"/>
      <c r="AS404" s="14"/>
      <c r="AT404" s="14"/>
      <c r="AU404" s="14"/>
      <c r="AV404" s="14"/>
      <c r="AW404" s="14"/>
      <c r="AX404" s="14"/>
    </row>
    <row r="405" spans="1:50" ht="17.25" customHeight="1">
      <c r="A405" s="5" t="s">
        <v>771</v>
      </c>
      <c r="B405" s="5" t="s">
        <v>771</v>
      </c>
      <c r="C405" s="5" t="s">
        <v>773</v>
      </c>
      <c r="D405" s="7" t="s">
        <v>1144</v>
      </c>
      <c r="E405" s="5" t="s">
        <v>1012</v>
      </c>
      <c r="F405" s="5" t="s">
        <v>1013</v>
      </c>
      <c r="G405" s="5" t="s">
        <v>865</v>
      </c>
      <c r="H405" s="24" t="s">
        <v>1</v>
      </c>
      <c r="I405" s="5" t="s">
        <v>854</v>
      </c>
      <c r="J405" s="5" t="s">
        <v>1014</v>
      </c>
      <c r="K405" s="5" t="s">
        <v>867</v>
      </c>
      <c r="L405" s="5" t="s">
        <v>1015</v>
      </c>
      <c r="M405" s="5" t="s">
        <v>1042</v>
      </c>
      <c r="N405" s="24" t="s">
        <v>0</v>
      </c>
      <c r="O405" s="24" t="s">
        <v>1</v>
      </c>
      <c r="P405" s="5" t="s">
        <v>1012</v>
      </c>
      <c r="Q405" s="24" t="s">
        <v>848</v>
      </c>
      <c r="R405" s="5" t="s">
        <v>854</v>
      </c>
      <c r="S405" s="4" t="s">
        <v>1136</v>
      </c>
      <c r="T405" s="5" t="s">
        <v>1042</v>
      </c>
      <c r="U405" s="5" t="s">
        <v>856</v>
      </c>
      <c r="V405" s="5" t="s">
        <v>759</v>
      </c>
      <c r="W405" s="14" t="b">
        <v>1</v>
      </c>
      <c r="X405" s="81" t="s">
        <v>2296</v>
      </c>
      <c r="Y405" s="81" t="s">
        <v>2295</v>
      </c>
      <c r="Z405" s="82">
        <v>2015</v>
      </c>
      <c r="AA405" s="81"/>
      <c r="AB405" s="81" t="s">
        <v>413</v>
      </c>
      <c r="AE405" s="10">
        <v>1</v>
      </c>
      <c r="AF405" s="83" t="s">
        <v>782</v>
      </c>
      <c r="AG405" s="14"/>
      <c r="AH405" s="14"/>
      <c r="AI405" s="14"/>
      <c r="AJ405" s="14"/>
      <c r="AK405" s="14"/>
      <c r="AL405" s="14"/>
      <c r="AM405" s="14"/>
      <c r="AN405" s="14"/>
      <c r="AO405" s="14"/>
      <c r="AP405" s="14"/>
      <c r="AQ405" s="14"/>
      <c r="AR405" s="14"/>
      <c r="AS405" s="14"/>
      <c r="AT405" s="14"/>
      <c r="AU405" s="14"/>
      <c r="AV405" s="14"/>
      <c r="AW405" s="14"/>
      <c r="AX405" s="14"/>
    </row>
    <row r="406" spans="1:50" ht="17.25" customHeight="1">
      <c r="A406" s="5" t="s">
        <v>771</v>
      </c>
      <c r="B406" s="5" t="s">
        <v>771</v>
      </c>
      <c r="C406" s="5" t="s">
        <v>773</v>
      </c>
      <c r="D406" s="7" t="s">
        <v>1145</v>
      </c>
      <c r="E406" s="5" t="s">
        <v>1012</v>
      </c>
      <c r="F406" s="5" t="s">
        <v>1013</v>
      </c>
      <c r="G406" s="5" t="s">
        <v>865</v>
      </c>
      <c r="H406" s="24" t="s">
        <v>1</v>
      </c>
      <c r="I406" s="5" t="s">
        <v>854</v>
      </c>
      <c r="J406" s="5" t="s">
        <v>1014</v>
      </c>
      <c r="K406" s="5" t="s">
        <v>867</v>
      </c>
      <c r="L406" s="5" t="s">
        <v>1015</v>
      </c>
      <c r="M406" s="5" t="s">
        <v>1042</v>
      </c>
      <c r="N406" s="24" t="s">
        <v>0</v>
      </c>
      <c r="O406" s="24" t="s">
        <v>1</v>
      </c>
      <c r="P406" s="5" t="s">
        <v>1012</v>
      </c>
      <c r="Q406" s="24" t="s">
        <v>848</v>
      </c>
      <c r="R406" s="5" t="s">
        <v>854</v>
      </c>
      <c r="S406" s="4" t="s">
        <v>1136</v>
      </c>
      <c r="T406" s="5" t="s">
        <v>1042</v>
      </c>
      <c r="U406" s="5" t="s">
        <v>856</v>
      </c>
      <c r="V406" s="5" t="s">
        <v>759</v>
      </c>
      <c r="W406" s="14" t="b">
        <v>1</v>
      </c>
      <c r="X406" s="81" t="s">
        <v>2296</v>
      </c>
      <c r="Y406" s="81" t="s">
        <v>2295</v>
      </c>
      <c r="Z406" s="82">
        <v>2015</v>
      </c>
      <c r="AA406" s="81"/>
      <c r="AB406" s="81" t="s">
        <v>413</v>
      </c>
      <c r="AE406" s="10">
        <v>1</v>
      </c>
      <c r="AF406" s="83" t="s">
        <v>783</v>
      </c>
      <c r="AG406" s="14"/>
      <c r="AH406" s="14"/>
      <c r="AI406" s="14"/>
      <c r="AJ406" s="14"/>
      <c r="AK406" s="14"/>
      <c r="AL406" s="14"/>
      <c r="AM406" s="14"/>
      <c r="AN406" s="14"/>
      <c r="AO406" s="14"/>
      <c r="AP406" s="14"/>
      <c r="AQ406" s="14"/>
      <c r="AR406" s="14"/>
      <c r="AS406" s="14"/>
      <c r="AT406" s="14"/>
      <c r="AU406" s="14"/>
      <c r="AV406" s="14"/>
      <c r="AW406" s="14"/>
      <c r="AX406" s="14"/>
    </row>
    <row r="407" spans="1:50" ht="17.25" customHeight="1">
      <c r="A407" s="5" t="s">
        <v>784</v>
      </c>
      <c r="B407" s="5" t="s">
        <v>784</v>
      </c>
      <c r="C407" s="5" t="s">
        <v>773</v>
      </c>
      <c r="D407" s="7" t="s">
        <v>1146</v>
      </c>
      <c r="E407" s="5" t="s">
        <v>1012</v>
      </c>
      <c r="F407" s="5" t="s">
        <v>1013</v>
      </c>
      <c r="G407" s="5" t="s">
        <v>865</v>
      </c>
      <c r="H407" s="24" t="s">
        <v>1</v>
      </c>
      <c r="I407" s="5" t="s">
        <v>854</v>
      </c>
      <c r="J407" s="5" t="s">
        <v>1014</v>
      </c>
      <c r="K407" s="5" t="s">
        <v>867</v>
      </c>
      <c r="L407" s="5" t="s">
        <v>1015</v>
      </c>
      <c r="M407" s="5" t="s">
        <v>1042</v>
      </c>
      <c r="N407" s="24" t="s">
        <v>0</v>
      </c>
      <c r="O407" s="24" t="s">
        <v>1</v>
      </c>
      <c r="P407" s="5" t="s">
        <v>1012</v>
      </c>
      <c r="Q407" s="24" t="s">
        <v>848</v>
      </c>
      <c r="R407" s="5" t="s">
        <v>854</v>
      </c>
      <c r="S407" s="4" t="s">
        <v>1136</v>
      </c>
      <c r="T407" s="5" t="s">
        <v>1042</v>
      </c>
      <c r="U407" s="5" t="s">
        <v>856</v>
      </c>
      <c r="V407" s="5" t="s">
        <v>759</v>
      </c>
      <c r="W407" s="14" t="b">
        <v>1</v>
      </c>
      <c r="X407" s="81" t="s">
        <v>2296</v>
      </c>
      <c r="Y407" s="81" t="s">
        <v>2295</v>
      </c>
      <c r="Z407" s="82">
        <v>2015</v>
      </c>
      <c r="AA407" s="81"/>
      <c r="AB407" s="81" t="s">
        <v>413</v>
      </c>
      <c r="AE407" s="10">
        <v>1</v>
      </c>
      <c r="AF407" s="83" t="s">
        <v>672</v>
      </c>
      <c r="AG407" s="14"/>
      <c r="AH407" s="14"/>
      <c r="AI407" s="14"/>
      <c r="AJ407" s="14"/>
      <c r="AK407" s="14"/>
      <c r="AL407" s="14"/>
      <c r="AM407" s="14"/>
      <c r="AN407" s="14"/>
      <c r="AO407" s="14"/>
      <c r="AP407" s="14"/>
      <c r="AQ407" s="14"/>
      <c r="AR407" s="14"/>
      <c r="AS407" s="14"/>
      <c r="AT407" s="14"/>
      <c r="AU407" s="14"/>
      <c r="AV407" s="14"/>
      <c r="AW407" s="14"/>
      <c r="AX407" s="14"/>
    </row>
    <row r="408" spans="1:50" ht="17.25" customHeight="1">
      <c r="A408" s="5" t="s">
        <v>784</v>
      </c>
      <c r="B408" s="5" t="s">
        <v>784</v>
      </c>
      <c r="C408" s="5" t="s">
        <v>773</v>
      </c>
      <c r="D408" s="7" t="s">
        <v>1147</v>
      </c>
      <c r="E408" s="5" t="s">
        <v>1012</v>
      </c>
      <c r="F408" s="5" t="s">
        <v>1013</v>
      </c>
      <c r="G408" s="5" t="s">
        <v>865</v>
      </c>
      <c r="H408" s="24" t="s">
        <v>1</v>
      </c>
      <c r="I408" s="5" t="s">
        <v>854</v>
      </c>
      <c r="J408" s="5" t="s">
        <v>1014</v>
      </c>
      <c r="K408" s="5" t="s">
        <v>867</v>
      </c>
      <c r="L408" s="5" t="s">
        <v>1015</v>
      </c>
      <c r="M408" s="5" t="s">
        <v>1042</v>
      </c>
      <c r="N408" s="24" t="s">
        <v>0</v>
      </c>
      <c r="O408" s="24" t="s">
        <v>1</v>
      </c>
      <c r="P408" s="5" t="s">
        <v>1012</v>
      </c>
      <c r="Q408" s="24" t="s">
        <v>848</v>
      </c>
      <c r="R408" s="5" t="s">
        <v>854</v>
      </c>
      <c r="S408" s="4" t="s">
        <v>1136</v>
      </c>
      <c r="T408" s="5" t="s">
        <v>1042</v>
      </c>
      <c r="U408" s="5" t="s">
        <v>856</v>
      </c>
      <c r="V408" s="5" t="s">
        <v>759</v>
      </c>
      <c r="W408" s="14" t="b">
        <v>1</v>
      </c>
      <c r="X408" s="81" t="s">
        <v>2296</v>
      </c>
      <c r="Y408" s="81" t="s">
        <v>2295</v>
      </c>
      <c r="Z408" s="82">
        <v>2015</v>
      </c>
      <c r="AA408" s="81"/>
      <c r="AB408" s="81" t="s">
        <v>413</v>
      </c>
      <c r="AE408" s="10">
        <v>1</v>
      </c>
      <c r="AF408" s="83" t="s">
        <v>785</v>
      </c>
      <c r="AG408" s="14"/>
      <c r="AH408" s="14"/>
      <c r="AI408" s="14"/>
      <c r="AJ408" s="14"/>
      <c r="AK408" s="14"/>
      <c r="AL408" s="14"/>
      <c r="AM408" s="14"/>
      <c r="AN408" s="14"/>
      <c r="AO408" s="14"/>
      <c r="AP408" s="14"/>
      <c r="AQ408" s="14"/>
      <c r="AR408" s="14"/>
      <c r="AS408" s="14"/>
      <c r="AT408" s="14"/>
      <c r="AU408" s="14"/>
      <c r="AV408" s="14"/>
      <c r="AW408" s="14"/>
      <c r="AX408" s="14"/>
    </row>
    <row r="409" spans="1:50" ht="17.25" customHeight="1">
      <c r="A409" s="5" t="s">
        <v>784</v>
      </c>
      <c r="B409" s="5" t="s">
        <v>784</v>
      </c>
      <c r="C409" s="5" t="s">
        <v>773</v>
      </c>
      <c r="D409" s="7" t="s">
        <v>1148</v>
      </c>
      <c r="E409" s="5" t="s">
        <v>1012</v>
      </c>
      <c r="F409" s="5" t="s">
        <v>1013</v>
      </c>
      <c r="G409" s="5" t="s">
        <v>865</v>
      </c>
      <c r="H409" s="24" t="s">
        <v>1</v>
      </c>
      <c r="I409" s="5" t="s">
        <v>854</v>
      </c>
      <c r="J409" s="5" t="s">
        <v>1014</v>
      </c>
      <c r="K409" s="5" t="s">
        <v>867</v>
      </c>
      <c r="L409" s="5" t="s">
        <v>1015</v>
      </c>
      <c r="M409" s="5" t="s">
        <v>1042</v>
      </c>
      <c r="N409" s="24" t="s">
        <v>0</v>
      </c>
      <c r="O409" s="24" t="s">
        <v>1</v>
      </c>
      <c r="P409" s="5" t="s">
        <v>1012</v>
      </c>
      <c r="Q409" s="24" t="s">
        <v>848</v>
      </c>
      <c r="R409" s="5" t="s">
        <v>854</v>
      </c>
      <c r="S409" s="4" t="s">
        <v>1136</v>
      </c>
      <c r="T409" s="5" t="s">
        <v>1042</v>
      </c>
      <c r="U409" s="5" t="s">
        <v>856</v>
      </c>
      <c r="V409" s="5" t="s">
        <v>759</v>
      </c>
      <c r="W409" s="14" t="b">
        <v>1</v>
      </c>
      <c r="X409" s="81" t="s">
        <v>2296</v>
      </c>
      <c r="Y409" s="81" t="s">
        <v>2295</v>
      </c>
      <c r="Z409" s="82">
        <v>2015</v>
      </c>
      <c r="AA409" s="81"/>
      <c r="AB409" s="81" t="s">
        <v>413</v>
      </c>
      <c r="AE409" s="10">
        <v>1</v>
      </c>
      <c r="AF409" s="83" t="s">
        <v>786</v>
      </c>
      <c r="AG409" s="14"/>
      <c r="AH409" s="14"/>
      <c r="AI409" s="14"/>
      <c r="AJ409" s="14"/>
      <c r="AK409" s="14"/>
      <c r="AL409" s="14"/>
      <c r="AM409" s="14"/>
      <c r="AN409" s="14"/>
      <c r="AO409" s="14"/>
      <c r="AP409" s="14"/>
      <c r="AQ409" s="14"/>
      <c r="AR409" s="14"/>
      <c r="AS409" s="14"/>
      <c r="AT409" s="14"/>
      <c r="AU409" s="14"/>
      <c r="AV409" s="14"/>
      <c r="AW409" s="14"/>
      <c r="AX409" s="14"/>
    </row>
    <row r="410" spans="1:50" ht="17.25" customHeight="1">
      <c r="A410" s="5" t="s">
        <v>784</v>
      </c>
      <c r="B410" s="5" t="s">
        <v>784</v>
      </c>
      <c r="C410" s="5" t="s">
        <v>773</v>
      </c>
      <c r="D410" s="7" t="s">
        <v>1149</v>
      </c>
      <c r="E410" s="5" t="s">
        <v>1012</v>
      </c>
      <c r="F410" s="5" t="s">
        <v>1013</v>
      </c>
      <c r="G410" s="5" t="s">
        <v>865</v>
      </c>
      <c r="H410" s="24" t="s">
        <v>1</v>
      </c>
      <c r="I410" s="5" t="s">
        <v>854</v>
      </c>
      <c r="J410" s="5" t="s">
        <v>1014</v>
      </c>
      <c r="K410" s="5" t="s">
        <v>867</v>
      </c>
      <c r="L410" s="5" t="s">
        <v>1015</v>
      </c>
      <c r="M410" s="5" t="s">
        <v>1042</v>
      </c>
      <c r="N410" s="24" t="s">
        <v>0</v>
      </c>
      <c r="O410" s="24" t="s">
        <v>1</v>
      </c>
      <c r="P410" s="5" t="s">
        <v>1012</v>
      </c>
      <c r="Q410" s="24" t="s">
        <v>848</v>
      </c>
      <c r="R410" s="5" t="s">
        <v>854</v>
      </c>
      <c r="S410" s="4" t="s">
        <v>1136</v>
      </c>
      <c r="T410" s="5" t="s">
        <v>1042</v>
      </c>
      <c r="U410" s="5" t="s">
        <v>856</v>
      </c>
      <c r="V410" s="5" t="s">
        <v>759</v>
      </c>
      <c r="W410" s="14" t="b">
        <v>1</v>
      </c>
      <c r="X410" s="81" t="s">
        <v>2296</v>
      </c>
      <c r="Y410" s="81" t="s">
        <v>2295</v>
      </c>
      <c r="Z410" s="82">
        <v>2015</v>
      </c>
      <c r="AA410" s="81"/>
      <c r="AB410" s="81" t="s">
        <v>413</v>
      </c>
      <c r="AE410" s="10">
        <v>1</v>
      </c>
      <c r="AF410" s="83" t="s">
        <v>787</v>
      </c>
      <c r="AG410" s="14"/>
      <c r="AH410" s="14"/>
      <c r="AI410" s="14"/>
      <c r="AJ410" s="14"/>
      <c r="AK410" s="14"/>
      <c r="AL410" s="14"/>
      <c r="AM410" s="14"/>
      <c r="AN410" s="14"/>
      <c r="AO410" s="14"/>
      <c r="AP410" s="14"/>
      <c r="AQ410" s="14"/>
      <c r="AR410" s="14"/>
      <c r="AS410" s="14"/>
      <c r="AT410" s="14"/>
      <c r="AU410" s="14"/>
      <c r="AV410" s="14"/>
      <c r="AW410" s="14"/>
      <c r="AX410" s="14"/>
    </row>
    <row r="411" spans="1:50" ht="17.25" customHeight="1">
      <c r="A411" s="5" t="s">
        <v>784</v>
      </c>
      <c r="B411" s="5" t="s">
        <v>784</v>
      </c>
      <c r="C411" s="5" t="s">
        <v>773</v>
      </c>
      <c r="D411" s="7" t="s">
        <v>1150</v>
      </c>
      <c r="E411" s="5" t="s">
        <v>1012</v>
      </c>
      <c r="F411" s="5" t="s">
        <v>1013</v>
      </c>
      <c r="G411" s="5" t="s">
        <v>865</v>
      </c>
      <c r="H411" s="24" t="s">
        <v>1</v>
      </c>
      <c r="I411" s="5" t="s">
        <v>854</v>
      </c>
      <c r="J411" s="5" t="s">
        <v>1014</v>
      </c>
      <c r="K411" s="5" t="s">
        <v>867</v>
      </c>
      <c r="L411" s="5" t="s">
        <v>1015</v>
      </c>
      <c r="M411" s="5" t="s">
        <v>1042</v>
      </c>
      <c r="N411" s="24" t="s">
        <v>0</v>
      </c>
      <c r="O411" s="24" t="s">
        <v>1</v>
      </c>
      <c r="P411" s="5" t="s">
        <v>1012</v>
      </c>
      <c r="Q411" s="24" t="s">
        <v>848</v>
      </c>
      <c r="R411" s="5" t="s">
        <v>854</v>
      </c>
      <c r="S411" s="4" t="s">
        <v>1136</v>
      </c>
      <c r="T411" s="5" t="s">
        <v>1042</v>
      </c>
      <c r="U411" s="5" t="s">
        <v>856</v>
      </c>
      <c r="V411" s="5" t="s">
        <v>759</v>
      </c>
      <c r="W411" s="14" t="b">
        <v>1</v>
      </c>
      <c r="X411" s="81" t="s">
        <v>2296</v>
      </c>
      <c r="Y411" s="81" t="s">
        <v>2295</v>
      </c>
      <c r="Z411" s="82">
        <v>2015</v>
      </c>
      <c r="AA411" s="81"/>
      <c r="AB411" s="81" t="s">
        <v>413</v>
      </c>
      <c r="AE411" s="10">
        <v>1</v>
      </c>
      <c r="AF411" s="83" t="s">
        <v>788</v>
      </c>
      <c r="AG411" s="14"/>
      <c r="AH411" s="14"/>
      <c r="AI411" s="14"/>
      <c r="AJ411" s="14"/>
      <c r="AK411" s="14"/>
      <c r="AL411" s="14"/>
      <c r="AM411" s="14"/>
      <c r="AN411" s="14"/>
      <c r="AO411" s="14"/>
      <c r="AP411" s="14"/>
      <c r="AQ411" s="14"/>
      <c r="AR411" s="14"/>
      <c r="AS411" s="14"/>
      <c r="AT411" s="14"/>
      <c r="AU411" s="14"/>
      <c r="AV411" s="14"/>
      <c r="AW411" s="14"/>
      <c r="AX411" s="14"/>
    </row>
    <row r="412" spans="1:50" ht="17.25" customHeight="1">
      <c r="A412" s="5" t="s">
        <v>784</v>
      </c>
      <c r="B412" s="5" t="s">
        <v>784</v>
      </c>
      <c r="C412" s="5" t="s">
        <v>773</v>
      </c>
      <c r="D412" s="7" t="s">
        <v>1151</v>
      </c>
      <c r="E412" s="5" t="s">
        <v>1012</v>
      </c>
      <c r="F412" s="5" t="s">
        <v>1013</v>
      </c>
      <c r="G412" s="5" t="s">
        <v>865</v>
      </c>
      <c r="H412" s="24" t="s">
        <v>1</v>
      </c>
      <c r="I412" s="5" t="s">
        <v>854</v>
      </c>
      <c r="J412" s="5" t="s">
        <v>1014</v>
      </c>
      <c r="K412" s="5" t="s">
        <v>867</v>
      </c>
      <c r="L412" s="5" t="s">
        <v>1015</v>
      </c>
      <c r="M412" s="5" t="s">
        <v>1042</v>
      </c>
      <c r="N412" s="24" t="s">
        <v>0</v>
      </c>
      <c r="O412" s="24" t="s">
        <v>1</v>
      </c>
      <c r="P412" s="5" t="s">
        <v>1012</v>
      </c>
      <c r="Q412" s="24" t="s">
        <v>848</v>
      </c>
      <c r="R412" s="5" t="s">
        <v>854</v>
      </c>
      <c r="S412" s="4" t="s">
        <v>1136</v>
      </c>
      <c r="T412" s="5" t="s">
        <v>1042</v>
      </c>
      <c r="U412" s="5" t="s">
        <v>856</v>
      </c>
      <c r="V412" s="5" t="s">
        <v>759</v>
      </c>
      <c r="W412" s="14" t="b">
        <v>1</v>
      </c>
      <c r="X412" s="81" t="s">
        <v>2296</v>
      </c>
      <c r="Y412" s="81" t="s">
        <v>2295</v>
      </c>
      <c r="Z412" s="82">
        <v>2015</v>
      </c>
      <c r="AA412" s="81"/>
      <c r="AB412" s="81" t="s">
        <v>413</v>
      </c>
      <c r="AE412" s="10">
        <v>1</v>
      </c>
      <c r="AF412" s="83" t="s">
        <v>789</v>
      </c>
      <c r="AG412" s="14"/>
      <c r="AH412" s="14"/>
      <c r="AI412" s="14"/>
      <c r="AJ412" s="14"/>
      <c r="AK412" s="14"/>
      <c r="AL412" s="14"/>
      <c r="AM412" s="14"/>
      <c r="AN412" s="14"/>
      <c r="AO412" s="14"/>
      <c r="AP412" s="14"/>
      <c r="AQ412" s="14"/>
      <c r="AR412" s="14"/>
      <c r="AS412" s="14"/>
      <c r="AT412" s="14"/>
      <c r="AU412" s="14"/>
      <c r="AV412" s="14"/>
      <c r="AW412" s="14"/>
      <c r="AX412" s="14"/>
    </row>
    <row r="413" spans="1:50" ht="17.25" customHeight="1">
      <c r="A413" s="5" t="s">
        <v>784</v>
      </c>
      <c r="B413" s="5" t="s">
        <v>784</v>
      </c>
      <c r="C413" s="5" t="s">
        <v>773</v>
      </c>
      <c r="D413" s="7" t="s">
        <v>1152</v>
      </c>
      <c r="E413" s="5" t="s">
        <v>1012</v>
      </c>
      <c r="F413" s="5" t="s">
        <v>1013</v>
      </c>
      <c r="G413" s="5" t="s">
        <v>865</v>
      </c>
      <c r="H413" s="24" t="s">
        <v>1</v>
      </c>
      <c r="I413" s="5" t="s">
        <v>854</v>
      </c>
      <c r="J413" s="5" t="s">
        <v>1014</v>
      </c>
      <c r="K413" s="5" t="s">
        <v>867</v>
      </c>
      <c r="L413" s="5" t="s">
        <v>1015</v>
      </c>
      <c r="M413" s="5" t="s">
        <v>1042</v>
      </c>
      <c r="N413" s="24" t="s">
        <v>0</v>
      </c>
      <c r="O413" s="24" t="s">
        <v>1</v>
      </c>
      <c r="P413" s="5" t="s">
        <v>1012</v>
      </c>
      <c r="Q413" s="24" t="s">
        <v>848</v>
      </c>
      <c r="R413" s="5" t="s">
        <v>854</v>
      </c>
      <c r="S413" s="4" t="s">
        <v>1136</v>
      </c>
      <c r="T413" s="5" t="s">
        <v>1042</v>
      </c>
      <c r="U413" s="5" t="s">
        <v>856</v>
      </c>
      <c r="V413" s="5" t="s">
        <v>759</v>
      </c>
      <c r="W413" s="14" t="b">
        <v>1</v>
      </c>
      <c r="X413" s="81" t="s">
        <v>2296</v>
      </c>
      <c r="Y413" s="81" t="s">
        <v>2295</v>
      </c>
      <c r="Z413" s="82">
        <v>2015</v>
      </c>
      <c r="AA413" s="81"/>
      <c r="AB413" s="81" t="s">
        <v>413</v>
      </c>
      <c r="AE413" s="10">
        <v>1</v>
      </c>
      <c r="AF413" s="83" t="s">
        <v>790</v>
      </c>
      <c r="AG413" s="14"/>
      <c r="AH413" s="14"/>
      <c r="AI413" s="14"/>
      <c r="AJ413" s="14"/>
      <c r="AK413" s="14"/>
      <c r="AL413" s="14"/>
      <c r="AM413" s="14"/>
      <c r="AN413" s="14"/>
      <c r="AO413" s="14"/>
      <c r="AP413" s="14"/>
      <c r="AQ413" s="14"/>
      <c r="AR413" s="14"/>
      <c r="AS413" s="14"/>
      <c r="AT413" s="14"/>
      <c r="AU413" s="14"/>
      <c r="AV413" s="14"/>
      <c r="AW413" s="14"/>
      <c r="AX413" s="14"/>
    </row>
    <row r="414" spans="1:50" ht="17.25" customHeight="1">
      <c r="A414" s="5" t="s">
        <v>784</v>
      </c>
      <c r="B414" s="5" t="s">
        <v>784</v>
      </c>
      <c r="C414" s="5" t="s">
        <v>773</v>
      </c>
      <c r="D414" s="7" t="s">
        <v>1153</v>
      </c>
      <c r="E414" s="5" t="s">
        <v>1012</v>
      </c>
      <c r="F414" s="5" t="s">
        <v>1013</v>
      </c>
      <c r="G414" s="5" t="s">
        <v>865</v>
      </c>
      <c r="H414" s="24" t="s">
        <v>1</v>
      </c>
      <c r="I414" s="5" t="s">
        <v>854</v>
      </c>
      <c r="J414" s="5" t="s">
        <v>1014</v>
      </c>
      <c r="K414" s="5" t="s">
        <v>867</v>
      </c>
      <c r="L414" s="5" t="s">
        <v>1015</v>
      </c>
      <c r="M414" s="5" t="s">
        <v>1042</v>
      </c>
      <c r="N414" s="24" t="s">
        <v>0</v>
      </c>
      <c r="O414" s="24" t="s">
        <v>1</v>
      </c>
      <c r="P414" s="5" t="s">
        <v>1012</v>
      </c>
      <c r="Q414" s="24" t="s">
        <v>848</v>
      </c>
      <c r="R414" s="5" t="s">
        <v>854</v>
      </c>
      <c r="S414" s="4" t="s">
        <v>1136</v>
      </c>
      <c r="T414" s="5" t="s">
        <v>1042</v>
      </c>
      <c r="U414" s="5" t="s">
        <v>856</v>
      </c>
      <c r="V414" s="5" t="s">
        <v>759</v>
      </c>
      <c r="W414" s="14" t="b">
        <v>1</v>
      </c>
      <c r="X414" s="81" t="s">
        <v>2296</v>
      </c>
      <c r="Y414" s="81" t="s">
        <v>2295</v>
      </c>
      <c r="Z414" s="82">
        <v>2015</v>
      </c>
      <c r="AA414" s="81"/>
      <c r="AB414" s="81" t="s">
        <v>413</v>
      </c>
      <c r="AE414" s="10">
        <v>1</v>
      </c>
      <c r="AF414" s="83" t="s">
        <v>791</v>
      </c>
      <c r="AG414" s="14"/>
      <c r="AH414" s="14"/>
      <c r="AI414" s="14"/>
      <c r="AJ414" s="14"/>
      <c r="AK414" s="14"/>
      <c r="AL414" s="14"/>
      <c r="AM414" s="14"/>
      <c r="AN414" s="14"/>
      <c r="AO414" s="14"/>
      <c r="AP414" s="14"/>
      <c r="AQ414" s="14"/>
      <c r="AR414" s="14"/>
      <c r="AS414" s="14"/>
      <c r="AT414" s="14"/>
      <c r="AU414" s="14"/>
      <c r="AV414" s="14"/>
      <c r="AW414" s="14"/>
      <c r="AX414" s="14"/>
    </row>
    <row r="415" spans="1:50" ht="17.25" customHeight="1">
      <c r="A415" s="5" t="s">
        <v>784</v>
      </c>
      <c r="B415" s="5" t="s">
        <v>784</v>
      </c>
      <c r="C415" s="5" t="s">
        <v>773</v>
      </c>
      <c r="D415" s="7" t="s">
        <v>1154</v>
      </c>
      <c r="E415" s="5" t="s">
        <v>1012</v>
      </c>
      <c r="F415" s="5" t="s">
        <v>1013</v>
      </c>
      <c r="G415" s="5" t="s">
        <v>865</v>
      </c>
      <c r="H415" s="24" t="s">
        <v>1</v>
      </c>
      <c r="I415" s="5" t="s">
        <v>854</v>
      </c>
      <c r="J415" s="5" t="s">
        <v>1014</v>
      </c>
      <c r="K415" s="5" t="s">
        <v>867</v>
      </c>
      <c r="L415" s="5" t="s">
        <v>1015</v>
      </c>
      <c r="M415" s="5" t="s">
        <v>1042</v>
      </c>
      <c r="N415" s="24" t="s">
        <v>0</v>
      </c>
      <c r="O415" s="24" t="s">
        <v>1</v>
      </c>
      <c r="P415" s="5" t="s">
        <v>1012</v>
      </c>
      <c r="Q415" s="24" t="s">
        <v>848</v>
      </c>
      <c r="R415" s="5" t="s">
        <v>854</v>
      </c>
      <c r="S415" s="4" t="s">
        <v>1136</v>
      </c>
      <c r="T415" s="5" t="s">
        <v>1042</v>
      </c>
      <c r="U415" s="5" t="s">
        <v>856</v>
      </c>
      <c r="V415" s="5" t="s">
        <v>759</v>
      </c>
      <c r="W415" s="14" t="b">
        <v>1</v>
      </c>
      <c r="X415" s="81" t="s">
        <v>2296</v>
      </c>
      <c r="Y415" s="81" t="s">
        <v>2295</v>
      </c>
      <c r="Z415" s="82">
        <v>2015</v>
      </c>
      <c r="AA415" s="81"/>
      <c r="AB415" s="81" t="s">
        <v>413</v>
      </c>
      <c r="AE415" s="10">
        <v>1</v>
      </c>
      <c r="AF415" s="83" t="s">
        <v>792</v>
      </c>
      <c r="AG415" s="14"/>
      <c r="AH415" s="14"/>
      <c r="AI415" s="14"/>
      <c r="AJ415" s="14"/>
      <c r="AK415" s="14"/>
      <c r="AL415" s="14"/>
      <c r="AM415" s="14"/>
      <c r="AN415" s="14"/>
      <c r="AO415" s="14"/>
      <c r="AP415" s="14"/>
      <c r="AQ415" s="14"/>
      <c r="AR415" s="14"/>
      <c r="AS415" s="14"/>
      <c r="AT415" s="14"/>
      <c r="AU415" s="14"/>
      <c r="AV415" s="14"/>
      <c r="AW415" s="14"/>
      <c r="AX415" s="14"/>
    </row>
    <row r="416" spans="1:50" ht="17.25" customHeight="1">
      <c r="A416" s="5" t="s">
        <v>784</v>
      </c>
      <c r="B416" s="5" t="s">
        <v>784</v>
      </c>
      <c r="C416" s="5" t="s">
        <v>773</v>
      </c>
      <c r="D416" s="7" t="s">
        <v>1155</v>
      </c>
      <c r="E416" s="5" t="s">
        <v>1012</v>
      </c>
      <c r="F416" s="5" t="s">
        <v>1013</v>
      </c>
      <c r="G416" s="5" t="s">
        <v>865</v>
      </c>
      <c r="H416" s="24" t="s">
        <v>1</v>
      </c>
      <c r="I416" s="5" t="s">
        <v>854</v>
      </c>
      <c r="J416" s="5" t="s">
        <v>1014</v>
      </c>
      <c r="K416" s="5" t="s">
        <v>867</v>
      </c>
      <c r="L416" s="5" t="s">
        <v>1015</v>
      </c>
      <c r="M416" s="5" t="s">
        <v>1042</v>
      </c>
      <c r="N416" s="24" t="s">
        <v>0</v>
      </c>
      <c r="O416" s="24" t="s">
        <v>1</v>
      </c>
      <c r="P416" s="5" t="s">
        <v>1012</v>
      </c>
      <c r="Q416" s="24" t="s">
        <v>848</v>
      </c>
      <c r="R416" s="5" t="s">
        <v>854</v>
      </c>
      <c r="S416" s="4" t="s">
        <v>1136</v>
      </c>
      <c r="T416" s="5" t="s">
        <v>1042</v>
      </c>
      <c r="U416" s="5" t="s">
        <v>856</v>
      </c>
      <c r="V416" s="5" t="s">
        <v>759</v>
      </c>
      <c r="W416" s="14" t="b">
        <v>1</v>
      </c>
      <c r="X416" s="81" t="s">
        <v>2296</v>
      </c>
      <c r="Y416" s="81" t="s">
        <v>2295</v>
      </c>
      <c r="Z416" s="82">
        <v>2015</v>
      </c>
      <c r="AA416" s="81"/>
      <c r="AB416" s="81" t="s">
        <v>413</v>
      </c>
      <c r="AE416" s="10">
        <v>1</v>
      </c>
      <c r="AF416" s="83" t="s">
        <v>793</v>
      </c>
      <c r="AG416" s="14"/>
      <c r="AH416" s="14"/>
      <c r="AI416" s="14"/>
      <c r="AJ416" s="14"/>
      <c r="AK416" s="14"/>
      <c r="AL416" s="14"/>
      <c r="AM416" s="14"/>
      <c r="AN416" s="14"/>
      <c r="AO416" s="14"/>
      <c r="AP416" s="14"/>
      <c r="AQ416" s="14"/>
      <c r="AR416" s="14"/>
      <c r="AS416" s="14"/>
      <c r="AT416" s="14"/>
      <c r="AU416" s="14"/>
      <c r="AV416" s="14"/>
      <c r="AW416" s="14"/>
      <c r="AX416" s="14"/>
    </row>
    <row r="417" spans="1:50" ht="17.25" customHeight="1">
      <c r="A417" s="5" t="s">
        <v>794</v>
      </c>
      <c r="B417" s="5" t="s">
        <v>794</v>
      </c>
      <c r="C417" s="5" t="s">
        <v>796</v>
      </c>
      <c r="D417" s="7" t="s">
        <v>1157</v>
      </c>
      <c r="E417" s="5" t="s">
        <v>1012</v>
      </c>
      <c r="F417" s="5" t="s">
        <v>1013</v>
      </c>
      <c r="G417" s="5" t="s">
        <v>865</v>
      </c>
      <c r="H417" s="24" t="s">
        <v>1</v>
      </c>
      <c r="I417" s="5" t="s">
        <v>854</v>
      </c>
      <c r="J417" s="5" t="s">
        <v>1014</v>
      </c>
      <c r="K417" s="5" t="s">
        <v>867</v>
      </c>
      <c r="L417" s="5" t="s">
        <v>1015</v>
      </c>
      <c r="M417" s="5" t="s">
        <v>1158</v>
      </c>
      <c r="N417" s="24" t="s">
        <v>0</v>
      </c>
      <c r="O417" s="24" t="s">
        <v>1</v>
      </c>
      <c r="P417" s="5" t="s">
        <v>1012</v>
      </c>
      <c r="Q417" s="24" t="s">
        <v>848</v>
      </c>
      <c r="R417" s="5" t="s">
        <v>854</v>
      </c>
      <c r="S417" s="5" t="s">
        <v>1159</v>
      </c>
      <c r="T417" s="5" t="s">
        <v>1158</v>
      </c>
      <c r="U417" s="5" t="s">
        <v>856</v>
      </c>
      <c r="V417" s="5" t="s">
        <v>759</v>
      </c>
      <c r="W417" s="14" t="b">
        <v>1</v>
      </c>
      <c r="X417" s="81" t="s">
        <v>2298</v>
      </c>
      <c r="Y417" s="81" t="s">
        <v>2297</v>
      </c>
      <c r="Z417" s="82">
        <v>2014</v>
      </c>
      <c r="AA417" s="81"/>
      <c r="AB417" s="81" t="s">
        <v>413</v>
      </c>
      <c r="AE417" s="10">
        <v>1</v>
      </c>
      <c r="AF417" s="83" t="s">
        <v>795</v>
      </c>
      <c r="AG417" s="14"/>
      <c r="AH417" s="14"/>
      <c r="AI417" s="14"/>
      <c r="AJ417" s="14"/>
      <c r="AK417" s="14"/>
      <c r="AL417" s="14"/>
      <c r="AM417" s="14"/>
      <c r="AN417" s="14"/>
      <c r="AO417" s="14"/>
      <c r="AP417" s="14"/>
      <c r="AQ417" s="14"/>
      <c r="AR417" s="14"/>
      <c r="AS417" s="14"/>
      <c r="AT417" s="14"/>
      <c r="AU417" s="14"/>
      <c r="AV417" s="14"/>
      <c r="AW417" s="14"/>
      <c r="AX417" s="14"/>
    </row>
    <row r="418" spans="1:50" ht="17.25" customHeight="1">
      <c r="A418" s="5" t="s">
        <v>794</v>
      </c>
      <c r="B418" s="5" t="s">
        <v>794</v>
      </c>
      <c r="C418" s="5" t="s">
        <v>796</v>
      </c>
      <c r="D418" s="7" t="s">
        <v>1160</v>
      </c>
      <c r="E418" s="5" t="s">
        <v>1012</v>
      </c>
      <c r="F418" s="5" t="s">
        <v>1013</v>
      </c>
      <c r="G418" s="5" t="s">
        <v>865</v>
      </c>
      <c r="H418" s="24" t="s">
        <v>1</v>
      </c>
      <c r="I418" s="5" t="s">
        <v>854</v>
      </c>
      <c r="J418" s="5" t="s">
        <v>1014</v>
      </c>
      <c r="K418" s="5" t="s">
        <v>867</v>
      </c>
      <c r="L418" s="5" t="s">
        <v>1015</v>
      </c>
      <c r="M418" s="5" t="s">
        <v>1158</v>
      </c>
      <c r="N418" s="24" t="s">
        <v>0</v>
      </c>
      <c r="O418" s="24" t="s">
        <v>1</v>
      </c>
      <c r="P418" s="5" t="s">
        <v>1012</v>
      </c>
      <c r="Q418" s="24" t="s">
        <v>848</v>
      </c>
      <c r="R418" s="5" t="s">
        <v>854</v>
      </c>
      <c r="S418" s="5" t="s">
        <v>1159</v>
      </c>
      <c r="T418" s="5" t="s">
        <v>1158</v>
      </c>
      <c r="U418" s="5" t="s">
        <v>856</v>
      </c>
      <c r="V418" s="5" t="s">
        <v>759</v>
      </c>
      <c r="W418" s="14" t="b">
        <v>1</v>
      </c>
      <c r="X418" s="81" t="s">
        <v>2298</v>
      </c>
      <c r="Y418" s="81" t="s">
        <v>2297</v>
      </c>
      <c r="Z418" s="82">
        <v>2014</v>
      </c>
      <c r="AA418" s="81"/>
      <c r="AB418" s="81" t="s">
        <v>413</v>
      </c>
      <c r="AE418" s="10">
        <v>1</v>
      </c>
      <c r="AF418" s="83" t="s">
        <v>798</v>
      </c>
      <c r="AG418" s="14"/>
      <c r="AH418" s="14"/>
      <c r="AI418" s="14"/>
      <c r="AJ418" s="14"/>
      <c r="AK418" s="14"/>
      <c r="AL418" s="14"/>
      <c r="AM418" s="14"/>
      <c r="AN418" s="14"/>
      <c r="AO418" s="14"/>
      <c r="AP418" s="14"/>
      <c r="AQ418" s="14"/>
      <c r="AR418" s="14"/>
      <c r="AS418" s="14"/>
      <c r="AT418" s="14"/>
      <c r="AU418" s="14"/>
      <c r="AV418" s="14"/>
      <c r="AW418" s="14"/>
      <c r="AX418" s="14"/>
    </row>
    <row r="419" spans="1:50" ht="17.25" customHeight="1">
      <c r="A419" s="5" t="s">
        <v>794</v>
      </c>
      <c r="B419" s="5" t="s">
        <v>794</v>
      </c>
      <c r="C419" s="5" t="s">
        <v>796</v>
      </c>
      <c r="D419" s="7" t="s">
        <v>1161</v>
      </c>
      <c r="E419" s="5" t="s">
        <v>1012</v>
      </c>
      <c r="F419" s="5" t="s">
        <v>1013</v>
      </c>
      <c r="G419" s="5" t="s">
        <v>865</v>
      </c>
      <c r="H419" s="24" t="s">
        <v>1</v>
      </c>
      <c r="I419" s="5" t="s">
        <v>854</v>
      </c>
      <c r="J419" s="5" t="s">
        <v>1014</v>
      </c>
      <c r="K419" s="5" t="s">
        <v>867</v>
      </c>
      <c r="L419" s="5" t="s">
        <v>1015</v>
      </c>
      <c r="M419" s="5" t="s">
        <v>1158</v>
      </c>
      <c r="N419" s="24" t="s">
        <v>0</v>
      </c>
      <c r="O419" s="24" t="s">
        <v>1</v>
      </c>
      <c r="P419" s="5" t="s">
        <v>1012</v>
      </c>
      <c r="Q419" s="24" t="s">
        <v>848</v>
      </c>
      <c r="R419" s="5" t="s">
        <v>854</v>
      </c>
      <c r="S419" s="5" t="s">
        <v>1159</v>
      </c>
      <c r="T419" s="5" t="s">
        <v>1158</v>
      </c>
      <c r="U419" s="5" t="s">
        <v>856</v>
      </c>
      <c r="V419" s="5" t="s">
        <v>759</v>
      </c>
      <c r="W419" s="14" t="b">
        <v>1</v>
      </c>
      <c r="X419" s="81" t="s">
        <v>2298</v>
      </c>
      <c r="Y419" s="81" t="s">
        <v>2297</v>
      </c>
      <c r="Z419" s="82">
        <v>2014</v>
      </c>
      <c r="AA419" s="81"/>
      <c r="AB419" s="81" t="s">
        <v>413</v>
      </c>
      <c r="AE419" s="10">
        <v>1</v>
      </c>
      <c r="AF419" s="83" t="s">
        <v>799</v>
      </c>
      <c r="AG419" s="14"/>
      <c r="AH419" s="14"/>
      <c r="AI419" s="14"/>
      <c r="AJ419" s="14"/>
      <c r="AK419" s="14"/>
      <c r="AL419" s="14"/>
      <c r="AM419" s="14"/>
      <c r="AN419" s="14"/>
      <c r="AO419" s="14"/>
      <c r="AP419" s="14"/>
      <c r="AQ419" s="14"/>
      <c r="AR419" s="14"/>
      <c r="AS419" s="14"/>
      <c r="AT419" s="14"/>
      <c r="AU419" s="14"/>
      <c r="AV419" s="14"/>
      <c r="AW419" s="14"/>
      <c r="AX419" s="14"/>
    </row>
    <row r="420" spans="1:50" ht="17.25" customHeight="1">
      <c r="A420" s="5" t="s">
        <v>794</v>
      </c>
      <c r="B420" s="5" t="s">
        <v>794</v>
      </c>
      <c r="C420" s="5" t="s">
        <v>796</v>
      </c>
      <c r="D420" s="7" t="s">
        <v>1162</v>
      </c>
      <c r="E420" s="5" t="s">
        <v>1012</v>
      </c>
      <c r="F420" s="5" t="s">
        <v>1013</v>
      </c>
      <c r="G420" s="5" t="s">
        <v>865</v>
      </c>
      <c r="H420" s="24" t="s">
        <v>1</v>
      </c>
      <c r="I420" s="5" t="s">
        <v>854</v>
      </c>
      <c r="J420" s="5" t="s">
        <v>1014</v>
      </c>
      <c r="K420" s="5" t="s">
        <v>867</v>
      </c>
      <c r="L420" s="5" t="s">
        <v>1015</v>
      </c>
      <c r="M420" s="5" t="s">
        <v>1158</v>
      </c>
      <c r="N420" s="24" t="s">
        <v>0</v>
      </c>
      <c r="O420" s="24" t="s">
        <v>1</v>
      </c>
      <c r="P420" s="5" t="s">
        <v>1012</v>
      </c>
      <c r="Q420" s="24" t="s">
        <v>848</v>
      </c>
      <c r="R420" s="5" t="s">
        <v>854</v>
      </c>
      <c r="S420" s="5" t="s">
        <v>1159</v>
      </c>
      <c r="T420" s="5" t="s">
        <v>1158</v>
      </c>
      <c r="U420" s="5" t="s">
        <v>856</v>
      </c>
      <c r="V420" s="5" t="s">
        <v>759</v>
      </c>
      <c r="W420" s="14" t="b">
        <v>1</v>
      </c>
      <c r="X420" s="81" t="s">
        <v>2298</v>
      </c>
      <c r="Y420" s="81" t="s">
        <v>2297</v>
      </c>
      <c r="Z420" s="82">
        <v>2014</v>
      </c>
      <c r="AA420" s="81"/>
      <c r="AB420" s="81" t="s">
        <v>413</v>
      </c>
      <c r="AE420" s="10">
        <v>1</v>
      </c>
      <c r="AF420" s="83" t="s">
        <v>800</v>
      </c>
      <c r="AG420" s="14"/>
      <c r="AH420" s="14"/>
      <c r="AI420" s="14"/>
      <c r="AJ420" s="14"/>
      <c r="AK420" s="14"/>
      <c r="AL420" s="14"/>
      <c r="AM420" s="14"/>
      <c r="AN420" s="14"/>
      <c r="AO420" s="14"/>
      <c r="AP420" s="14"/>
      <c r="AQ420" s="14"/>
      <c r="AR420" s="14"/>
      <c r="AS420" s="14"/>
      <c r="AT420" s="14"/>
      <c r="AU420" s="14"/>
      <c r="AV420" s="14"/>
      <c r="AW420" s="14"/>
      <c r="AX420" s="14"/>
    </row>
    <row r="421" spans="1:50" ht="17.25" customHeight="1">
      <c r="A421" s="5" t="s">
        <v>794</v>
      </c>
      <c r="B421" s="5" t="s">
        <v>794</v>
      </c>
      <c r="C421" s="5" t="s">
        <v>796</v>
      </c>
      <c r="D421" s="7" t="s">
        <v>1163</v>
      </c>
      <c r="E421" s="5" t="s">
        <v>1012</v>
      </c>
      <c r="F421" s="5" t="s">
        <v>1013</v>
      </c>
      <c r="G421" s="5" t="s">
        <v>865</v>
      </c>
      <c r="H421" s="24" t="s">
        <v>1</v>
      </c>
      <c r="I421" s="5" t="s">
        <v>854</v>
      </c>
      <c r="J421" s="5" t="s">
        <v>1014</v>
      </c>
      <c r="K421" s="5" t="s">
        <v>867</v>
      </c>
      <c r="L421" s="5" t="s">
        <v>1015</v>
      </c>
      <c r="M421" s="5" t="s">
        <v>1158</v>
      </c>
      <c r="N421" s="24" t="s">
        <v>0</v>
      </c>
      <c r="O421" s="24" t="s">
        <v>1</v>
      </c>
      <c r="P421" s="5" t="s">
        <v>1012</v>
      </c>
      <c r="Q421" s="24" t="s">
        <v>848</v>
      </c>
      <c r="R421" s="5" t="s">
        <v>854</v>
      </c>
      <c r="S421" s="5" t="s">
        <v>1159</v>
      </c>
      <c r="T421" s="5" t="s">
        <v>1158</v>
      </c>
      <c r="U421" s="5" t="s">
        <v>856</v>
      </c>
      <c r="V421" s="5" t="s">
        <v>759</v>
      </c>
      <c r="W421" s="14" t="b">
        <v>1</v>
      </c>
      <c r="X421" s="81" t="s">
        <v>2298</v>
      </c>
      <c r="Y421" s="81" t="s">
        <v>2297</v>
      </c>
      <c r="Z421" s="82">
        <v>2014</v>
      </c>
      <c r="AA421" s="81"/>
      <c r="AB421" s="81" t="s">
        <v>413</v>
      </c>
      <c r="AE421" s="10">
        <v>1</v>
      </c>
      <c r="AF421" s="83" t="s">
        <v>801</v>
      </c>
      <c r="AG421" s="14"/>
      <c r="AH421" s="14"/>
      <c r="AI421" s="14"/>
      <c r="AJ421" s="14"/>
      <c r="AK421" s="14"/>
      <c r="AL421" s="14"/>
      <c r="AM421" s="14"/>
      <c r="AN421" s="14"/>
      <c r="AO421" s="14"/>
      <c r="AP421" s="14"/>
      <c r="AQ421" s="14"/>
      <c r="AR421" s="14"/>
      <c r="AS421" s="14"/>
      <c r="AT421" s="14"/>
      <c r="AU421" s="14"/>
      <c r="AV421" s="14"/>
      <c r="AW421" s="14"/>
      <c r="AX421" s="14"/>
    </row>
    <row r="422" spans="1:50" ht="17.25" customHeight="1">
      <c r="A422" s="5" t="s">
        <v>794</v>
      </c>
      <c r="B422" s="5" t="s">
        <v>794</v>
      </c>
      <c r="C422" s="5" t="s">
        <v>796</v>
      </c>
      <c r="D422" s="7" t="s">
        <v>1164</v>
      </c>
      <c r="E422" s="5" t="s">
        <v>1012</v>
      </c>
      <c r="F422" s="5" t="s">
        <v>1013</v>
      </c>
      <c r="G422" s="5" t="s">
        <v>865</v>
      </c>
      <c r="H422" s="24" t="s">
        <v>1</v>
      </c>
      <c r="I422" s="5" t="s">
        <v>854</v>
      </c>
      <c r="J422" s="5" t="s">
        <v>1014</v>
      </c>
      <c r="K422" s="5" t="s">
        <v>867</v>
      </c>
      <c r="L422" s="5" t="s">
        <v>1015</v>
      </c>
      <c r="M422" s="5" t="s">
        <v>1158</v>
      </c>
      <c r="N422" s="24" t="s">
        <v>0</v>
      </c>
      <c r="O422" s="24" t="s">
        <v>1</v>
      </c>
      <c r="P422" s="5" t="s">
        <v>1012</v>
      </c>
      <c r="Q422" s="24" t="s">
        <v>848</v>
      </c>
      <c r="R422" s="5" t="s">
        <v>854</v>
      </c>
      <c r="S422" s="5" t="s">
        <v>1159</v>
      </c>
      <c r="T422" s="5" t="s">
        <v>1158</v>
      </c>
      <c r="U422" s="5" t="s">
        <v>856</v>
      </c>
      <c r="V422" s="5" t="s">
        <v>759</v>
      </c>
      <c r="W422" s="14" t="b">
        <v>1</v>
      </c>
      <c r="X422" s="81" t="s">
        <v>2298</v>
      </c>
      <c r="Y422" s="81" t="s">
        <v>2297</v>
      </c>
      <c r="Z422" s="82">
        <v>2014</v>
      </c>
      <c r="AA422" s="81"/>
      <c r="AB422" s="81" t="s">
        <v>413</v>
      </c>
      <c r="AE422" s="10">
        <v>1</v>
      </c>
      <c r="AF422" s="83" t="s">
        <v>802</v>
      </c>
      <c r="AG422" s="14"/>
      <c r="AH422" s="14"/>
      <c r="AI422" s="14"/>
      <c r="AJ422" s="14"/>
      <c r="AK422" s="14"/>
      <c r="AL422" s="14"/>
      <c r="AM422" s="14"/>
      <c r="AN422" s="14"/>
      <c r="AO422" s="14"/>
      <c r="AP422" s="14"/>
      <c r="AQ422" s="14"/>
      <c r="AR422" s="14"/>
      <c r="AS422" s="14"/>
      <c r="AT422" s="14"/>
      <c r="AU422" s="14"/>
      <c r="AV422" s="14"/>
      <c r="AW422" s="14"/>
      <c r="AX422" s="14"/>
    </row>
    <row r="423" spans="1:50" ht="17.25" customHeight="1">
      <c r="A423" s="5" t="s">
        <v>794</v>
      </c>
      <c r="B423" s="5" t="s">
        <v>794</v>
      </c>
      <c r="C423" s="5" t="s">
        <v>796</v>
      </c>
      <c r="D423" s="7" t="s">
        <v>1165</v>
      </c>
      <c r="E423" s="5" t="s">
        <v>1012</v>
      </c>
      <c r="F423" s="5" t="s">
        <v>1013</v>
      </c>
      <c r="G423" s="5" t="s">
        <v>865</v>
      </c>
      <c r="H423" s="24" t="s">
        <v>1</v>
      </c>
      <c r="I423" s="5" t="s">
        <v>854</v>
      </c>
      <c r="J423" s="5" t="s">
        <v>1014</v>
      </c>
      <c r="K423" s="5" t="s">
        <v>867</v>
      </c>
      <c r="L423" s="5" t="s">
        <v>1015</v>
      </c>
      <c r="M423" s="5" t="s">
        <v>1158</v>
      </c>
      <c r="N423" s="24" t="s">
        <v>0</v>
      </c>
      <c r="O423" s="24" t="s">
        <v>1</v>
      </c>
      <c r="P423" s="5" t="s">
        <v>1012</v>
      </c>
      <c r="Q423" s="24" t="s">
        <v>848</v>
      </c>
      <c r="R423" s="5" t="s">
        <v>854</v>
      </c>
      <c r="S423" s="5" t="s">
        <v>1159</v>
      </c>
      <c r="T423" s="5" t="s">
        <v>1158</v>
      </c>
      <c r="U423" s="5" t="s">
        <v>856</v>
      </c>
      <c r="V423" s="5" t="s">
        <v>759</v>
      </c>
      <c r="W423" s="14" t="b">
        <v>1</v>
      </c>
      <c r="X423" s="81" t="s">
        <v>2298</v>
      </c>
      <c r="Y423" s="81" t="s">
        <v>2297</v>
      </c>
      <c r="Z423" s="82">
        <v>2014</v>
      </c>
      <c r="AA423" s="81"/>
      <c r="AB423" s="81" t="s">
        <v>413</v>
      </c>
      <c r="AE423" s="10">
        <v>1</v>
      </c>
      <c r="AF423" s="83" t="s">
        <v>803</v>
      </c>
      <c r="AG423" s="14"/>
      <c r="AH423" s="14"/>
      <c r="AI423" s="14"/>
      <c r="AJ423" s="14"/>
      <c r="AK423" s="14"/>
      <c r="AL423" s="14"/>
      <c r="AM423" s="14"/>
      <c r="AN423" s="14"/>
      <c r="AO423" s="14"/>
      <c r="AP423" s="14"/>
      <c r="AQ423" s="14"/>
      <c r="AR423" s="14"/>
      <c r="AS423" s="14"/>
      <c r="AT423" s="14"/>
      <c r="AU423" s="14"/>
      <c r="AV423" s="14"/>
      <c r="AW423" s="14"/>
      <c r="AX423" s="14"/>
    </row>
    <row r="424" spans="1:50" ht="17.25" customHeight="1">
      <c r="A424" s="5" t="s">
        <v>794</v>
      </c>
      <c r="B424" s="5" t="s">
        <v>794</v>
      </c>
      <c r="C424" s="5" t="s">
        <v>796</v>
      </c>
      <c r="D424" s="7" t="s">
        <v>1166</v>
      </c>
      <c r="E424" s="5" t="s">
        <v>1012</v>
      </c>
      <c r="F424" s="5" t="s">
        <v>1013</v>
      </c>
      <c r="G424" s="5" t="s">
        <v>865</v>
      </c>
      <c r="H424" s="24" t="s">
        <v>1</v>
      </c>
      <c r="I424" s="5" t="s">
        <v>854</v>
      </c>
      <c r="J424" s="5" t="s">
        <v>1014</v>
      </c>
      <c r="K424" s="5" t="s">
        <v>867</v>
      </c>
      <c r="L424" s="5" t="s">
        <v>1015</v>
      </c>
      <c r="M424" s="5" t="s">
        <v>1158</v>
      </c>
      <c r="N424" s="24" t="s">
        <v>0</v>
      </c>
      <c r="O424" s="24" t="s">
        <v>1</v>
      </c>
      <c r="P424" s="5" t="s">
        <v>1012</v>
      </c>
      <c r="Q424" s="24" t="s">
        <v>848</v>
      </c>
      <c r="R424" s="5" t="s">
        <v>854</v>
      </c>
      <c r="S424" s="5" t="s">
        <v>1159</v>
      </c>
      <c r="T424" s="5" t="s">
        <v>1158</v>
      </c>
      <c r="U424" s="5" t="s">
        <v>856</v>
      </c>
      <c r="V424" s="5" t="s">
        <v>759</v>
      </c>
      <c r="W424" s="14" t="b">
        <v>1</v>
      </c>
      <c r="X424" s="81" t="s">
        <v>2298</v>
      </c>
      <c r="Y424" s="81" t="s">
        <v>2297</v>
      </c>
      <c r="Z424" s="82">
        <v>2014</v>
      </c>
      <c r="AA424" s="81"/>
      <c r="AB424" s="81" t="s">
        <v>413</v>
      </c>
      <c r="AE424" s="10">
        <v>1</v>
      </c>
      <c r="AF424" s="83" t="s">
        <v>804</v>
      </c>
      <c r="AG424" s="14"/>
      <c r="AH424" s="14"/>
      <c r="AI424" s="14"/>
      <c r="AJ424" s="14"/>
      <c r="AK424" s="14"/>
      <c r="AL424" s="14"/>
      <c r="AM424" s="14"/>
      <c r="AN424" s="14"/>
      <c r="AO424" s="14"/>
      <c r="AP424" s="14"/>
      <c r="AQ424" s="14"/>
      <c r="AR424" s="14"/>
      <c r="AS424" s="14"/>
      <c r="AT424" s="14"/>
      <c r="AU424" s="14"/>
      <c r="AV424" s="14"/>
      <c r="AW424" s="14"/>
      <c r="AX424" s="14"/>
    </row>
    <row r="425" spans="1:50" ht="17.25" customHeight="1">
      <c r="A425" s="5" t="s">
        <v>794</v>
      </c>
      <c r="B425" s="5" t="s">
        <v>794</v>
      </c>
      <c r="C425" s="5" t="s">
        <v>796</v>
      </c>
      <c r="D425" s="7" t="s">
        <v>1167</v>
      </c>
      <c r="E425" s="5" t="s">
        <v>1012</v>
      </c>
      <c r="F425" s="5" t="s">
        <v>1013</v>
      </c>
      <c r="G425" s="5" t="s">
        <v>865</v>
      </c>
      <c r="H425" s="24" t="s">
        <v>1</v>
      </c>
      <c r="I425" s="5" t="s">
        <v>854</v>
      </c>
      <c r="J425" s="5" t="s">
        <v>1014</v>
      </c>
      <c r="K425" s="5" t="s">
        <v>867</v>
      </c>
      <c r="L425" s="5" t="s">
        <v>1015</v>
      </c>
      <c r="M425" s="5" t="s">
        <v>1158</v>
      </c>
      <c r="N425" s="24" t="s">
        <v>0</v>
      </c>
      <c r="O425" s="24" t="s">
        <v>1</v>
      </c>
      <c r="P425" s="5" t="s">
        <v>1012</v>
      </c>
      <c r="Q425" s="24" t="s">
        <v>848</v>
      </c>
      <c r="R425" s="5" t="s">
        <v>854</v>
      </c>
      <c r="S425" s="5" t="s">
        <v>1159</v>
      </c>
      <c r="T425" s="5" t="s">
        <v>1158</v>
      </c>
      <c r="U425" s="5" t="s">
        <v>856</v>
      </c>
      <c r="V425" s="5" t="s">
        <v>759</v>
      </c>
      <c r="W425" s="14" t="b">
        <v>1</v>
      </c>
      <c r="X425" s="81" t="s">
        <v>2298</v>
      </c>
      <c r="Y425" s="81" t="s">
        <v>2297</v>
      </c>
      <c r="Z425" s="82">
        <v>2014</v>
      </c>
      <c r="AA425" s="81"/>
      <c r="AB425" s="81" t="s">
        <v>413</v>
      </c>
      <c r="AE425" s="10">
        <v>1</v>
      </c>
      <c r="AF425" s="83" t="s">
        <v>805</v>
      </c>
      <c r="AG425" s="14"/>
      <c r="AH425" s="14"/>
      <c r="AI425" s="14"/>
      <c r="AJ425" s="14"/>
      <c r="AK425" s="14"/>
      <c r="AL425" s="14"/>
      <c r="AM425" s="14"/>
      <c r="AN425" s="14"/>
      <c r="AO425" s="14"/>
      <c r="AP425" s="14"/>
      <c r="AQ425" s="14"/>
      <c r="AR425" s="14"/>
      <c r="AS425" s="14"/>
      <c r="AT425" s="14"/>
      <c r="AU425" s="14"/>
      <c r="AV425" s="14"/>
      <c r="AW425" s="14"/>
      <c r="AX425" s="14"/>
    </row>
    <row r="426" spans="1:50" ht="17.25" customHeight="1">
      <c r="A426" s="5" t="s">
        <v>794</v>
      </c>
      <c r="B426" s="5" t="s">
        <v>794</v>
      </c>
      <c r="C426" s="5" t="s">
        <v>796</v>
      </c>
      <c r="D426" s="7" t="s">
        <v>1168</v>
      </c>
      <c r="E426" s="5" t="s">
        <v>1012</v>
      </c>
      <c r="F426" s="5" t="s">
        <v>1013</v>
      </c>
      <c r="G426" s="5" t="s">
        <v>865</v>
      </c>
      <c r="H426" s="24" t="s">
        <v>1</v>
      </c>
      <c r="I426" s="5" t="s">
        <v>854</v>
      </c>
      <c r="J426" s="5" t="s">
        <v>1014</v>
      </c>
      <c r="K426" s="5" t="s">
        <v>867</v>
      </c>
      <c r="L426" s="5" t="s">
        <v>1015</v>
      </c>
      <c r="M426" s="5" t="s">
        <v>1158</v>
      </c>
      <c r="N426" s="24" t="s">
        <v>0</v>
      </c>
      <c r="O426" s="24" t="s">
        <v>1</v>
      </c>
      <c r="P426" s="5" t="s">
        <v>1012</v>
      </c>
      <c r="Q426" s="24" t="s">
        <v>848</v>
      </c>
      <c r="R426" s="5" t="s">
        <v>854</v>
      </c>
      <c r="S426" s="5" t="s">
        <v>1159</v>
      </c>
      <c r="T426" s="5" t="s">
        <v>1158</v>
      </c>
      <c r="U426" s="5" t="s">
        <v>856</v>
      </c>
      <c r="V426" s="5" t="s">
        <v>759</v>
      </c>
      <c r="W426" s="14" t="b">
        <v>1</v>
      </c>
      <c r="X426" s="81" t="s">
        <v>2298</v>
      </c>
      <c r="Y426" s="81" t="s">
        <v>2297</v>
      </c>
      <c r="Z426" s="82">
        <v>2014</v>
      </c>
      <c r="AA426" s="81"/>
      <c r="AB426" s="81" t="s">
        <v>413</v>
      </c>
      <c r="AE426" s="10">
        <v>1</v>
      </c>
      <c r="AF426" s="83" t="s">
        <v>806</v>
      </c>
      <c r="AG426" s="14"/>
      <c r="AH426" s="14"/>
      <c r="AI426" s="14"/>
      <c r="AJ426" s="14"/>
      <c r="AK426" s="14"/>
      <c r="AL426" s="14"/>
      <c r="AM426" s="14"/>
      <c r="AN426" s="14"/>
      <c r="AO426" s="14"/>
      <c r="AP426" s="14"/>
      <c r="AQ426" s="14"/>
      <c r="AR426" s="14"/>
      <c r="AS426" s="14"/>
      <c r="AT426" s="14"/>
      <c r="AU426" s="14"/>
      <c r="AV426" s="14"/>
      <c r="AW426" s="14"/>
      <c r="AX426" s="14"/>
    </row>
    <row r="427" spans="1:50" ht="17.25" customHeight="1">
      <c r="A427" s="5" t="s">
        <v>807</v>
      </c>
      <c r="B427" s="5" t="s">
        <v>807</v>
      </c>
      <c r="C427" s="5" t="s">
        <v>796</v>
      </c>
      <c r="D427" s="7" t="s">
        <v>1169</v>
      </c>
      <c r="E427" s="5" t="s">
        <v>1012</v>
      </c>
      <c r="F427" s="5" t="s">
        <v>1013</v>
      </c>
      <c r="G427" s="5" t="s">
        <v>865</v>
      </c>
      <c r="H427" s="24" t="s">
        <v>1</v>
      </c>
      <c r="I427" s="5" t="s">
        <v>854</v>
      </c>
      <c r="J427" s="5" t="s">
        <v>1014</v>
      </c>
      <c r="K427" s="5" t="s">
        <v>867</v>
      </c>
      <c r="L427" s="5" t="s">
        <v>1015</v>
      </c>
      <c r="M427" s="5" t="s">
        <v>1158</v>
      </c>
      <c r="N427" s="24" t="s">
        <v>0</v>
      </c>
      <c r="O427" s="24" t="s">
        <v>1</v>
      </c>
      <c r="P427" s="5" t="s">
        <v>1012</v>
      </c>
      <c r="Q427" s="24" t="s">
        <v>848</v>
      </c>
      <c r="R427" s="5" t="s">
        <v>854</v>
      </c>
      <c r="S427" s="5" t="s">
        <v>1159</v>
      </c>
      <c r="T427" s="5" t="s">
        <v>1158</v>
      </c>
      <c r="U427" s="5" t="s">
        <v>856</v>
      </c>
      <c r="V427" s="5" t="s">
        <v>759</v>
      </c>
      <c r="W427" s="14" t="b">
        <v>1</v>
      </c>
      <c r="X427" s="81" t="s">
        <v>2298</v>
      </c>
      <c r="Y427" s="81" t="s">
        <v>2297</v>
      </c>
      <c r="Z427" s="82">
        <v>2014</v>
      </c>
      <c r="AA427" s="81"/>
      <c r="AB427" s="81" t="s">
        <v>413</v>
      </c>
      <c r="AE427" s="10">
        <v>1</v>
      </c>
      <c r="AF427" s="83" t="s">
        <v>799</v>
      </c>
      <c r="AG427" s="14"/>
      <c r="AH427" s="14"/>
      <c r="AI427" s="14"/>
      <c r="AJ427" s="14"/>
      <c r="AK427" s="14"/>
      <c r="AL427" s="14"/>
      <c r="AM427" s="14"/>
      <c r="AN427" s="14"/>
      <c r="AO427" s="14"/>
      <c r="AP427" s="14"/>
      <c r="AQ427" s="14"/>
      <c r="AR427" s="14"/>
      <c r="AS427" s="14"/>
      <c r="AT427" s="14"/>
      <c r="AU427" s="14"/>
      <c r="AV427" s="14"/>
      <c r="AW427" s="14"/>
      <c r="AX427" s="14"/>
    </row>
    <row r="428" spans="1:50" ht="17.25" customHeight="1">
      <c r="A428" s="5" t="s">
        <v>807</v>
      </c>
      <c r="B428" s="5" t="s">
        <v>807</v>
      </c>
      <c r="C428" s="5" t="s">
        <v>796</v>
      </c>
      <c r="D428" s="7" t="s">
        <v>1170</v>
      </c>
      <c r="E428" s="5" t="s">
        <v>1012</v>
      </c>
      <c r="F428" s="5" t="s">
        <v>1013</v>
      </c>
      <c r="G428" s="5" t="s">
        <v>865</v>
      </c>
      <c r="H428" s="24" t="s">
        <v>1</v>
      </c>
      <c r="I428" s="5" t="s">
        <v>854</v>
      </c>
      <c r="J428" s="5" t="s">
        <v>1014</v>
      </c>
      <c r="K428" s="5" t="s">
        <v>867</v>
      </c>
      <c r="L428" s="5" t="s">
        <v>1015</v>
      </c>
      <c r="M428" s="5" t="s">
        <v>1158</v>
      </c>
      <c r="N428" s="24" t="s">
        <v>0</v>
      </c>
      <c r="O428" s="24" t="s">
        <v>1</v>
      </c>
      <c r="P428" s="5" t="s">
        <v>1012</v>
      </c>
      <c r="Q428" s="24" t="s">
        <v>848</v>
      </c>
      <c r="R428" s="5" t="s">
        <v>854</v>
      </c>
      <c r="S428" s="5" t="s">
        <v>1159</v>
      </c>
      <c r="T428" s="5" t="s">
        <v>1158</v>
      </c>
      <c r="U428" s="5" t="s">
        <v>856</v>
      </c>
      <c r="V428" s="5" t="s">
        <v>759</v>
      </c>
      <c r="W428" s="14" t="b">
        <v>1</v>
      </c>
      <c r="X428" s="81" t="s">
        <v>2298</v>
      </c>
      <c r="Y428" s="81" t="s">
        <v>2297</v>
      </c>
      <c r="Z428" s="82">
        <v>2014</v>
      </c>
      <c r="AA428" s="81"/>
      <c r="AB428" s="81" t="s">
        <v>413</v>
      </c>
      <c r="AE428" s="10">
        <v>1</v>
      </c>
      <c r="AF428" s="83" t="s">
        <v>800</v>
      </c>
      <c r="AG428" s="14"/>
      <c r="AH428" s="14"/>
      <c r="AI428" s="14"/>
      <c r="AJ428" s="14"/>
      <c r="AK428" s="14"/>
      <c r="AL428" s="14"/>
      <c r="AM428" s="14"/>
      <c r="AN428" s="14"/>
      <c r="AO428" s="14"/>
      <c r="AP428" s="14"/>
      <c r="AQ428" s="14"/>
      <c r="AR428" s="14"/>
      <c r="AS428" s="14"/>
      <c r="AT428" s="14"/>
      <c r="AU428" s="14"/>
      <c r="AV428" s="14"/>
      <c r="AW428" s="14"/>
      <c r="AX428" s="14"/>
    </row>
    <row r="429" spans="1:50" ht="17.25" customHeight="1">
      <c r="A429" s="5" t="s">
        <v>807</v>
      </c>
      <c r="B429" s="5" t="s">
        <v>807</v>
      </c>
      <c r="C429" s="5" t="s">
        <v>796</v>
      </c>
      <c r="D429" s="7" t="s">
        <v>1171</v>
      </c>
      <c r="E429" s="5" t="s">
        <v>1012</v>
      </c>
      <c r="F429" s="5" t="s">
        <v>1013</v>
      </c>
      <c r="G429" s="5" t="s">
        <v>865</v>
      </c>
      <c r="H429" s="24" t="s">
        <v>1</v>
      </c>
      <c r="I429" s="5" t="s">
        <v>854</v>
      </c>
      <c r="J429" s="5" t="s">
        <v>1014</v>
      </c>
      <c r="K429" s="5" t="s">
        <v>867</v>
      </c>
      <c r="L429" s="5" t="s">
        <v>1015</v>
      </c>
      <c r="M429" s="5" t="s">
        <v>1158</v>
      </c>
      <c r="N429" s="24" t="s">
        <v>0</v>
      </c>
      <c r="O429" s="24" t="s">
        <v>1</v>
      </c>
      <c r="P429" s="5" t="s">
        <v>1012</v>
      </c>
      <c r="Q429" s="24" t="s">
        <v>848</v>
      </c>
      <c r="R429" s="5" t="s">
        <v>854</v>
      </c>
      <c r="S429" s="5" t="s">
        <v>1159</v>
      </c>
      <c r="T429" s="5" t="s">
        <v>1158</v>
      </c>
      <c r="U429" s="5" t="s">
        <v>856</v>
      </c>
      <c r="V429" s="5" t="s">
        <v>759</v>
      </c>
      <c r="W429" s="14" t="b">
        <v>1</v>
      </c>
      <c r="X429" s="81" t="s">
        <v>2298</v>
      </c>
      <c r="Y429" s="81" t="s">
        <v>2297</v>
      </c>
      <c r="Z429" s="82">
        <v>2014</v>
      </c>
      <c r="AA429" s="81"/>
      <c r="AB429" s="81" t="s">
        <v>413</v>
      </c>
      <c r="AE429" s="10">
        <v>1</v>
      </c>
      <c r="AF429" s="83" t="s">
        <v>801</v>
      </c>
      <c r="AG429" s="14"/>
      <c r="AH429" s="14"/>
      <c r="AI429" s="14"/>
      <c r="AJ429" s="14"/>
      <c r="AK429" s="14"/>
      <c r="AL429" s="14"/>
      <c r="AM429" s="14"/>
      <c r="AN429" s="14"/>
      <c r="AO429" s="14"/>
      <c r="AP429" s="14"/>
      <c r="AQ429" s="14"/>
      <c r="AR429" s="14"/>
      <c r="AS429" s="14"/>
      <c r="AT429" s="14"/>
      <c r="AU429" s="14"/>
      <c r="AV429" s="14"/>
      <c r="AW429" s="14"/>
      <c r="AX429" s="14"/>
    </row>
    <row r="430" spans="1:50" ht="17.25" customHeight="1">
      <c r="A430" s="5" t="s">
        <v>807</v>
      </c>
      <c r="B430" s="5" t="s">
        <v>807</v>
      </c>
      <c r="C430" s="5" t="s">
        <v>796</v>
      </c>
      <c r="D430" s="7" t="s">
        <v>1172</v>
      </c>
      <c r="E430" s="5" t="s">
        <v>1012</v>
      </c>
      <c r="F430" s="5" t="s">
        <v>1013</v>
      </c>
      <c r="G430" s="5" t="s">
        <v>865</v>
      </c>
      <c r="H430" s="24" t="s">
        <v>1</v>
      </c>
      <c r="I430" s="5" t="s">
        <v>854</v>
      </c>
      <c r="J430" s="5" t="s">
        <v>1014</v>
      </c>
      <c r="K430" s="5" t="s">
        <v>867</v>
      </c>
      <c r="L430" s="5" t="s">
        <v>1015</v>
      </c>
      <c r="M430" s="5" t="s">
        <v>1158</v>
      </c>
      <c r="N430" s="24" t="s">
        <v>0</v>
      </c>
      <c r="O430" s="24" t="s">
        <v>1</v>
      </c>
      <c r="P430" s="5" t="s">
        <v>1012</v>
      </c>
      <c r="Q430" s="24" t="s">
        <v>848</v>
      </c>
      <c r="R430" s="5" t="s">
        <v>854</v>
      </c>
      <c r="S430" s="5" t="s">
        <v>1159</v>
      </c>
      <c r="T430" s="5" t="s">
        <v>1158</v>
      </c>
      <c r="U430" s="5" t="s">
        <v>856</v>
      </c>
      <c r="V430" s="5" t="s">
        <v>759</v>
      </c>
      <c r="W430" s="14" t="b">
        <v>1</v>
      </c>
      <c r="X430" s="81" t="s">
        <v>2298</v>
      </c>
      <c r="Y430" s="81" t="s">
        <v>2297</v>
      </c>
      <c r="Z430" s="82">
        <v>2014</v>
      </c>
      <c r="AA430" s="81"/>
      <c r="AB430" s="81" t="s">
        <v>413</v>
      </c>
      <c r="AE430" s="10">
        <v>1</v>
      </c>
      <c r="AF430" s="83" t="s">
        <v>802</v>
      </c>
      <c r="AG430" s="14"/>
      <c r="AH430" s="14"/>
      <c r="AI430" s="14"/>
      <c r="AJ430" s="14"/>
      <c r="AK430" s="14"/>
      <c r="AL430" s="14"/>
      <c r="AM430" s="14"/>
      <c r="AN430" s="14"/>
      <c r="AO430" s="14"/>
      <c r="AP430" s="14"/>
      <c r="AQ430" s="14"/>
      <c r="AR430" s="14"/>
      <c r="AS430" s="14"/>
      <c r="AT430" s="14"/>
      <c r="AU430" s="14"/>
      <c r="AV430" s="14"/>
      <c r="AW430" s="14"/>
      <c r="AX430" s="14"/>
    </row>
    <row r="431" spans="1:50" ht="17.25" customHeight="1">
      <c r="A431" s="5" t="s">
        <v>807</v>
      </c>
      <c r="B431" s="5" t="s">
        <v>807</v>
      </c>
      <c r="C431" s="5" t="s">
        <v>796</v>
      </c>
      <c r="D431" s="7" t="s">
        <v>1173</v>
      </c>
      <c r="E431" s="5" t="s">
        <v>1012</v>
      </c>
      <c r="F431" s="5" t="s">
        <v>1013</v>
      </c>
      <c r="G431" s="5" t="s">
        <v>865</v>
      </c>
      <c r="H431" s="24" t="s">
        <v>1</v>
      </c>
      <c r="I431" s="5" t="s">
        <v>854</v>
      </c>
      <c r="J431" s="5" t="s">
        <v>1014</v>
      </c>
      <c r="K431" s="5" t="s">
        <v>867</v>
      </c>
      <c r="L431" s="5" t="s">
        <v>1015</v>
      </c>
      <c r="M431" s="5" t="s">
        <v>1158</v>
      </c>
      <c r="N431" s="24" t="s">
        <v>0</v>
      </c>
      <c r="O431" s="24" t="s">
        <v>1</v>
      </c>
      <c r="P431" s="5" t="s">
        <v>1012</v>
      </c>
      <c r="Q431" s="24" t="s">
        <v>848</v>
      </c>
      <c r="R431" s="5" t="s">
        <v>854</v>
      </c>
      <c r="S431" s="5" t="s">
        <v>1159</v>
      </c>
      <c r="T431" s="5" t="s">
        <v>1158</v>
      </c>
      <c r="U431" s="5" t="s">
        <v>856</v>
      </c>
      <c r="V431" s="5" t="s">
        <v>759</v>
      </c>
      <c r="W431" s="14" t="b">
        <v>1</v>
      </c>
      <c r="X431" s="81" t="s">
        <v>2298</v>
      </c>
      <c r="Y431" s="81" t="s">
        <v>2297</v>
      </c>
      <c r="Z431" s="82">
        <v>2014</v>
      </c>
      <c r="AA431" s="81"/>
      <c r="AB431" s="81" t="s">
        <v>413</v>
      </c>
      <c r="AE431" s="10">
        <v>1</v>
      </c>
      <c r="AF431" s="83" t="s">
        <v>803</v>
      </c>
      <c r="AG431" s="14"/>
      <c r="AH431" s="14"/>
      <c r="AI431" s="14"/>
      <c r="AJ431" s="14"/>
      <c r="AK431" s="14"/>
      <c r="AL431" s="14"/>
      <c r="AM431" s="14"/>
      <c r="AN431" s="14"/>
      <c r="AO431" s="14"/>
      <c r="AP431" s="14"/>
      <c r="AQ431" s="14"/>
      <c r="AR431" s="14"/>
      <c r="AS431" s="14"/>
      <c r="AT431" s="14"/>
      <c r="AU431" s="14"/>
      <c r="AV431" s="14"/>
      <c r="AW431" s="14"/>
      <c r="AX431" s="14"/>
    </row>
    <row r="432" spans="1:50" ht="17.25" customHeight="1">
      <c r="A432" s="5" t="s">
        <v>807</v>
      </c>
      <c r="B432" s="5" t="s">
        <v>807</v>
      </c>
      <c r="C432" s="5" t="s">
        <v>796</v>
      </c>
      <c r="D432" s="7" t="s">
        <v>1174</v>
      </c>
      <c r="E432" s="5" t="s">
        <v>1012</v>
      </c>
      <c r="F432" s="5" t="s">
        <v>1013</v>
      </c>
      <c r="G432" s="5" t="s">
        <v>865</v>
      </c>
      <c r="H432" s="24" t="s">
        <v>1</v>
      </c>
      <c r="I432" s="5" t="s">
        <v>854</v>
      </c>
      <c r="J432" s="5" t="s">
        <v>1014</v>
      </c>
      <c r="K432" s="5" t="s">
        <v>867</v>
      </c>
      <c r="L432" s="5" t="s">
        <v>1015</v>
      </c>
      <c r="M432" s="5" t="s">
        <v>1158</v>
      </c>
      <c r="N432" s="24" t="s">
        <v>0</v>
      </c>
      <c r="O432" s="24" t="s">
        <v>1</v>
      </c>
      <c r="P432" s="5" t="s">
        <v>1012</v>
      </c>
      <c r="Q432" s="24" t="s">
        <v>848</v>
      </c>
      <c r="R432" s="5" t="s">
        <v>854</v>
      </c>
      <c r="S432" s="5" t="s">
        <v>1159</v>
      </c>
      <c r="T432" s="5" t="s">
        <v>1158</v>
      </c>
      <c r="U432" s="5" t="s">
        <v>856</v>
      </c>
      <c r="V432" s="5" t="s">
        <v>759</v>
      </c>
      <c r="W432" s="14" t="b">
        <v>1</v>
      </c>
      <c r="X432" s="81" t="s">
        <v>2298</v>
      </c>
      <c r="Y432" s="81" t="s">
        <v>2297</v>
      </c>
      <c r="Z432" s="82">
        <v>2014</v>
      </c>
      <c r="AA432" s="81"/>
      <c r="AB432" s="81" t="s">
        <v>413</v>
      </c>
      <c r="AE432" s="10">
        <v>1</v>
      </c>
      <c r="AF432" s="83" t="s">
        <v>804</v>
      </c>
      <c r="AG432" s="14"/>
      <c r="AH432" s="14"/>
      <c r="AI432" s="14"/>
      <c r="AJ432" s="14"/>
      <c r="AK432" s="14"/>
      <c r="AL432" s="14"/>
      <c r="AM432" s="14"/>
      <c r="AN432" s="14"/>
      <c r="AO432" s="14"/>
      <c r="AP432" s="14"/>
      <c r="AQ432" s="14"/>
      <c r="AR432" s="14"/>
      <c r="AS432" s="14"/>
      <c r="AT432" s="14"/>
      <c r="AU432" s="14"/>
      <c r="AV432" s="14"/>
      <c r="AW432" s="14"/>
      <c r="AX432" s="14"/>
    </row>
    <row r="433" spans="1:50" ht="17.25" customHeight="1">
      <c r="A433" s="5" t="s">
        <v>807</v>
      </c>
      <c r="B433" s="5" t="s">
        <v>807</v>
      </c>
      <c r="C433" s="5" t="s">
        <v>796</v>
      </c>
      <c r="D433" s="7" t="s">
        <v>1175</v>
      </c>
      <c r="E433" s="5" t="s">
        <v>1012</v>
      </c>
      <c r="F433" s="5" t="s">
        <v>1013</v>
      </c>
      <c r="G433" s="5" t="s">
        <v>865</v>
      </c>
      <c r="H433" s="24" t="s">
        <v>1</v>
      </c>
      <c r="I433" s="5" t="s">
        <v>854</v>
      </c>
      <c r="J433" s="5" t="s">
        <v>1014</v>
      </c>
      <c r="K433" s="5" t="s">
        <v>867</v>
      </c>
      <c r="L433" s="5" t="s">
        <v>1015</v>
      </c>
      <c r="M433" s="5" t="s">
        <v>1158</v>
      </c>
      <c r="N433" s="24" t="s">
        <v>0</v>
      </c>
      <c r="O433" s="24" t="s">
        <v>1</v>
      </c>
      <c r="P433" s="5" t="s">
        <v>1012</v>
      </c>
      <c r="Q433" s="24" t="s">
        <v>848</v>
      </c>
      <c r="R433" s="5" t="s">
        <v>854</v>
      </c>
      <c r="S433" s="5" t="s">
        <v>1159</v>
      </c>
      <c r="T433" s="5" t="s">
        <v>1158</v>
      </c>
      <c r="U433" s="5" t="s">
        <v>856</v>
      </c>
      <c r="V433" s="5" t="s">
        <v>759</v>
      </c>
      <c r="W433" s="14" t="b">
        <v>1</v>
      </c>
      <c r="X433" s="81" t="s">
        <v>2298</v>
      </c>
      <c r="Y433" s="81" t="s">
        <v>2297</v>
      </c>
      <c r="Z433" s="82">
        <v>2014</v>
      </c>
      <c r="AA433" s="81"/>
      <c r="AB433" s="81" t="s">
        <v>413</v>
      </c>
      <c r="AE433" s="10">
        <v>1</v>
      </c>
      <c r="AF433" s="83" t="s">
        <v>808</v>
      </c>
      <c r="AG433" s="14"/>
      <c r="AH433" s="14"/>
      <c r="AI433" s="14"/>
      <c r="AJ433" s="14"/>
      <c r="AK433" s="14"/>
      <c r="AL433" s="14"/>
      <c r="AM433" s="14"/>
      <c r="AN433" s="14"/>
      <c r="AO433" s="14"/>
      <c r="AP433" s="14"/>
      <c r="AQ433" s="14"/>
      <c r="AR433" s="14"/>
      <c r="AS433" s="14"/>
      <c r="AT433" s="14"/>
      <c r="AU433" s="14"/>
      <c r="AV433" s="14"/>
      <c r="AW433" s="14"/>
      <c r="AX433" s="14"/>
    </row>
    <row r="434" spans="1:50" ht="17.25" customHeight="1">
      <c r="A434" s="5" t="s">
        <v>807</v>
      </c>
      <c r="B434" s="5" t="s">
        <v>807</v>
      </c>
      <c r="C434" s="5" t="s">
        <v>796</v>
      </c>
      <c r="D434" s="7" t="s">
        <v>1176</v>
      </c>
      <c r="E434" s="5" t="s">
        <v>1012</v>
      </c>
      <c r="F434" s="5" t="s">
        <v>1013</v>
      </c>
      <c r="G434" s="5" t="s">
        <v>865</v>
      </c>
      <c r="H434" s="24" t="s">
        <v>1</v>
      </c>
      <c r="I434" s="5" t="s">
        <v>854</v>
      </c>
      <c r="J434" s="5" t="s">
        <v>1014</v>
      </c>
      <c r="K434" s="5" t="s">
        <v>867</v>
      </c>
      <c r="L434" s="5" t="s">
        <v>1015</v>
      </c>
      <c r="M434" s="5" t="s">
        <v>1158</v>
      </c>
      <c r="N434" s="24" t="s">
        <v>0</v>
      </c>
      <c r="O434" s="24" t="s">
        <v>1</v>
      </c>
      <c r="P434" s="5" t="s">
        <v>1012</v>
      </c>
      <c r="Q434" s="24" t="s">
        <v>848</v>
      </c>
      <c r="R434" s="5" t="s">
        <v>854</v>
      </c>
      <c r="S434" s="5" t="s">
        <v>1159</v>
      </c>
      <c r="T434" s="5" t="s">
        <v>1158</v>
      </c>
      <c r="U434" s="5" t="s">
        <v>856</v>
      </c>
      <c r="V434" s="5" t="s">
        <v>759</v>
      </c>
      <c r="W434" s="14" t="b">
        <v>1</v>
      </c>
      <c r="X434" s="81" t="s">
        <v>2298</v>
      </c>
      <c r="Y434" s="81" t="s">
        <v>2297</v>
      </c>
      <c r="Z434" s="82">
        <v>2014</v>
      </c>
      <c r="AA434" s="81"/>
      <c r="AB434" s="81" t="s">
        <v>413</v>
      </c>
      <c r="AE434" s="10">
        <v>1</v>
      </c>
      <c r="AF434" s="83" t="s">
        <v>809</v>
      </c>
      <c r="AG434" s="14"/>
      <c r="AH434" s="14"/>
      <c r="AI434" s="14"/>
      <c r="AJ434" s="14"/>
      <c r="AK434" s="14"/>
      <c r="AL434" s="14"/>
      <c r="AM434" s="14"/>
      <c r="AN434" s="14"/>
      <c r="AO434" s="14"/>
      <c r="AP434" s="14"/>
      <c r="AQ434" s="14"/>
      <c r="AR434" s="14"/>
      <c r="AS434" s="14"/>
      <c r="AT434" s="14"/>
      <c r="AU434" s="14"/>
      <c r="AV434" s="14"/>
      <c r="AW434" s="14"/>
      <c r="AX434" s="14"/>
    </row>
    <row r="435" spans="1:50" ht="17.25" customHeight="1">
      <c r="A435" s="5" t="s">
        <v>807</v>
      </c>
      <c r="B435" s="5" t="s">
        <v>807</v>
      </c>
      <c r="C435" s="5" t="s">
        <v>796</v>
      </c>
      <c r="D435" s="7" t="s">
        <v>1177</v>
      </c>
      <c r="E435" s="5" t="s">
        <v>1012</v>
      </c>
      <c r="F435" s="5" t="s">
        <v>1013</v>
      </c>
      <c r="G435" s="5" t="s">
        <v>865</v>
      </c>
      <c r="H435" s="24" t="s">
        <v>1</v>
      </c>
      <c r="I435" s="5" t="s">
        <v>854</v>
      </c>
      <c r="J435" s="5" t="s">
        <v>1014</v>
      </c>
      <c r="K435" s="5" t="s">
        <v>867</v>
      </c>
      <c r="L435" s="5" t="s">
        <v>1015</v>
      </c>
      <c r="M435" s="5" t="s">
        <v>1158</v>
      </c>
      <c r="N435" s="24" t="s">
        <v>0</v>
      </c>
      <c r="O435" s="24" t="s">
        <v>1</v>
      </c>
      <c r="P435" s="5" t="s">
        <v>1012</v>
      </c>
      <c r="Q435" s="24" t="s">
        <v>848</v>
      </c>
      <c r="R435" s="5" t="s">
        <v>854</v>
      </c>
      <c r="S435" s="5" t="s">
        <v>1159</v>
      </c>
      <c r="T435" s="5" t="s">
        <v>1158</v>
      </c>
      <c r="U435" s="5" t="s">
        <v>856</v>
      </c>
      <c r="V435" s="5" t="s">
        <v>759</v>
      </c>
      <c r="W435" s="14" t="b">
        <v>1</v>
      </c>
      <c r="X435" s="81" t="s">
        <v>2298</v>
      </c>
      <c r="Y435" s="81" t="s">
        <v>2297</v>
      </c>
      <c r="Z435" s="82">
        <v>2014</v>
      </c>
      <c r="AA435" s="81"/>
      <c r="AB435" s="81" t="s">
        <v>413</v>
      </c>
      <c r="AE435" s="10">
        <v>1</v>
      </c>
      <c r="AF435" s="83" t="s">
        <v>810</v>
      </c>
      <c r="AG435" s="14"/>
      <c r="AH435" s="14"/>
      <c r="AI435" s="14"/>
      <c r="AJ435" s="14"/>
      <c r="AK435" s="14"/>
      <c r="AL435" s="14"/>
      <c r="AM435" s="14"/>
      <c r="AN435" s="14"/>
      <c r="AO435" s="14"/>
      <c r="AP435" s="14"/>
      <c r="AQ435" s="14"/>
      <c r="AR435" s="14"/>
      <c r="AS435" s="14"/>
      <c r="AT435" s="14"/>
      <c r="AU435" s="14"/>
      <c r="AV435" s="14"/>
      <c r="AW435" s="14"/>
      <c r="AX435" s="14"/>
    </row>
    <row r="436" spans="1:50" ht="17.25" customHeight="1">
      <c r="A436" s="5" t="s">
        <v>807</v>
      </c>
      <c r="B436" s="5" t="s">
        <v>807</v>
      </c>
      <c r="C436" s="5" t="s">
        <v>796</v>
      </c>
      <c r="D436" s="7" t="s">
        <v>1178</v>
      </c>
      <c r="E436" s="5" t="s">
        <v>1012</v>
      </c>
      <c r="F436" s="5" t="s">
        <v>1013</v>
      </c>
      <c r="G436" s="5" t="s">
        <v>865</v>
      </c>
      <c r="H436" s="24" t="s">
        <v>1</v>
      </c>
      <c r="I436" s="5" t="s">
        <v>854</v>
      </c>
      <c r="J436" s="5" t="s">
        <v>1014</v>
      </c>
      <c r="K436" s="5" t="s">
        <v>867</v>
      </c>
      <c r="L436" s="5" t="s">
        <v>1015</v>
      </c>
      <c r="M436" s="5" t="s">
        <v>1158</v>
      </c>
      <c r="N436" s="24" t="s">
        <v>0</v>
      </c>
      <c r="O436" s="24" t="s">
        <v>1</v>
      </c>
      <c r="P436" s="5" t="s">
        <v>1012</v>
      </c>
      <c r="Q436" s="24" t="s">
        <v>848</v>
      </c>
      <c r="R436" s="5" t="s">
        <v>854</v>
      </c>
      <c r="S436" s="5" t="s">
        <v>1159</v>
      </c>
      <c r="T436" s="5" t="s">
        <v>1158</v>
      </c>
      <c r="U436" s="5" t="s">
        <v>856</v>
      </c>
      <c r="V436" s="5" t="s">
        <v>759</v>
      </c>
      <c r="W436" s="14" t="b">
        <v>1</v>
      </c>
      <c r="X436" s="81" t="s">
        <v>2298</v>
      </c>
      <c r="Y436" s="81" t="s">
        <v>2297</v>
      </c>
      <c r="Z436" s="82">
        <v>2014</v>
      </c>
      <c r="AA436" s="81"/>
      <c r="AB436" s="81" t="s">
        <v>413</v>
      </c>
      <c r="AE436" s="10">
        <v>1</v>
      </c>
      <c r="AF436" s="83" t="s">
        <v>811</v>
      </c>
      <c r="AG436" s="14"/>
      <c r="AH436" s="14"/>
      <c r="AI436" s="14"/>
      <c r="AJ436" s="14"/>
      <c r="AK436" s="14"/>
      <c r="AL436" s="14"/>
      <c r="AM436" s="14"/>
      <c r="AN436" s="14"/>
      <c r="AO436" s="14"/>
      <c r="AP436" s="14"/>
      <c r="AQ436" s="14"/>
      <c r="AR436" s="14"/>
      <c r="AS436" s="14"/>
      <c r="AT436" s="14"/>
      <c r="AU436" s="14"/>
      <c r="AV436" s="14"/>
      <c r="AW436" s="14"/>
      <c r="AX436" s="14"/>
    </row>
    <row r="437" spans="1:50" ht="17.25" customHeight="1">
      <c r="A437" s="5" t="s">
        <v>812</v>
      </c>
      <c r="B437" s="5" t="s">
        <v>812</v>
      </c>
      <c r="C437" s="5" t="s">
        <v>796</v>
      </c>
      <c r="D437" s="7" t="s">
        <v>1179</v>
      </c>
      <c r="E437" s="5" t="s">
        <v>1012</v>
      </c>
      <c r="F437" s="5" t="s">
        <v>1013</v>
      </c>
      <c r="G437" s="5" t="s">
        <v>865</v>
      </c>
      <c r="H437" s="24" t="s">
        <v>1</v>
      </c>
      <c r="I437" s="5" t="s">
        <v>854</v>
      </c>
      <c r="J437" s="5" t="s">
        <v>1014</v>
      </c>
      <c r="K437" s="5" t="s">
        <v>867</v>
      </c>
      <c r="L437" s="5" t="s">
        <v>1015</v>
      </c>
      <c r="M437" s="5" t="s">
        <v>1158</v>
      </c>
      <c r="N437" s="24" t="s">
        <v>0</v>
      </c>
      <c r="O437" s="24" t="s">
        <v>1</v>
      </c>
      <c r="P437" s="5" t="s">
        <v>1012</v>
      </c>
      <c r="Q437" s="24" t="s">
        <v>848</v>
      </c>
      <c r="R437" s="5" t="s">
        <v>854</v>
      </c>
      <c r="S437" s="5" t="s">
        <v>1159</v>
      </c>
      <c r="T437" s="5" t="s">
        <v>1158</v>
      </c>
      <c r="U437" s="5" t="s">
        <v>856</v>
      </c>
      <c r="V437" s="5" t="s">
        <v>759</v>
      </c>
      <c r="W437" s="14" t="b">
        <v>1</v>
      </c>
      <c r="X437" s="81" t="s">
        <v>2298</v>
      </c>
      <c r="Y437" s="81" t="s">
        <v>2297</v>
      </c>
      <c r="Z437" s="82">
        <v>2014</v>
      </c>
      <c r="AA437" s="81"/>
      <c r="AB437" s="81" t="s">
        <v>413</v>
      </c>
      <c r="AE437" s="10">
        <v>1</v>
      </c>
      <c r="AF437" s="83" t="s">
        <v>799</v>
      </c>
      <c r="AG437" s="14"/>
      <c r="AH437" s="14"/>
      <c r="AI437" s="14"/>
      <c r="AJ437" s="14"/>
      <c r="AK437" s="14"/>
      <c r="AL437" s="14"/>
      <c r="AM437" s="14"/>
      <c r="AN437" s="14"/>
      <c r="AO437" s="14"/>
      <c r="AP437" s="14"/>
      <c r="AQ437" s="14"/>
      <c r="AR437" s="14"/>
      <c r="AS437" s="14"/>
      <c r="AT437" s="14"/>
      <c r="AU437" s="14"/>
      <c r="AV437" s="14"/>
      <c r="AW437" s="14"/>
      <c r="AX437" s="14"/>
    </row>
    <row r="438" spans="1:50" ht="17.25" customHeight="1">
      <c r="A438" s="5" t="s">
        <v>812</v>
      </c>
      <c r="B438" s="5" t="s">
        <v>812</v>
      </c>
      <c r="C438" s="5" t="s">
        <v>796</v>
      </c>
      <c r="D438" s="7" t="s">
        <v>1180</v>
      </c>
      <c r="E438" s="5" t="s">
        <v>1012</v>
      </c>
      <c r="F438" s="5" t="s">
        <v>1013</v>
      </c>
      <c r="G438" s="5" t="s">
        <v>865</v>
      </c>
      <c r="H438" s="24" t="s">
        <v>1</v>
      </c>
      <c r="I438" s="5" t="s">
        <v>854</v>
      </c>
      <c r="J438" s="5" t="s">
        <v>1014</v>
      </c>
      <c r="K438" s="5" t="s">
        <v>867</v>
      </c>
      <c r="L438" s="5" t="s">
        <v>1015</v>
      </c>
      <c r="M438" s="5" t="s">
        <v>1158</v>
      </c>
      <c r="N438" s="24" t="s">
        <v>0</v>
      </c>
      <c r="O438" s="24" t="s">
        <v>1</v>
      </c>
      <c r="P438" s="5" t="s">
        <v>1012</v>
      </c>
      <c r="Q438" s="24" t="s">
        <v>848</v>
      </c>
      <c r="R438" s="5" t="s">
        <v>854</v>
      </c>
      <c r="S438" s="5" t="s">
        <v>1159</v>
      </c>
      <c r="T438" s="5" t="s">
        <v>1158</v>
      </c>
      <c r="U438" s="5" t="s">
        <v>856</v>
      </c>
      <c r="V438" s="5" t="s">
        <v>759</v>
      </c>
      <c r="W438" s="14" t="b">
        <v>1</v>
      </c>
      <c r="X438" s="81" t="s">
        <v>2298</v>
      </c>
      <c r="Y438" s="81" t="s">
        <v>2297</v>
      </c>
      <c r="Z438" s="82">
        <v>2014</v>
      </c>
      <c r="AA438" s="81"/>
      <c r="AB438" s="81" t="s">
        <v>413</v>
      </c>
      <c r="AE438" s="10">
        <v>1</v>
      </c>
      <c r="AF438" s="83" t="s">
        <v>800</v>
      </c>
      <c r="AG438" s="14"/>
      <c r="AH438" s="14"/>
      <c r="AI438" s="14"/>
      <c r="AJ438" s="14"/>
      <c r="AK438" s="14"/>
      <c r="AL438" s="14"/>
      <c r="AM438" s="14"/>
      <c r="AN438" s="14"/>
      <c r="AO438" s="14"/>
      <c r="AP438" s="14"/>
      <c r="AQ438" s="14"/>
      <c r="AR438" s="14"/>
      <c r="AS438" s="14"/>
      <c r="AT438" s="14"/>
      <c r="AU438" s="14"/>
      <c r="AV438" s="14"/>
      <c r="AW438" s="14"/>
      <c r="AX438" s="14"/>
    </row>
    <row r="439" spans="1:50" ht="17.25" customHeight="1">
      <c r="A439" s="5" t="s">
        <v>812</v>
      </c>
      <c r="B439" s="5" t="s">
        <v>812</v>
      </c>
      <c r="C439" s="5" t="s">
        <v>796</v>
      </c>
      <c r="D439" s="7" t="s">
        <v>1181</v>
      </c>
      <c r="E439" s="5" t="s">
        <v>1012</v>
      </c>
      <c r="F439" s="5" t="s">
        <v>1013</v>
      </c>
      <c r="G439" s="5" t="s">
        <v>865</v>
      </c>
      <c r="H439" s="24" t="s">
        <v>1</v>
      </c>
      <c r="I439" s="5" t="s">
        <v>854</v>
      </c>
      <c r="J439" s="5" t="s">
        <v>1014</v>
      </c>
      <c r="K439" s="5" t="s">
        <v>867</v>
      </c>
      <c r="L439" s="5" t="s">
        <v>1015</v>
      </c>
      <c r="M439" s="5" t="s">
        <v>1158</v>
      </c>
      <c r="N439" s="24" t="s">
        <v>0</v>
      </c>
      <c r="O439" s="24" t="s">
        <v>1</v>
      </c>
      <c r="P439" s="5" t="s">
        <v>1012</v>
      </c>
      <c r="Q439" s="24" t="s">
        <v>848</v>
      </c>
      <c r="R439" s="5" t="s">
        <v>854</v>
      </c>
      <c r="S439" s="5" t="s">
        <v>1159</v>
      </c>
      <c r="T439" s="5" t="s">
        <v>1158</v>
      </c>
      <c r="U439" s="5" t="s">
        <v>856</v>
      </c>
      <c r="V439" s="5" t="s">
        <v>759</v>
      </c>
      <c r="W439" s="14" t="b">
        <v>1</v>
      </c>
      <c r="X439" s="81" t="s">
        <v>2298</v>
      </c>
      <c r="Y439" s="81" t="s">
        <v>2297</v>
      </c>
      <c r="Z439" s="82">
        <v>2014</v>
      </c>
      <c r="AA439" s="81"/>
      <c r="AB439" s="81" t="s">
        <v>413</v>
      </c>
      <c r="AE439" s="10">
        <v>1</v>
      </c>
      <c r="AF439" s="83" t="s">
        <v>801</v>
      </c>
      <c r="AG439" s="14"/>
      <c r="AH439" s="14"/>
      <c r="AI439" s="14"/>
      <c r="AJ439" s="14"/>
      <c r="AK439" s="14"/>
      <c r="AL439" s="14"/>
      <c r="AM439" s="14"/>
      <c r="AN439" s="14"/>
      <c r="AO439" s="14"/>
      <c r="AP439" s="14"/>
      <c r="AQ439" s="14"/>
      <c r="AR439" s="14"/>
      <c r="AS439" s="14"/>
      <c r="AT439" s="14"/>
      <c r="AU439" s="14"/>
      <c r="AV439" s="14"/>
      <c r="AW439" s="14"/>
      <c r="AX439" s="14"/>
    </row>
    <row r="440" spans="1:50" ht="17.25" customHeight="1">
      <c r="A440" s="5" t="s">
        <v>812</v>
      </c>
      <c r="B440" s="5" t="s">
        <v>812</v>
      </c>
      <c r="C440" s="5" t="s">
        <v>796</v>
      </c>
      <c r="D440" s="7" t="s">
        <v>1182</v>
      </c>
      <c r="E440" s="5" t="s">
        <v>1012</v>
      </c>
      <c r="F440" s="5" t="s">
        <v>1013</v>
      </c>
      <c r="G440" s="5" t="s">
        <v>865</v>
      </c>
      <c r="H440" s="24" t="s">
        <v>1</v>
      </c>
      <c r="I440" s="5" t="s">
        <v>854</v>
      </c>
      <c r="J440" s="5" t="s">
        <v>1014</v>
      </c>
      <c r="K440" s="5" t="s">
        <v>867</v>
      </c>
      <c r="L440" s="5" t="s">
        <v>1015</v>
      </c>
      <c r="M440" s="5" t="s">
        <v>1158</v>
      </c>
      <c r="N440" s="24" t="s">
        <v>0</v>
      </c>
      <c r="O440" s="24" t="s">
        <v>1</v>
      </c>
      <c r="P440" s="5" t="s">
        <v>1012</v>
      </c>
      <c r="Q440" s="24" t="s">
        <v>848</v>
      </c>
      <c r="R440" s="5" t="s">
        <v>854</v>
      </c>
      <c r="S440" s="5" t="s">
        <v>1159</v>
      </c>
      <c r="T440" s="5" t="s">
        <v>1158</v>
      </c>
      <c r="U440" s="5" t="s">
        <v>856</v>
      </c>
      <c r="V440" s="5" t="s">
        <v>759</v>
      </c>
      <c r="W440" s="14" t="b">
        <v>1</v>
      </c>
      <c r="X440" s="81" t="s">
        <v>2298</v>
      </c>
      <c r="Y440" s="81" t="s">
        <v>2297</v>
      </c>
      <c r="Z440" s="82">
        <v>2014</v>
      </c>
      <c r="AA440" s="81"/>
      <c r="AB440" s="81" t="s">
        <v>413</v>
      </c>
      <c r="AE440" s="10">
        <v>1</v>
      </c>
      <c r="AF440" s="83" t="s">
        <v>802</v>
      </c>
      <c r="AG440" s="14"/>
      <c r="AH440" s="14"/>
      <c r="AI440" s="14"/>
      <c r="AJ440" s="14"/>
      <c r="AK440" s="14"/>
      <c r="AL440" s="14"/>
      <c r="AM440" s="14"/>
      <c r="AN440" s="14"/>
      <c r="AO440" s="14"/>
      <c r="AP440" s="14"/>
      <c r="AQ440" s="14"/>
      <c r="AR440" s="14"/>
      <c r="AS440" s="14"/>
      <c r="AT440" s="14"/>
      <c r="AU440" s="14"/>
      <c r="AV440" s="14"/>
      <c r="AW440" s="14"/>
      <c r="AX440" s="14"/>
    </row>
    <row r="441" spans="1:50" ht="17.25" customHeight="1">
      <c r="A441" s="5" t="s">
        <v>812</v>
      </c>
      <c r="B441" s="5" t="s">
        <v>812</v>
      </c>
      <c r="C441" s="5" t="s">
        <v>796</v>
      </c>
      <c r="D441" s="7" t="s">
        <v>1183</v>
      </c>
      <c r="E441" s="5" t="s">
        <v>1012</v>
      </c>
      <c r="F441" s="5" t="s">
        <v>1013</v>
      </c>
      <c r="G441" s="5" t="s">
        <v>865</v>
      </c>
      <c r="H441" s="24" t="s">
        <v>1</v>
      </c>
      <c r="I441" s="5" t="s">
        <v>854</v>
      </c>
      <c r="J441" s="5" t="s">
        <v>1014</v>
      </c>
      <c r="K441" s="5" t="s">
        <v>867</v>
      </c>
      <c r="L441" s="5" t="s">
        <v>1015</v>
      </c>
      <c r="M441" s="5" t="s">
        <v>1158</v>
      </c>
      <c r="N441" s="24" t="s">
        <v>0</v>
      </c>
      <c r="O441" s="24" t="s">
        <v>1</v>
      </c>
      <c r="P441" s="5" t="s">
        <v>1012</v>
      </c>
      <c r="Q441" s="24" t="s">
        <v>848</v>
      </c>
      <c r="R441" s="5" t="s">
        <v>854</v>
      </c>
      <c r="S441" s="5" t="s">
        <v>1159</v>
      </c>
      <c r="T441" s="5" t="s">
        <v>1158</v>
      </c>
      <c r="U441" s="5" t="s">
        <v>856</v>
      </c>
      <c r="V441" s="5" t="s">
        <v>759</v>
      </c>
      <c r="W441" s="14" t="b">
        <v>1</v>
      </c>
      <c r="X441" s="81" t="s">
        <v>2298</v>
      </c>
      <c r="Y441" s="81" t="s">
        <v>2297</v>
      </c>
      <c r="Z441" s="82">
        <v>2014</v>
      </c>
      <c r="AA441" s="81"/>
      <c r="AB441" s="81" t="s">
        <v>413</v>
      </c>
      <c r="AE441" s="10">
        <v>1</v>
      </c>
      <c r="AF441" s="83" t="s">
        <v>803</v>
      </c>
      <c r="AG441" s="14"/>
      <c r="AH441" s="14"/>
      <c r="AI441" s="14"/>
      <c r="AJ441" s="14"/>
      <c r="AK441" s="14"/>
      <c r="AL441" s="14"/>
      <c r="AM441" s="14"/>
      <c r="AN441" s="14"/>
      <c r="AO441" s="14"/>
      <c r="AP441" s="14"/>
      <c r="AQ441" s="14"/>
      <c r="AR441" s="14"/>
      <c r="AS441" s="14"/>
      <c r="AT441" s="14"/>
      <c r="AU441" s="14"/>
      <c r="AV441" s="14"/>
      <c r="AW441" s="14"/>
      <c r="AX441" s="14"/>
    </row>
    <row r="442" spans="1:50" ht="17.25" customHeight="1">
      <c r="A442" s="5" t="s">
        <v>812</v>
      </c>
      <c r="B442" s="5" t="s">
        <v>812</v>
      </c>
      <c r="C442" s="5" t="s">
        <v>796</v>
      </c>
      <c r="D442" s="7" t="s">
        <v>1184</v>
      </c>
      <c r="E442" s="5" t="s">
        <v>1012</v>
      </c>
      <c r="F442" s="5" t="s">
        <v>1013</v>
      </c>
      <c r="G442" s="5" t="s">
        <v>865</v>
      </c>
      <c r="H442" s="24" t="s">
        <v>1</v>
      </c>
      <c r="I442" s="5" t="s">
        <v>854</v>
      </c>
      <c r="J442" s="5" t="s">
        <v>1014</v>
      </c>
      <c r="K442" s="5" t="s">
        <v>867</v>
      </c>
      <c r="L442" s="5" t="s">
        <v>1015</v>
      </c>
      <c r="M442" s="5" t="s">
        <v>1158</v>
      </c>
      <c r="N442" s="24" t="s">
        <v>0</v>
      </c>
      <c r="O442" s="24" t="s">
        <v>1</v>
      </c>
      <c r="P442" s="5" t="s">
        <v>1012</v>
      </c>
      <c r="Q442" s="24" t="s">
        <v>848</v>
      </c>
      <c r="R442" s="5" t="s">
        <v>854</v>
      </c>
      <c r="S442" s="5" t="s">
        <v>1159</v>
      </c>
      <c r="T442" s="5" t="s">
        <v>1158</v>
      </c>
      <c r="U442" s="5" t="s">
        <v>856</v>
      </c>
      <c r="V442" s="5" t="s">
        <v>759</v>
      </c>
      <c r="W442" s="14" t="b">
        <v>1</v>
      </c>
      <c r="X442" s="81" t="s">
        <v>2298</v>
      </c>
      <c r="Y442" s="81" t="s">
        <v>2297</v>
      </c>
      <c r="Z442" s="82">
        <v>2014</v>
      </c>
      <c r="AA442" s="81"/>
      <c r="AB442" s="81" t="s">
        <v>413</v>
      </c>
      <c r="AE442" s="10">
        <v>1</v>
      </c>
      <c r="AF442" s="83" t="s">
        <v>804</v>
      </c>
      <c r="AG442" s="14"/>
      <c r="AH442" s="14"/>
      <c r="AI442" s="14"/>
      <c r="AJ442" s="14"/>
      <c r="AK442" s="14"/>
      <c r="AL442" s="14"/>
      <c r="AM442" s="14"/>
      <c r="AN442" s="14"/>
      <c r="AO442" s="14"/>
      <c r="AP442" s="14"/>
      <c r="AQ442" s="14"/>
      <c r="AR442" s="14"/>
      <c r="AS442" s="14"/>
      <c r="AT442" s="14"/>
      <c r="AU442" s="14"/>
      <c r="AV442" s="14"/>
      <c r="AW442" s="14"/>
      <c r="AX442" s="14"/>
    </row>
    <row r="443" spans="1:50" ht="17.25" customHeight="1">
      <c r="A443" s="5" t="s">
        <v>812</v>
      </c>
      <c r="B443" s="5" t="s">
        <v>812</v>
      </c>
      <c r="C443" s="5" t="s">
        <v>796</v>
      </c>
      <c r="D443" s="7" t="s">
        <v>1185</v>
      </c>
      <c r="E443" s="5" t="s">
        <v>1012</v>
      </c>
      <c r="F443" s="5" t="s">
        <v>1013</v>
      </c>
      <c r="G443" s="5" t="s">
        <v>865</v>
      </c>
      <c r="H443" s="24" t="s">
        <v>1</v>
      </c>
      <c r="I443" s="5" t="s">
        <v>854</v>
      </c>
      <c r="J443" s="5" t="s">
        <v>1014</v>
      </c>
      <c r="K443" s="5" t="s">
        <v>867</v>
      </c>
      <c r="L443" s="5" t="s">
        <v>1015</v>
      </c>
      <c r="M443" s="5" t="s">
        <v>1158</v>
      </c>
      <c r="N443" s="24" t="s">
        <v>0</v>
      </c>
      <c r="O443" s="24" t="s">
        <v>1</v>
      </c>
      <c r="P443" s="5" t="s">
        <v>1012</v>
      </c>
      <c r="Q443" s="24" t="s">
        <v>848</v>
      </c>
      <c r="R443" s="5" t="s">
        <v>854</v>
      </c>
      <c r="S443" s="5" t="s">
        <v>1159</v>
      </c>
      <c r="T443" s="5" t="s">
        <v>1158</v>
      </c>
      <c r="U443" s="5" t="s">
        <v>856</v>
      </c>
      <c r="V443" s="5" t="s">
        <v>759</v>
      </c>
      <c r="W443" s="14" t="b">
        <v>1</v>
      </c>
      <c r="X443" s="81" t="s">
        <v>2298</v>
      </c>
      <c r="Y443" s="81" t="s">
        <v>2297</v>
      </c>
      <c r="Z443" s="82">
        <v>2014</v>
      </c>
      <c r="AA443" s="81"/>
      <c r="AB443" s="81" t="s">
        <v>413</v>
      </c>
      <c r="AE443" s="10">
        <v>1</v>
      </c>
      <c r="AF443" s="83" t="s">
        <v>808</v>
      </c>
      <c r="AG443" s="14"/>
      <c r="AH443" s="14"/>
      <c r="AI443" s="14"/>
      <c r="AJ443" s="14"/>
      <c r="AK443" s="14"/>
      <c r="AL443" s="14"/>
      <c r="AM443" s="14"/>
      <c r="AN443" s="14"/>
      <c r="AO443" s="14"/>
      <c r="AP443" s="14"/>
      <c r="AQ443" s="14"/>
      <c r="AR443" s="14"/>
      <c r="AS443" s="14"/>
      <c r="AT443" s="14"/>
      <c r="AU443" s="14"/>
      <c r="AV443" s="14"/>
      <c r="AW443" s="14"/>
      <c r="AX443" s="14"/>
    </row>
    <row r="444" spans="1:50" ht="17.25" customHeight="1">
      <c r="A444" s="5" t="s">
        <v>812</v>
      </c>
      <c r="B444" s="5" t="s">
        <v>812</v>
      </c>
      <c r="C444" s="5" t="s">
        <v>796</v>
      </c>
      <c r="D444" s="7" t="s">
        <v>1186</v>
      </c>
      <c r="E444" s="5" t="s">
        <v>1012</v>
      </c>
      <c r="F444" s="5" t="s">
        <v>1013</v>
      </c>
      <c r="G444" s="5" t="s">
        <v>865</v>
      </c>
      <c r="H444" s="24" t="s">
        <v>1</v>
      </c>
      <c r="I444" s="5" t="s">
        <v>854</v>
      </c>
      <c r="J444" s="5" t="s">
        <v>1014</v>
      </c>
      <c r="K444" s="5" t="s">
        <v>867</v>
      </c>
      <c r="L444" s="5" t="s">
        <v>1015</v>
      </c>
      <c r="M444" s="5" t="s">
        <v>1158</v>
      </c>
      <c r="N444" s="24" t="s">
        <v>0</v>
      </c>
      <c r="O444" s="24" t="s">
        <v>1</v>
      </c>
      <c r="P444" s="5" t="s">
        <v>1012</v>
      </c>
      <c r="Q444" s="24" t="s">
        <v>848</v>
      </c>
      <c r="R444" s="5" t="s">
        <v>854</v>
      </c>
      <c r="S444" s="5" t="s">
        <v>1159</v>
      </c>
      <c r="T444" s="5" t="s">
        <v>1158</v>
      </c>
      <c r="U444" s="5" t="s">
        <v>856</v>
      </c>
      <c r="V444" s="5" t="s">
        <v>759</v>
      </c>
      <c r="W444" s="14" t="b">
        <v>1</v>
      </c>
      <c r="X444" s="81" t="s">
        <v>2298</v>
      </c>
      <c r="Y444" s="81" t="s">
        <v>2297</v>
      </c>
      <c r="Z444" s="82">
        <v>2014</v>
      </c>
      <c r="AA444" s="81"/>
      <c r="AB444" s="81" t="s">
        <v>413</v>
      </c>
      <c r="AE444" s="10">
        <v>1</v>
      </c>
      <c r="AF444" s="83" t="s">
        <v>810</v>
      </c>
      <c r="AG444" s="14"/>
      <c r="AH444" s="14"/>
      <c r="AI444" s="14"/>
      <c r="AJ444" s="14"/>
      <c r="AK444" s="14"/>
      <c r="AL444" s="14"/>
      <c r="AM444" s="14"/>
      <c r="AN444" s="14"/>
      <c r="AO444" s="14"/>
      <c r="AP444" s="14"/>
      <c r="AQ444" s="14"/>
      <c r="AR444" s="14"/>
      <c r="AS444" s="14"/>
      <c r="AT444" s="14"/>
      <c r="AU444" s="14"/>
      <c r="AV444" s="14"/>
      <c r="AW444" s="14"/>
      <c r="AX444" s="14"/>
    </row>
    <row r="445" spans="1:50" ht="17.25" customHeight="1">
      <c r="A445" s="5" t="s">
        <v>812</v>
      </c>
      <c r="B445" s="5" t="s">
        <v>812</v>
      </c>
      <c r="C445" s="5" t="s">
        <v>796</v>
      </c>
      <c r="D445" s="7" t="s">
        <v>1187</v>
      </c>
      <c r="E445" s="5" t="s">
        <v>1012</v>
      </c>
      <c r="F445" s="5" t="s">
        <v>1013</v>
      </c>
      <c r="G445" s="5" t="s">
        <v>865</v>
      </c>
      <c r="H445" s="24" t="s">
        <v>1</v>
      </c>
      <c r="I445" s="5" t="s">
        <v>854</v>
      </c>
      <c r="J445" s="5" t="s">
        <v>1014</v>
      </c>
      <c r="K445" s="5" t="s">
        <v>867</v>
      </c>
      <c r="L445" s="5" t="s">
        <v>1015</v>
      </c>
      <c r="M445" s="5" t="s">
        <v>1158</v>
      </c>
      <c r="N445" s="24" t="s">
        <v>0</v>
      </c>
      <c r="O445" s="24" t="s">
        <v>1</v>
      </c>
      <c r="P445" s="5" t="s">
        <v>1012</v>
      </c>
      <c r="Q445" s="24" t="s">
        <v>848</v>
      </c>
      <c r="R445" s="5" t="s">
        <v>854</v>
      </c>
      <c r="S445" s="5" t="s">
        <v>1159</v>
      </c>
      <c r="T445" s="5" t="s">
        <v>1158</v>
      </c>
      <c r="U445" s="5" t="s">
        <v>856</v>
      </c>
      <c r="V445" s="5" t="s">
        <v>759</v>
      </c>
      <c r="W445" s="14" t="b">
        <v>1</v>
      </c>
      <c r="X445" s="81" t="s">
        <v>2298</v>
      </c>
      <c r="Y445" s="81" t="s">
        <v>2297</v>
      </c>
      <c r="Z445" s="82">
        <v>2014</v>
      </c>
      <c r="AA445" s="81"/>
      <c r="AB445" s="81" t="s">
        <v>413</v>
      </c>
      <c r="AE445" s="10">
        <v>1</v>
      </c>
      <c r="AF445" s="83" t="s">
        <v>811</v>
      </c>
      <c r="AG445" s="14"/>
      <c r="AH445" s="14"/>
      <c r="AI445" s="14"/>
      <c r="AJ445" s="14"/>
      <c r="AK445" s="14"/>
      <c r="AL445" s="14"/>
      <c r="AM445" s="14"/>
      <c r="AN445" s="14"/>
      <c r="AO445" s="14"/>
      <c r="AP445" s="14"/>
      <c r="AQ445" s="14"/>
      <c r="AR445" s="14"/>
      <c r="AS445" s="14"/>
      <c r="AT445" s="14"/>
      <c r="AU445" s="14"/>
      <c r="AV445" s="14"/>
      <c r="AW445" s="14"/>
      <c r="AX445" s="14"/>
    </row>
    <row r="446" spans="1:50" ht="17.25" customHeight="1">
      <c r="A446" s="5" t="s">
        <v>813</v>
      </c>
      <c r="B446" s="5" t="s">
        <v>813</v>
      </c>
      <c r="C446" s="5" t="s">
        <v>814</v>
      </c>
      <c r="D446" s="7" t="s">
        <v>1189</v>
      </c>
      <c r="E446" s="5" t="s">
        <v>1012</v>
      </c>
      <c r="F446" s="5" t="s">
        <v>1130</v>
      </c>
      <c r="G446" s="5" t="s">
        <v>888</v>
      </c>
      <c r="H446" s="24" t="s">
        <v>1</v>
      </c>
      <c r="I446" s="5" t="s">
        <v>854</v>
      </c>
      <c r="J446" s="19"/>
      <c r="K446" s="5" t="s">
        <v>956</v>
      </c>
      <c r="L446" s="5" t="s">
        <v>1015</v>
      </c>
      <c r="M446" s="5" t="s">
        <v>1190</v>
      </c>
      <c r="N446" s="24" t="s">
        <v>0</v>
      </c>
      <c r="O446" s="24" t="s">
        <v>1</v>
      </c>
      <c r="P446" s="5" t="s">
        <v>1012</v>
      </c>
      <c r="Q446" s="24" t="s">
        <v>848</v>
      </c>
      <c r="R446" s="5" t="s">
        <v>854</v>
      </c>
      <c r="S446" s="4" t="s">
        <v>1191</v>
      </c>
      <c r="T446" s="5" t="s">
        <v>1190</v>
      </c>
      <c r="U446" s="5" t="s">
        <v>856</v>
      </c>
      <c r="V446" s="5" t="s">
        <v>759</v>
      </c>
      <c r="W446" s="14" t="b">
        <v>1</v>
      </c>
      <c r="X446" s="81" t="s">
        <v>1192</v>
      </c>
      <c r="Y446" s="81" t="s">
        <v>2299</v>
      </c>
      <c r="Z446" s="82">
        <v>2013</v>
      </c>
      <c r="AA446" s="81"/>
      <c r="AB446" s="81" t="s">
        <v>413</v>
      </c>
      <c r="AE446" s="10">
        <v>1</v>
      </c>
      <c r="AF446" s="83" t="s">
        <v>423</v>
      </c>
      <c r="AG446" s="14"/>
      <c r="AH446" s="14"/>
      <c r="AI446" s="14"/>
      <c r="AJ446" s="14"/>
      <c r="AK446" s="14"/>
      <c r="AL446" s="14"/>
      <c r="AM446" s="14"/>
      <c r="AN446" s="14"/>
      <c r="AO446" s="14"/>
      <c r="AP446" s="14"/>
      <c r="AQ446" s="14"/>
      <c r="AR446" s="14"/>
      <c r="AS446" s="14"/>
      <c r="AT446" s="14"/>
      <c r="AU446" s="14"/>
      <c r="AV446" s="14"/>
      <c r="AW446" s="14"/>
      <c r="AX446" s="14"/>
    </row>
    <row r="447" spans="1:50" ht="17.25" customHeight="1">
      <c r="A447" s="5" t="s">
        <v>816</v>
      </c>
      <c r="B447" s="5" t="s">
        <v>816</v>
      </c>
      <c r="C447" s="5" t="s">
        <v>818</v>
      </c>
      <c r="D447" s="7" t="s">
        <v>1194</v>
      </c>
      <c r="E447" s="5" t="s">
        <v>1012</v>
      </c>
      <c r="F447" s="5" t="s">
        <v>1013</v>
      </c>
      <c r="G447" s="5" t="s">
        <v>865</v>
      </c>
      <c r="H447" s="24" t="s">
        <v>1</v>
      </c>
      <c r="I447" s="5" t="s">
        <v>854</v>
      </c>
      <c r="J447" s="19"/>
      <c r="K447" s="19"/>
      <c r="L447" s="5" t="s">
        <v>1015</v>
      </c>
      <c r="M447" s="5" t="s">
        <v>1195</v>
      </c>
      <c r="N447" s="24" t="s">
        <v>0</v>
      </c>
      <c r="O447" s="24" t="s">
        <v>1</v>
      </c>
      <c r="P447" s="5" t="s">
        <v>1012</v>
      </c>
      <c r="Q447" s="24" t="s">
        <v>848</v>
      </c>
      <c r="R447" s="5" t="s">
        <v>854</v>
      </c>
      <c r="S447" s="4" t="s">
        <v>1196</v>
      </c>
      <c r="T447" s="5" t="s">
        <v>1195</v>
      </c>
      <c r="U447" s="5" t="s">
        <v>856</v>
      </c>
      <c r="V447" s="5" t="s">
        <v>759</v>
      </c>
      <c r="W447" s="14" t="b">
        <v>1</v>
      </c>
      <c r="X447" s="81" t="s">
        <v>2425</v>
      </c>
      <c r="Y447" s="81" t="s">
        <v>2300</v>
      </c>
      <c r="Z447" s="82">
        <v>2013</v>
      </c>
      <c r="AA447" s="81"/>
      <c r="AB447" s="81" t="s">
        <v>413</v>
      </c>
      <c r="AE447" s="10">
        <v>1</v>
      </c>
      <c r="AF447" s="83" t="s">
        <v>817</v>
      </c>
      <c r="AG447" s="14"/>
      <c r="AH447" s="14"/>
      <c r="AI447" s="14"/>
      <c r="AJ447" s="14"/>
      <c r="AK447" s="14"/>
      <c r="AL447" s="14"/>
      <c r="AM447" s="14"/>
      <c r="AN447" s="14"/>
      <c r="AO447" s="14"/>
      <c r="AP447" s="14"/>
      <c r="AQ447" s="14"/>
      <c r="AR447" s="14"/>
      <c r="AS447" s="14"/>
      <c r="AT447" s="14"/>
      <c r="AU447" s="14"/>
      <c r="AV447" s="14"/>
      <c r="AW447" s="14"/>
      <c r="AX447" s="14"/>
    </row>
    <row r="448" spans="1:50" ht="17.25" customHeight="1">
      <c r="A448" s="5" t="s">
        <v>816</v>
      </c>
      <c r="B448" s="5" t="s">
        <v>816</v>
      </c>
      <c r="C448" s="5" t="s">
        <v>820</v>
      </c>
      <c r="D448" s="7" t="s">
        <v>1197</v>
      </c>
      <c r="E448" s="5" t="s">
        <v>1012</v>
      </c>
      <c r="F448" s="5" t="s">
        <v>1013</v>
      </c>
      <c r="G448" s="5" t="s">
        <v>865</v>
      </c>
      <c r="H448" s="24" t="s">
        <v>1</v>
      </c>
      <c r="I448" s="5" t="s">
        <v>854</v>
      </c>
      <c r="J448" s="19"/>
      <c r="K448" s="19"/>
      <c r="L448" s="5" t="s">
        <v>1015</v>
      </c>
      <c r="M448" s="5" t="s">
        <v>1195</v>
      </c>
      <c r="N448" s="24" t="s">
        <v>0</v>
      </c>
      <c r="O448" s="24" t="s">
        <v>1</v>
      </c>
      <c r="P448" s="5" t="s">
        <v>1012</v>
      </c>
      <c r="Q448" s="24" t="s">
        <v>848</v>
      </c>
      <c r="R448" s="5" t="s">
        <v>854</v>
      </c>
      <c r="S448" s="4" t="s">
        <v>1196</v>
      </c>
      <c r="T448" s="5" t="s">
        <v>1195</v>
      </c>
      <c r="U448" s="5" t="s">
        <v>856</v>
      </c>
      <c r="V448" s="5" t="s">
        <v>759</v>
      </c>
      <c r="W448" s="14" t="b">
        <v>1</v>
      </c>
      <c r="X448" s="81" t="s">
        <v>2425</v>
      </c>
      <c r="Y448" s="81" t="s">
        <v>2300</v>
      </c>
      <c r="Z448" s="82">
        <v>2013</v>
      </c>
      <c r="AA448" s="81"/>
      <c r="AB448" s="81" t="s">
        <v>413</v>
      </c>
      <c r="AE448" s="10">
        <v>1</v>
      </c>
      <c r="AF448" s="83" t="s">
        <v>2198</v>
      </c>
      <c r="AG448" s="14"/>
      <c r="AH448" s="14"/>
      <c r="AI448" s="14"/>
      <c r="AJ448" s="14"/>
      <c r="AK448" s="14"/>
      <c r="AL448" s="14"/>
      <c r="AM448" s="14"/>
      <c r="AN448" s="14"/>
      <c r="AO448" s="14"/>
      <c r="AP448" s="14"/>
      <c r="AQ448" s="14"/>
      <c r="AR448" s="14"/>
      <c r="AS448" s="14"/>
      <c r="AT448" s="14"/>
      <c r="AU448" s="14"/>
      <c r="AV448" s="14"/>
      <c r="AW448" s="14"/>
      <c r="AX448" s="14"/>
    </row>
    <row r="449" spans="1:50" ht="17.25" customHeight="1">
      <c r="A449" s="5" t="s">
        <v>821</v>
      </c>
      <c r="B449" s="5" t="s">
        <v>821</v>
      </c>
      <c r="C449" s="5" t="s">
        <v>822</v>
      </c>
      <c r="D449" s="7" t="s">
        <v>1199</v>
      </c>
      <c r="E449" s="5" t="s">
        <v>1012</v>
      </c>
      <c r="F449" s="5" t="s">
        <v>1104</v>
      </c>
      <c r="G449" s="5" t="s">
        <v>850</v>
      </c>
      <c r="H449" s="24" t="s">
        <v>1</v>
      </c>
      <c r="I449" s="5" t="s">
        <v>854</v>
      </c>
      <c r="J449" s="5" t="s">
        <v>1110</v>
      </c>
      <c r="K449" s="19"/>
      <c r="L449" s="5" t="s">
        <v>1015</v>
      </c>
      <c r="M449" s="5" t="s">
        <v>1200</v>
      </c>
      <c r="N449" s="24" t="s">
        <v>0</v>
      </c>
      <c r="O449" s="24" t="s">
        <v>1</v>
      </c>
      <c r="P449" s="5" t="s">
        <v>1012</v>
      </c>
      <c r="Q449" s="24" t="s">
        <v>848</v>
      </c>
      <c r="R449" s="5" t="s">
        <v>854</v>
      </c>
      <c r="S449" s="5" t="s">
        <v>1201</v>
      </c>
      <c r="T449" s="5" t="s">
        <v>1200</v>
      </c>
      <c r="U449" s="5" t="s">
        <v>856</v>
      </c>
      <c r="V449" s="5" t="s">
        <v>759</v>
      </c>
      <c r="W449" s="14" t="b">
        <v>1</v>
      </c>
      <c r="X449" s="81" t="s">
        <v>1202</v>
      </c>
      <c r="Y449" s="81" t="s">
        <v>2301</v>
      </c>
      <c r="Z449" s="82">
        <v>2013</v>
      </c>
      <c r="AA449" s="81"/>
      <c r="AB449" s="81" t="s">
        <v>413</v>
      </c>
      <c r="AE449" s="10">
        <v>1</v>
      </c>
      <c r="AF449" s="83" t="s">
        <v>423</v>
      </c>
      <c r="AG449" s="14"/>
      <c r="AH449" s="14"/>
      <c r="AI449" s="14"/>
      <c r="AJ449" s="14"/>
      <c r="AK449" s="14"/>
      <c r="AL449" s="14"/>
      <c r="AM449" s="14"/>
      <c r="AN449" s="14"/>
      <c r="AO449" s="14"/>
      <c r="AP449" s="14"/>
      <c r="AQ449" s="14"/>
      <c r="AR449" s="14"/>
      <c r="AS449" s="14"/>
      <c r="AT449" s="14"/>
      <c r="AU449" s="14"/>
      <c r="AV449" s="14"/>
      <c r="AW449" s="14"/>
      <c r="AX449" s="14"/>
    </row>
    <row r="450" spans="1:50" ht="17.25" customHeight="1">
      <c r="A450" s="5" t="s">
        <v>824</v>
      </c>
      <c r="B450" s="5" t="s">
        <v>824</v>
      </c>
      <c r="C450" s="5" t="s">
        <v>825</v>
      </c>
      <c r="D450" s="7" t="s">
        <v>1204</v>
      </c>
      <c r="E450" s="5" t="s">
        <v>1012</v>
      </c>
      <c r="F450" s="5" t="s">
        <v>1013</v>
      </c>
      <c r="G450" s="5" t="s">
        <v>865</v>
      </c>
      <c r="H450" s="24" t="s">
        <v>1</v>
      </c>
      <c r="I450" s="5" t="s">
        <v>854</v>
      </c>
      <c r="J450" s="5" t="s">
        <v>1014</v>
      </c>
      <c r="K450" s="19"/>
      <c r="L450" s="5" t="s">
        <v>1015</v>
      </c>
      <c r="M450" s="5" t="s">
        <v>1205</v>
      </c>
      <c r="N450" s="24" t="s">
        <v>0</v>
      </c>
      <c r="O450" s="24" t="s">
        <v>1</v>
      </c>
      <c r="P450" s="5" t="s">
        <v>1012</v>
      </c>
      <c r="Q450" s="24" t="s">
        <v>848</v>
      </c>
      <c r="R450" s="5" t="s">
        <v>854</v>
      </c>
      <c r="S450" s="4" t="s">
        <v>1206</v>
      </c>
      <c r="T450" s="5" t="s">
        <v>1205</v>
      </c>
      <c r="U450" s="5" t="s">
        <v>856</v>
      </c>
      <c r="V450" s="5" t="s">
        <v>759</v>
      </c>
      <c r="W450" s="14" t="b">
        <v>1</v>
      </c>
      <c r="X450" s="81" t="s">
        <v>2276</v>
      </c>
      <c r="Y450" s="81" t="s">
        <v>2302</v>
      </c>
      <c r="Z450" s="82">
        <v>2011</v>
      </c>
      <c r="AA450" s="81"/>
      <c r="AB450" s="81" t="s">
        <v>413</v>
      </c>
      <c r="AE450" s="10">
        <v>1</v>
      </c>
      <c r="AF450" s="83" t="s">
        <v>423</v>
      </c>
      <c r="AG450" s="14"/>
      <c r="AH450" s="14"/>
      <c r="AI450" s="14"/>
      <c r="AJ450" s="14"/>
      <c r="AK450" s="14"/>
      <c r="AL450" s="14"/>
      <c r="AM450" s="14"/>
      <c r="AN450" s="14"/>
      <c r="AO450" s="14"/>
      <c r="AP450" s="14"/>
      <c r="AQ450" s="14"/>
      <c r="AR450" s="14"/>
      <c r="AS450" s="14"/>
      <c r="AT450" s="14"/>
      <c r="AU450" s="14"/>
      <c r="AV450" s="14"/>
      <c r="AW450" s="14"/>
      <c r="AX450" s="14"/>
    </row>
    <row r="451" spans="1:50" s="9" customFormat="1" ht="17.25" customHeight="1">
      <c r="A451" s="14"/>
      <c r="B451" s="5"/>
      <c r="C451" s="14"/>
      <c r="D451" s="76"/>
      <c r="E451" s="14"/>
      <c r="F451" s="14"/>
      <c r="G451" s="14"/>
      <c r="H451" s="14"/>
      <c r="I451" s="14"/>
      <c r="J451" s="14"/>
      <c r="K451" s="14"/>
      <c r="L451" s="14"/>
      <c r="M451" s="14"/>
      <c r="N451" s="14"/>
      <c r="O451" s="14"/>
      <c r="P451" s="14"/>
      <c r="Q451" s="14"/>
      <c r="R451" s="14"/>
      <c r="S451" s="14"/>
      <c r="T451" s="14"/>
      <c r="U451" s="14"/>
      <c r="V451" s="14"/>
      <c r="W451" s="15"/>
      <c r="X451" s="14"/>
      <c r="Y451" s="14"/>
      <c r="Z451" s="15"/>
      <c r="AA451" s="15"/>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row>
    <row r="452" spans="1:50" ht="17.25" customHeight="1">
      <c r="A452" s="14"/>
      <c r="B452" s="14"/>
      <c r="C452" s="14"/>
      <c r="D452" s="76"/>
      <c r="E452" s="14"/>
      <c r="F452" s="14"/>
      <c r="G452" s="14"/>
      <c r="H452" s="14"/>
      <c r="I452" s="14"/>
      <c r="J452" s="14"/>
      <c r="K452" s="14"/>
      <c r="L452" s="14"/>
      <c r="M452" s="14"/>
      <c r="N452" s="14"/>
      <c r="O452" s="14"/>
      <c r="P452" s="14"/>
      <c r="Q452" s="14"/>
      <c r="R452" s="14"/>
      <c r="S452" s="14"/>
      <c r="T452" s="14"/>
      <c r="U452" s="14"/>
      <c r="V452" s="14"/>
      <c r="W452" s="15"/>
      <c r="X452" s="14"/>
      <c r="Y452" s="14"/>
      <c r="Z452" s="15"/>
      <c r="AA452" s="15"/>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row>
    <row r="453" spans="1:50" ht="17.25" customHeight="1">
      <c r="A453" s="14"/>
      <c r="B453" s="14"/>
      <c r="C453" s="14"/>
      <c r="D453" s="76"/>
      <c r="E453" s="14"/>
      <c r="F453" s="14"/>
      <c r="G453" s="14"/>
      <c r="H453" s="14"/>
      <c r="I453" s="14"/>
      <c r="J453" s="14"/>
      <c r="K453" s="14"/>
      <c r="L453" s="14"/>
      <c r="M453" s="14"/>
      <c r="N453" s="14"/>
      <c r="O453" s="14"/>
      <c r="P453" s="14"/>
      <c r="Q453" s="14"/>
      <c r="R453" s="14"/>
      <c r="S453" s="14"/>
      <c r="T453" s="14"/>
      <c r="U453" s="14"/>
      <c r="V453" s="14"/>
      <c r="W453" s="15"/>
      <c r="X453" s="14"/>
      <c r="Y453" s="14"/>
      <c r="Z453" s="15"/>
      <c r="AA453" s="15"/>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row>
    <row r="454" spans="1:50" ht="17.25" customHeight="1">
      <c r="A454" s="14"/>
      <c r="B454" s="14"/>
      <c r="C454" s="14"/>
      <c r="D454" s="76"/>
      <c r="E454" s="14"/>
      <c r="F454" s="14"/>
      <c r="G454" s="14"/>
      <c r="H454" s="14"/>
      <c r="I454" s="14"/>
      <c r="J454" s="14"/>
      <c r="K454" s="14"/>
      <c r="L454" s="14"/>
      <c r="M454" s="14"/>
      <c r="N454" s="14"/>
      <c r="O454" s="14"/>
      <c r="P454" s="14"/>
      <c r="Q454" s="14"/>
      <c r="R454" s="14"/>
      <c r="S454" s="14"/>
      <c r="T454" s="14"/>
      <c r="U454" s="14"/>
      <c r="V454" s="14"/>
      <c r="W454" s="15"/>
      <c r="X454" s="14"/>
      <c r="Y454" s="14"/>
      <c r="Z454" s="15"/>
      <c r="AA454" s="15"/>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row>
    <row r="455" spans="1:50" ht="17.25" customHeight="1">
      <c r="A455" s="14"/>
      <c r="B455" s="14"/>
      <c r="C455" s="14"/>
      <c r="D455" s="76"/>
      <c r="E455" s="14"/>
      <c r="F455" s="14"/>
      <c r="G455" s="14"/>
      <c r="H455" s="14"/>
      <c r="I455" s="14"/>
      <c r="J455" s="14"/>
      <c r="K455" s="14"/>
      <c r="L455" s="14"/>
      <c r="M455" s="14"/>
      <c r="N455" s="14"/>
      <c r="O455" s="14"/>
      <c r="P455" s="14"/>
      <c r="Q455" s="14"/>
      <c r="R455" s="14"/>
      <c r="S455" s="14"/>
      <c r="T455" s="14"/>
      <c r="U455" s="14"/>
      <c r="V455" s="14"/>
      <c r="W455" s="15"/>
      <c r="X455" s="14"/>
      <c r="Y455" s="14"/>
      <c r="Z455" s="15"/>
      <c r="AA455" s="15"/>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row>
    <row r="456" spans="1:50" ht="17.25" customHeight="1">
      <c r="A456" s="14"/>
      <c r="B456" s="14"/>
      <c r="C456" s="14"/>
      <c r="D456" s="76"/>
      <c r="E456" s="14"/>
      <c r="F456" s="14"/>
      <c r="G456" s="14"/>
      <c r="H456" s="14"/>
      <c r="I456" s="14"/>
      <c r="J456" s="14"/>
      <c r="K456" s="14"/>
      <c r="L456" s="14"/>
      <c r="M456" s="14"/>
      <c r="N456" s="14"/>
      <c r="O456" s="14"/>
      <c r="P456" s="14"/>
      <c r="Q456" s="14"/>
      <c r="R456" s="14"/>
      <c r="S456" s="14"/>
      <c r="T456" s="14"/>
      <c r="U456" s="14"/>
      <c r="V456" s="14"/>
      <c r="W456" s="15"/>
      <c r="X456" s="14"/>
      <c r="Y456" s="14"/>
      <c r="Z456" s="15"/>
      <c r="AA456" s="15"/>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row>
    <row r="457" spans="1:50" ht="17.25" customHeight="1">
      <c r="A457" s="14"/>
      <c r="B457" s="14"/>
      <c r="C457" s="14"/>
      <c r="D457" s="76"/>
      <c r="E457" s="14"/>
      <c r="F457" s="14"/>
      <c r="G457" s="14"/>
      <c r="H457" s="14"/>
      <c r="I457" s="14"/>
      <c r="J457" s="14"/>
      <c r="K457" s="14"/>
      <c r="L457" s="14"/>
      <c r="M457" s="14"/>
      <c r="N457" s="14"/>
      <c r="O457" s="14"/>
      <c r="P457" s="14"/>
      <c r="Q457" s="14"/>
      <c r="R457" s="14"/>
      <c r="S457" s="14"/>
      <c r="T457" s="14"/>
      <c r="U457" s="14"/>
      <c r="V457" s="14"/>
      <c r="W457" s="15"/>
      <c r="X457" s="14"/>
      <c r="Y457" s="14"/>
      <c r="Z457" s="15"/>
      <c r="AA457" s="15"/>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row>
    <row r="458" spans="1:50" ht="17.25" customHeight="1">
      <c r="A458" s="14"/>
      <c r="B458" s="14"/>
      <c r="C458" s="14"/>
      <c r="D458" s="76"/>
      <c r="E458" s="14"/>
      <c r="F458" s="14"/>
      <c r="G458" s="14"/>
      <c r="H458" s="14"/>
      <c r="I458" s="14"/>
      <c r="J458" s="14"/>
      <c r="K458" s="14"/>
      <c r="L458" s="14"/>
      <c r="M458" s="14"/>
      <c r="N458" s="14"/>
      <c r="O458" s="14"/>
      <c r="P458" s="14"/>
      <c r="Q458" s="14"/>
      <c r="R458" s="14"/>
      <c r="S458" s="14"/>
      <c r="T458" s="14"/>
      <c r="U458" s="14"/>
      <c r="V458" s="14"/>
      <c r="W458" s="15"/>
      <c r="X458" s="14"/>
      <c r="Y458" s="14"/>
      <c r="Z458" s="15"/>
      <c r="AA458" s="15"/>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row>
    <row r="459" spans="1:50" ht="17.25" customHeight="1">
      <c r="A459" s="14"/>
      <c r="B459" s="14"/>
      <c r="C459" s="14"/>
      <c r="D459" s="76"/>
      <c r="E459" s="14"/>
      <c r="F459" s="14"/>
      <c r="G459" s="14"/>
      <c r="H459" s="14"/>
      <c r="I459" s="14"/>
      <c r="J459" s="14"/>
      <c r="K459" s="14"/>
      <c r="L459" s="14"/>
      <c r="M459" s="14"/>
      <c r="N459" s="14"/>
      <c r="O459" s="14"/>
      <c r="P459" s="14"/>
      <c r="Q459" s="14"/>
      <c r="R459" s="14"/>
      <c r="S459" s="14"/>
      <c r="T459" s="14"/>
      <c r="U459" s="14"/>
      <c r="V459" s="14"/>
      <c r="W459" s="15"/>
      <c r="X459" s="14"/>
      <c r="Y459" s="14"/>
      <c r="Z459" s="15"/>
      <c r="AA459" s="15"/>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row>
    <row r="460" spans="1:50" ht="17.25" customHeight="1">
      <c r="A460" s="14"/>
      <c r="B460" s="14"/>
      <c r="C460" s="14"/>
      <c r="D460" s="14"/>
      <c r="E460" s="14"/>
      <c r="F460" s="14"/>
      <c r="G460" s="14"/>
      <c r="H460" s="14"/>
      <c r="I460" s="14"/>
      <c r="J460" s="14"/>
      <c r="K460" s="14"/>
      <c r="L460" s="14"/>
      <c r="M460" s="14"/>
      <c r="N460" s="14"/>
      <c r="O460" s="14"/>
      <c r="P460" s="14"/>
      <c r="Q460" s="14"/>
      <c r="R460" s="14"/>
      <c r="S460" s="14"/>
      <c r="T460" s="14"/>
      <c r="U460" s="14"/>
      <c r="V460" s="14"/>
      <c r="W460" s="15"/>
      <c r="X460" s="14"/>
      <c r="Y460" s="14"/>
      <c r="Z460" s="15"/>
      <c r="AA460" s="15"/>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row>
    <row r="461" spans="1:50" ht="17.25" customHeight="1">
      <c r="A461" s="14"/>
      <c r="B461" s="14"/>
      <c r="C461" s="14"/>
      <c r="D461" s="14"/>
      <c r="E461" s="14"/>
      <c r="F461" s="14"/>
      <c r="G461" s="14"/>
      <c r="H461" s="14"/>
      <c r="I461" s="14"/>
      <c r="J461" s="14"/>
      <c r="K461" s="14"/>
      <c r="L461" s="14"/>
      <c r="M461" s="14"/>
      <c r="N461" s="14"/>
      <c r="O461" s="14"/>
      <c r="P461" s="14"/>
      <c r="Q461" s="14"/>
      <c r="R461" s="14"/>
      <c r="S461" s="14"/>
      <c r="T461" s="14"/>
      <c r="U461" s="14"/>
      <c r="V461" s="14"/>
      <c r="W461" s="15"/>
      <c r="X461" s="14"/>
      <c r="Y461" s="14"/>
      <c r="Z461" s="15"/>
      <c r="AA461" s="15"/>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row>
    <row r="462" spans="1:50" ht="17.25" customHeight="1">
      <c r="A462" s="14"/>
      <c r="B462" s="14"/>
      <c r="C462" s="14"/>
      <c r="D462" s="14"/>
      <c r="E462" s="14"/>
      <c r="F462" s="14"/>
      <c r="G462" s="14"/>
      <c r="H462" s="14"/>
      <c r="I462" s="14"/>
      <c r="J462" s="14"/>
      <c r="K462" s="14"/>
      <c r="L462" s="14"/>
      <c r="M462" s="14"/>
      <c r="N462" s="14"/>
      <c r="O462" s="14"/>
      <c r="P462" s="14"/>
      <c r="Q462" s="14"/>
      <c r="R462" s="14"/>
      <c r="S462" s="14"/>
      <c r="T462" s="14"/>
      <c r="U462" s="14"/>
      <c r="V462" s="14"/>
      <c r="W462" s="15"/>
      <c r="X462" s="14"/>
      <c r="Y462" s="14"/>
      <c r="Z462" s="15"/>
      <c r="AA462" s="15"/>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row>
    <row r="463" spans="1:50" ht="17.25" customHeight="1">
      <c r="A463" s="14"/>
      <c r="B463" s="14"/>
      <c r="C463" s="14"/>
      <c r="D463" s="14"/>
      <c r="E463" s="14"/>
      <c r="F463" s="14"/>
      <c r="G463" s="14"/>
      <c r="H463" s="14"/>
      <c r="I463" s="14"/>
      <c r="J463" s="14"/>
      <c r="K463" s="14"/>
      <c r="L463" s="14"/>
      <c r="M463" s="14"/>
      <c r="N463" s="14"/>
      <c r="O463" s="14"/>
      <c r="P463" s="14"/>
      <c r="Q463" s="14"/>
      <c r="R463" s="14"/>
      <c r="S463" s="14"/>
      <c r="T463" s="14"/>
      <c r="U463" s="14"/>
      <c r="V463" s="14"/>
      <c r="W463" s="15"/>
      <c r="X463" s="14"/>
      <c r="Y463" s="14"/>
      <c r="Z463" s="15"/>
      <c r="AA463" s="15"/>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row>
    <row r="464" spans="1:50" ht="17.25" customHeight="1">
      <c r="A464" s="14"/>
      <c r="B464" s="14"/>
      <c r="C464" s="14"/>
      <c r="D464" s="14"/>
      <c r="E464" s="14"/>
      <c r="F464" s="14"/>
      <c r="G464" s="14"/>
      <c r="H464" s="14"/>
      <c r="I464" s="14"/>
      <c r="J464" s="14"/>
      <c r="K464" s="14"/>
      <c r="L464" s="14"/>
      <c r="M464" s="14"/>
      <c r="N464" s="14"/>
      <c r="O464" s="14"/>
      <c r="P464" s="14"/>
      <c r="Q464" s="14"/>
      <c r="R464" s="14"/>
      <c r="S464" s="14"/>
      <c r="T464" s="14"/>
      <c r="U464" s="14"/>
      <c r="V464" s="14"/>
      <c r="W464" s="15"/>
      <c r="X464" s="14"/>
      <c r="Y464" s="14"/>
      <c r="Z464" s="15"/>
      <c r="AA464" s="15"/>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row>
    <row r="465" spans="1:50" ht="17.25" customHeight="1">
      <c r="A465" s="14"/>
      <c r="B465" s="14"/>
      <c r="C465" s="14"/>
      <c r="D465" s="14"/>
      <c r="E465" s="14"/>
      <c r="F465" s="14"/>
      <c r="G465" s="14"/>
      <c r="H465" s="14"/>
      <c r="I465" s="14"/>
      <c r="J465" s="14"/>
      <c r="K465" s="14"/>
      <c r="L465" s="14"/>
      <c r="M465" s="14"/>
      <c r="N465" s="14"/>
      <c r="O465" s="14"/>
      <c r="P465" s="14"/>
      <c r="Q465" s="14"/>
      <c r="R465" s="14"/>
      <c r="S465" s="14"/>
      <c r="T465" s="14"/>
      <c r="U465" s="14"/>
      <c r="V465" s="14"/>
      <c r="W465" s="15"/>
      <c r="X465" s="14"/>
      <c r="Y465" s="14"/>
      <c r="Z465" s="15"/>
      <c r="AA465" s="15"/>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row>
    <row r="466" spans="1:50" ht="17.25" customHeight="1">
      <c r="A466" s="14"/>
      <c r="B466" s="14"/>
      <c r="C466" s="14"/>
      <c r="D466" s="14"/>
      <c r="E466" s="14"/>
      <c r="F466" s="14"/>
      <c r="G466" s="14"/>
      <c r="H466" s="14"/>
      <c r="I466" s="14"/>
      <c r="J466" s="14"/>
      <c r="K466" s="14"/>
      <c r="L466" s="14"/>
      <c r="M466" s="14"/>
      <c r="N466" s="14"/>
      <c r="O466" s="14"/>
      <c r="P466" s="14"/>
      <c r="Q466" s="14"/>
      <c r="R466" s="14"/>
      <c r="S466" s="14"/>
      <c r="T466" s="14"/>
      <c r="U466" s="14"/>
      <c r="V466" s="14"/>
      <c r="W466" s="15"/>
      <c r="X466" s="14"/>
      <c r="Y466" s="14"/>
      <c r="Z466" s="15"/>
      <c r="AA466" s="15"/>
      <c r="AB466" s="14"/>
      <c r="AC466" s="14"/>
      <c r="AD466" s="14"/>
      <c r="AE466" s="14"/>
      <c r="AF466" s="14"/>
      <c r="AG466" s="14"/>
      <c r="AH466" s="14"/>
      <c r="AI466" s="14"/>
      <c r="AJ466" s="14"/>
      <c r="AK466" s="14"/>
      <c r="AL466" s="14"/>
      <c r="AM466" s="14"/>
      <c r="AN466" s="14"/>
      <c r="AO466" s="14"/>
      <c r="AP466" s="14"/>
      <c r="AQ466" s="14"/>
      <c r="AR466" s="14"/>
      <c r="AS466" s="14"/>
      <c r="AT466" s="14"/>
      <c r="AU466" s="14"/>
      <c r="AV466" s="14"/>
      <c r="AW466" s="14"/>
      <c r="AX466" s="14"/>
    </row>
    <row r="467" spans="1:50" ht="17.25" customHeight="1">
      <c r="A467" s="14"/>
      <c r="B467" s="14"/>
      <c r="C467" s="14"/>
      <c r="D467" s="14"/>
      <c r="E467" s="14"/>
      <c r="F467" s="14"/>
      <c r="G467" s="14"/>
      <c r="H467" s="14"/>
      <c r="I467" s="14"/>
      <c r="J467" s="14"/>
      <c r="K467" s="14"/>
      <c r="L467" s="14"/>
      <c r="M467" s="14"/>
      <c r="N467" s="14"/>
      <c r="O467" s="14"/>
      <c r="P467" s="14"/>
      <c r="Q467" s="14"/>
      <c r="R467" s="14"/>
      <c r="S467" s="14"/>
      <c r="T467" s="14"/>
      <c r="U467" s="14"/>
      <c r="V467" s="14"/>
      <c r="W467" s="15"/>
      <c r="X467" s="14"/>
      <c r="Y467" s="14"/>
      <c r="Z467" s="15"/>
      <c r="AA467" s="15"/>
      <c r="AB467" s="14"/>
      <c r="AC467" s="14"/>
      <c r="AD467" s="14"/>
      <c r="AE467" s="14"/>
      <c r="AF467" s="14"/>
      <c r="AG467" s="14"/>
      <c r="AH467" s="14"/>
      <c r="AI467" s="14"/>
      <c r="AJ467" s="14"/>
      <c r="AK467" s="14"/>
      <c r="AL467" s="14"/>
      <c r="AM467" s="14"/>
      <c r="AN467" s="14"/>
      <c r="AO467" s="14"/>
      <c r="AP467" s="14"/>
      <c r="AQ467" s="14"/>
      <c r="AR467" s="14"/>
      <c r="AS467" s="14"/>
      <c r="AT467" s="14"/>
      <c r="AU467" s="14"/>
      <c r="AV467" s="14"/>
      <c r="AW467" s="14"/>
      <c r="AX467" s="14"/>
    </row>
    <row r="468" spans="1:50" ht="17.25" customHeight="1">
      <c r="A468" s="14"/>
      <c r="B468" s="14"/>
      <c r="C468" s="14"/>
      <c r="D468" s="14"/>
      <c r="E468" s="14"/>
      <c r="F468" s="14"/>
      <c r="G468" s="14"/>
      <c r="H468" s="14"/>
      <c r="I468" s="14"/>
      <c r="J468" s="14"/>
      <c r="K468" s="14"/>
      <c r="L468" s="14"/>
      <c r="M468" s="14"/>
      <c r="N468" s="14"/>
      <c r="O468" s="14"/>
      <c r="P468" s="14"/>
      <c r="Q468" s="14"/>
      <c r="R468" s="14"/>
      <c r="S468" s="14"/>
      <c r="T468" s="14"/>
      <c r="U468" s="14"/>
      <c r="V468" s="14"/>
      <c r="W468" s="15"/>
      <c r="X468" s="14"/>
      <c r="Y468" s="14"/>
      <c r="Z468" s="15"/>
      <c r="AA468" s="15"/>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row>
    <row r="469" spans="1:50" ht="17.25" customHeight="1">
      <c r="A469" s="14"/>
      <c r="B469" s="14"/>
      <c r="C469" s="14"/>
      <c r="D469" s="14"/>
      <c r="E469" s="14"/>
      <c r="F469" s="14"/>
      <c r="G469" s="14"/>
      <c r="H469" s="14"/>
      <c r="I469" s="14"/>
      <c r="J469" s="14"/>
      <c r="K469" s="14"/>
      <c r="L469" s="14"/>
      <c r="M469" s="14"/>
      <c r="N469" s="14"/>
      <c r="O469" s="14"/>
      <c r="P469" s="14"/>
      <c r="Q469" s="14"/>
      <c r="R469" s="14"/>
      <c r="S469" s="14"/>
      <c r="T469" s="14"/>
      <c r="U469" s="14"/>
      <c r="V469" s="14"/>
      <c r="W469" s="15"/>
      <c r="X469" s="14"/>
      <c r="Y469" s="14"/>
      <c r="Z469" s="15"/>
      <c r="AA469" s="15"/>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row>
    <row r="470" spans="1:50" ht="17.25" customHeight="1">
      <c r="A470" s="14"/>
      <c r="B470" s="14"/>
      <c r="C470" s="14"/>
      <c r="D470" s="14"/>
      <c r="E470" s="14"/>
      <c r="F470" s="14"/>
      <c r="G470" s="14"/>
      <c r="H470" s="14"/>
      <c r="I470" s="14"/>
      <c r="J470" s="14"/>
      <c r="K470" s="14"/>
      <c r="L470" s="14"/>
      <c r="M470" s="14"/>
      <c r="N470" s="14"/>
      <c r="O470" s="14"/>
      <c r="P470" s="14"/>
      <c r="Q470" s="14"/>
      <c r="R470" s="14"/>
      <c r="S470" s="14"/>
      <c r="T470" s="14"/>
      <c r="U470" s="14"/>
      <c r="V470" s="14"/>
      <c r="W470" s="15"/>
      <c r="X470" s="14"/>
      <c r="Y470" s="14"/>
      <c r="Z470" s="15"/>
      <c r="AA470" s="15"/>
      <c r="AB470" s="14"/>
      <c r="AC470" s="14"/>
      <c r="AD470" s="14"/>
      <c r="AE470" s="14"/>
      <c r="AF470" s="14"/>
      <c r="AG470" s="14"/>
      <c r="AH470" s="14"/>
      <c r="AI470" s="14"/>
      <c r="AJ470" s="14"/>
      <c r="AK470" s="14"/>
      <c r="AL470" s="14"/>
      <c r="AM470" s="14"/>
      <c r="AN470" s="14"/>
      <c r="AO470" s="14"/>
      <c r="AP470" s="14"/>
      <c r="AQ470" s="14"/>
      <c r="AR470" s="14"/>
      <c r="AS470" s="14"/>
      <c r="AT470" s="14"/>
      <c r="AU470" s="14"/>
      <c r="AV470" s="14"/>
      <c r="AW470" s="14"/>
      <c r="AX470" s="14"/>
    </row>
    <row r="471" spans="1:50" ht="17.25" customHeight="1">
      <c r="A471" s="14"/>
      <c r="B471" s="14"/>
      <c r="C471" s="14"/>
      <c r="D471" s="14"/>
      <c r="E471" s="14"/>
      <c r="F471" s="14"/>
      <c r="G471" s="14"/>
      <c r="H471" s="14"/>
      <c r="I471" s="14"/>
      <c r="J471" s="14"/>
      <c r="K471" s="14"/>
      <c r="L471" s="14"/>
      <c r="M471" s="14"/>
      <c r="N471" s="14"/>
      <c r="O471" s="14"/>
      <c r="P471" s="14"/>
      <c r="Q471" s="14"/>
      <c r="R471" s="14"/>
      <c r="S471" s="14"/>
      <c r="T471" s="14"/>
      <c r="U471" s="14"/>
      <c r="V471" s="14"/>
      <c r="W471" s="15"/>
      <c r="X471" s="14"/>
      <c r="Y471" s="14"/>
      <c r="Z471" s="15"/>
      <c r="AA471" s="15"/>
      <c r="AB471" s="14"/>
      <c r="AC471" s="14"/>
      <c r="AD471" s="14"/>
      <c r="AE471" s="14"/>
      <c r="AF471" s="14"/>
      <c r="AG471" s="14"/>
      <c r="AH471" s="14"/>
      <c r="AI471" s="14"/>
      <c r="AJ471" s="14"/>
      <c r="AK471" s="14"/>
      <c r="AL471" s="14"/>
      <c r="AM471" s="14"/>
      <c r="AN471" s="14"/>
      <c r="AO471" s="14"/>
      <c r="AP471" s="14"/>
      <c r="AQ471" s="14"/>
      <c r="AR471" s="14"/>
      <c r="AS471" s="14"/>
      <c r="AT471" s="14"/>
      <c r="AU471" s="14"/>
      <c r="AV471" s="14"/>
      <c r="AW471" s="14"/>
      <c r="AX471" s="14"/>
    </row>
    <row r="472" spans="1:50" ht="17.25" customHeight="1">
      <c r="A472" s="14"/>
      <c r="B472" s="14"/>
      <c r="C472" s="14"/>
      <c r="D472" s="14"/>
      <c r="E472" s="14"/>
      <c r="F472" s="14"/>
      <c r="G472" s="14"/>
      <c r="H472" s="14"/>
      <c r="I472" s="14"/>
      <c r="J472" s="14"/>
      <c r="K472" s="14"/>
      <c r="L472" s="14"/>
      <c r="M472" s="14"/>
      <c r="N472" s="14"/>
      <c r="O472" s="14"/>
      <c r="P472" s="14"/>
      <c r="Q472" s="14"/>
      <c r="R472" s="14"/>
      <c r="S472" s="14"/>
      <c r="T472" s="14"/>
      <c r="U472" s="14"/>
      <c r="V472" s="14"/>
      <c r="W472" s="15"/>
      <c r="X472" s="14"/>
      <c r="Y472" s="14"/>
      <c r="Z472" s="15"/>
      <c r="AA472" s="15"/>
      <c r="AB472" s="14"/>
      <c r="AC472" s="14"/>
      <c r="AD472" s="14"/>
      <c r="AE472" s="14"/>
      <c r="AF472" s="14"/>
      <c r="AG472" s="14"/>
      <c r="AH472" s="14"/>
      <c r="AI472" s="14"/>
      <c r="AJ472" s="14"/>
      <c r="AK472" s="14"/>
      <c r="AL472" s="14"/>
      <c r="AM472" s="14"/>
      <c r="AN472" s="14"/>
      <c r="AO472" s="14"/>
      <c r="AP472" s="14"/>
      <c r="AQ472" s="14"/>
      <c r="AR472" s="14"/>
      <c r="AS472" s="14"/>
      <c r="AT472" s="14"/>
      <c r="AU472" s="14"/>
      <c r="AV472" s="14"/>
      <c r="AW472" s="14"/>
      <c r="AX472" s="14"/>
    </row>
    <row r="473" spans="1:50" ht="17.25" customHeight="1">
      <c r="A473" s="14"/>
      <c r="B473" s="14"/>
      <c r="C473" s="14"/>
      <c r="D473" s="14"/>
      <c r="E473" s="14"/>
      <c r="F473" s="14"/>
      <c r="G473" s="14"/>
      <c r="H473" s="14"/>
      <c r="I473" s="14"/>
      <c r="J473" s="14"/>
      <c r="K473" s="14"/>
      <c r="L473" s="14"/>
      <c r="M473" s="14"/>
      <c r="N473" s="14"/>
      <c r="O473" s="14"/>
      <c r="P473" s="14"/>
      <c r="Q473" s="14"/>
      <c r="R473" s="14"/>
      <c r="S473" s="14"/>
      <c r="T473" s="14"/>
      <c r="U473" s="14"/>
      <c r="V473" s="14"/>
      <c r="W473" s="15"/>
      <c r="X473" s="14"/>
      <c r="Y473" s="14"/>
      <c r="Z473" s="15"/>
      <c r="AA473" s="15"/>
      <c r="AB473" s="14"/>
      <c r="AC473" s="14"/>
      <c r="AD473" s="14"/>
      <c r="AE473" s="14"/>
      <c r="AF473" s="14"/>
      <c r="AG473" s="14"/>
      <c r="AH473" s="14"/>
      <c r="AI473" s="14"/>
      <c r="AJ473" s="14"/>
      <c r="AK473" s="14"/>
      <c r="AL473" s="14"/>
      <c r="AM473" s="14"/>
      <c r="AN473" s="14"/>
      <c r="AO473" s="14"/>
      <c r="AP473" s="14"/>
      <c r="AQ473" s="14"/>
      <c r="AR473" s="14"/>
      <c r="AS473" s="14"/>
      <c r="AT473" s="14"/>
      <c r="AU473" s="14"/>
      <c r="AV473" s="14"/>
      <c r="AW473" s="14"/>
      <c r="AX473" s="14"/>
    </row>
    <row r="474" spans="1:50" ht="17.25" customHeight="1">
      <c r="A474" s="14"/>
      <c r="B474" s="14"/>
      <c r="C474" s="14"/>
      <c r="D474" s="14"/>
      <c r="E474" s="14"/>
      <c r="F474" s="14"/>
      <c r="G474" s="14"/>
      <c r="H474" s="14"/>
      <c r="I474" s="14"/>
      <c r="J474" s="14"/>
      <c r="K474" s="14"/>
      <c r="L474" s="14"/>
      <c r="M474" s="14"/>
      <c r="N474" s="14"/>
      <c r="O474" s="14"/>
      <c r="P474" s="14"/>
      <c r="Q474" s="14"/>
      <c r="R474" s="14"/>
      <c r="S474" s="14"/>
      <c r="T474" s="14"/>
      <c r="U474" s="14"/>
      <c r="V474" s="14"/>
      <c r="W474" s="15"/>
      <c r="X474" s="14"/>
      <c r="Y474" s="14"/>
      <c r="Z474" s="15"/>
      <c r="AA474" s="15"/>
      <c r="AB474" s="14"/>
      <c r="AC474" s="14"/>
      <c r="AD474" s="14"/>
      <c r="AE474" s="14"/>
      <c r="AF474" s="14"/>
      <c r="AG474" s="14"/>
      <c r="AH474" s="14"/>
      <c r="AI474" s="14"/>
      <c r="AJ474" s="14"/>
      <c r="AK474" s="14"/>
      <c r="AL474" s="14"/>
      <c r="AM474" s="14"/>
      <c r="AN474" s="14"/>
      <c r="AO474" s="14"/>
      <c r="AP474" s="14"/>
      <c r="AQ474" s="14"/>
      <c r="AR474" s="14"/>
      <c r="AS474" s="14"/>
      <c r="AT474" s="14"/>
      <c r="AU474" s="14"/>
      <c r="AV474" s="14"/>
    </row>
    <row r="475" spans="1:50" ht="17.25" customHeight="1">
      <c r="A475" s="14"/>
      <c r="B475" s="14"/>
      <c r="C475" s="14"/>
      <c r="D475" s="14"/>
      <c r="E475" s="14"/>
      <c r="F475" s="14"/>
      <c r="G475" s="14"/>
      <c r="H475" s="14"/>
      <c r="I475" s="14"/>
      <c r="J475" s="14"/>
      <c r="K475" s="14"/>
      <c r="L475" s="14"/>
      <c r="M475" s="14"/>
      <c r="N475" s="14"/>
      <c r="O475" s="14"/>
      <c r="P475" s="14"/>
      <c r="Q475" s="14"/>
      <c r="R475" s="14"/>
      <c r="S475" s="14"/>
      <c r="T475" s="14"/>
      <c r="U475" s="14"/>
      <c r="V475" s="14"/>
      <c r="W475" s="15"/>
      <c r="X475" s="14"/>
      <c r="Y475" s="14"/>
      <c r="Z475" s="15"/>
      <c r="AA475" s="15"/>
      <c r="AB475" s="14"/>
      <c r="AC475" s="14"/>
      <c r="AD475" s="14"/>
      <c r="AE475" s="14"/>
      <c r="AF475" s="14"/>
      <c r="AG475" s="14"/>
      <c r="AH475" s="14"/>
      <c r="AI475" s="14"/>
      <c r="AJ475" s="14"/>
      <c r="AK475" s="14"/>
      <c r="AL475" s="14"/>
      <c r="AM475" s="14"/>
      <c r="AN475" s="14"/>
      <c r="AO475" s="14"/>
      <c r="AP475" s="14"/>
      <c r="AQ475" s="14"/>
      <c r="AR475" s="14"/>
      <c r="AS475" s="14"/>
      <c r="AT475" s="14"/>
      <c r="AU475" s="14"/>
      <c r="AV475" s="14"/>
    </row>
    <row r="476" spans="1:50" ht="17.25" customHeight="1">
      <c r="A476" s="14"/>
      <c r="B476" s="14"/>
      <c r="C476" s="14"/>
      <c r="D476" s="14"/>
      <c r="E476" s="14"/>
      <c r="F476" s="14"/>
      <c r="G476" s="14"/>
      <c r="H476" s="14"/>
      <c r="I476" s="14"/>
      <c r="J476" s="14"/>
      <c r="K476" s="14"/>
      <c r="L476" s="14"/>
      <c r="M476" s="14"/>
      <c r="N476" s="14"/>
      <c r="O476" s="14"/>
      <c r="P476" s="14"/>
      <c r="Q476" s="14"/>
      <c r="R476" s="14"/>
      <c r="S476" s="14"/>
      <c r="T476" s="14"/>
      <c r="U476" s="14"/>
      <c r="V476" s="14"/>
      <c r="W476" s="15"/>
      <c r="X476" s="14"/>
      <c r="Y476" s="14"/>
      <c r="Z476" s="15"/>
      <c r="AA476" s="15"/>
      <c r="AB476" s="14"/>
      <c r="AC476" s="14"/>
      <c r="AD476" s="14"/>
      <c r="AE476" s="14"/>
      <c r="AF476" s="14"/>
      <c r="AG476" s="14"/>
      <c r="AH476" s="14"/>
      <c r="AI476" s="14"/>
      <c r="AJ476" s="14"/>
      <c r="AK476" s="14"/>
      <c r="AL476" s="14"/>
      <c r="AM476" s="14"/>
      <c r="AN476" s="14"/>
      <c r="AO476" s="14"/>
      <c r="AP476" s="14"/>
      <c r="AQ476" s="14"/>
      <c r="AR476" s="14"/>
      <c r="AS476" s="14"/>
      <c r="AT476" s="14"/>
      <c r="AU476" s="14"/>
      <c r="AV476" s="14"/>
    </row>
    <row r="477" spans="1:50" ht="17.25" customHeight="1">
      <c r="AO477" s="14"/>
      <c r="AP477" s="14"/>
      <c r="AQ477" s="14"/>
      <c r="AR477" s="14"/>
      <c r="AS477" s="14"/>
      <c r="AT477" s="14"/>
      <c r="AU477" s="14"/>
      <c r="AV477" s="14"/>
    </row>
    <row r="478" spans="1:50" ht="17.25" customHeight="1"/>
    <row r="479" spans="1:50" ht="17.25" customHeight="1"/>
    <row r="480" spans="1:50" ht="17.25" customHeight="1"/>
    <row r="481" ht="17.25" customHeight="1"/>
    <row r="482" ht="17.25" customHeight="1"/>
    <row r="483" ht="17.25" customHeight="1"/>
    <row r="484" ht="17.25" customHeight="1"/>
    <row r="485" ht="17.25" customHeight="1"/>
    <row r="486" ht="17.25" customHeight="1"/>
    <row r="487" ht="17.25" customHeight="1"/>
    <row r="488" ht="17.25" customHeight="1"/>
    <row r="489" ht="17.25" customHeight="1"/>
    <row r="490" ht="17.25" customHeight="1"/>
    <row r="491" ht="17.25" customHeight="1"/>
    <row r="492" ht="17.25" customHeight="1"/>
    <row r="493" ht="17.25" customHeight="1"/>
    <row r="494" ht="17.25" customHeight="1"/>
    <row r="495" ht="17.25" customHeight="1"/>
    <row r="496" ht="17.25" customHeight="1"/>
    <row r="497" ht="17.25" customHeight="1"/>
    <row r="498" ht="17.25" customHeight="1"/>
    <row r="499" ht="17.25" customHeight="1"/>
    <row r="500" ht="17.25" customHeight="1"/>
    <row r="501" ht="17.25" customHeight="1"/>
    <row r="502" ht="17.25" customHeight="1"/>
    <row r="503" ht="17.25" customHeight="1"/>
    <row r="504" ht="17.25" customHeight="1"/>
    <row r="505" ht="17.25" customHeight="1"/>
    <row r="506" ht="17.25" customHeight="1"/>
    <row r="507" ht="17.25" customHeight="1"/>
    <row r="508" ht="17.25" customHeight="1"/>
    <row r="509" ht="17.25" customHeight="1"/>
    <row r="510" ht="17.25" customHeight="1"/>
    <row r="511" ht="17.25" customHeight="1"/>
    <row r="512" ht="17.25" customHeight="1"/>
    <row r="513" ht="17.25" customHeight="1"/>
    <row r="514" ht="17.25" customHeight="1"/>
    <row r="515" ht="17.25" customHeight="1"/>
    <row r="516" ht="17.25" customHeight="1"/>
    <row r="517" ht="17.25" customHeight="1"/>
    <row r="518" ht="17.25" customHeight="1"/>
    <row r="519" ht="17.25" customHeight="1"/>
    <row r="520" ht="17.25" customHeight="1"/>
    <row r="521" ht="17.25" customHeight="1"/>
    <row r="522" ht="17.25" customHeight="1"/>
    <row r="523" ht="17.25" customHeight="1"/>
    <row r="524" ht="17.25" customHeight="1"/>
    <row r="525" ht="17.25" customHeight="1"/>
    <row r="526" ht="17.25" customHeight="1"/>
    <row r="527" ht="17.25" customHeight="1"/>
    <row r="528" ht="17.25" customHeight="1"/>
    <row r="529" ht="17.25" customHeight="1"/>
    <row r="530" ht="17.25" customHeight="1"/>
    <row r="531" ht="17.25" customHeight="1"/>
    <row r="532" ht="17.25" customHeight="1"/>
    <row r="533" ht="17.25" customHeight="1"/>
    <row r="534" ht="17.25" customHeight="1"/>
    <row r="535" ht="17.25" customHeight="1"/>
    <row r="536" ht="17.25" customHeight="1"/>
    <row r="537" ht="17.25" customHeight="1"/>
    <row r="538" ht="17.25" customHeight="1"/>
    <row r="539" ht="17.25" customHeight="1"/>
    <row r="540" ht="17.25" customHeight="1"/>
    <row r="541" ht="17.25" customHeight="1"/>
    <row r="542" ht="17.25" customHeight="1"/>
    <row r="543" ht="17.25" customHeight="1"/>
    <row r="544" ht="17.25" customHeight="1"/>
    <row r="545" ht="17.25" customHeight="1"/>
    <row r="546" ht="17.25" customHeight="1"/>
    <row r="547" ht="17.25" customHeight="1"/>
    <row r="548" ht="17.25" customHeight="1"/>
    <row r="549" ht="17.25" customHeight="1"/>
    <row r="550" ht="17.25" customHeight="1"/>
    <row r="551" ht="17.25" customHeight="1"/>
    <row r="552" ht="17.25" customHeight="1"/>
    <row r="553" ht="17.25" customHeight="1"/>
    <row r="554" ht="17.25" customHeight="1"/>
    <row r="555" ht="17.25" customHeight="1"/>
    <row r="556" ht="17.25" customHeight="1"/>
    <row r="557" ht="17.25" customHeight="1"/>
    <row r="558" ht="17.25" customHeight="1"/>
    <row r="559" ht="17.25" customHeight="1"/>
    <row r="560" ht="17.25" customHeight="1"/>
    <row r="561" ht="17.25" customHeight="1"/>
    <row r="562" ht="17.25" customHeight="1"/>
    <row r="563" ht="17.25" customHeight="1"/>
    <row r="564" ht="17.25" customHeight="1"/>
    <row r="565" ht="17.25" customHeight="1"/>
    <row r="566" ht="17.25" customHeight="1"/>
    <row r="567" ht="17.25" customHeight="1"/>
    <row r="568" ht="17.25" customHeight="1"/>
    <row r="569" ht="17.25" customHeight="1"/>
    <row r="570" ht="17.25" customHeight="1"/>
    <row r="571" ht="17.25" customHeight="1"/>
    <row r="572" ht="17.25" customHeight="1"/>
    <row r="573" ht="17.25" customHeight="1"/>
    <row r="574" ht="17.25" customHeight="1"/>
    <row r="575" ht="17.25" customHeight="1"/>
    <row r="576" ht="17.25" customHeight="1"/>
    <row r="577" ht="17.25" customHeight="1"/>
    <row r="578" ht="17.25" customHeight="1"/>
    <row r="579" ht="17.25" customHeight="1"/>
    <row r="580" ht="17.25" customHeight="1"/>
    <row r="581" ht="17.25" customHeight="1"/>
    <row r="582" ht="17.25" customHeight="1"/>
    <row r="583" ht="17.25" customHeight="1"/>
    <row r="584" ht="17.25" customHeight="1"/>
    <row r="585" ht="17.25" customHeight="1"/>
    <row r="586" ht="17.25" customHeight="1"/>
    <row r="587" ht="17.25" customHeight="1"/>
    <row r="588" ht="17.25" customHeight="1"/>
    <row r="589" ht="17.25" customHeight="1"/>
    <row r="590" ht="17.25" customHeight="1"/>
    <row r="591" ht="17.25" customHeight="1"/>
    <row r="592" ht="17.25" customHeight="1"/>
    <row r="593" ht="17.25" customHeight="1"/>
    <row r="594" ht="17.25" customHeight="1"/>
    <row r="595" ht="17.25" customHeight="1"/>
    <row r="596" ht="17.25" customHeight="1"/>
    <row r="597" ht="17.25" customHeight="1"/>
    <row r="598" ht="17.25" customHeight="1"/>
    <row r="599" ht="17.25" customHeight="1"/>
    <row r="600" ht="17.25" customHeight="1"/>
    <row r="601" ht="17.25" customHeight="1"/>
    <row r="602" ht="17.25" customHeight="1"/>
    <row r="603" ht="17.25" customHeight="1"/>
    <row r="604" ht="17.25" customHeight="1"/>
    <row r="605" ht="17.25" customHeight="1"/>
    <row r="606" ht="17.25" customHeight="1"/>
    <row r="607" ht="17.25" customHeight="1"/>
    <row r="608" ht="17.25" customHeight="1"/>
    <row r="609" ht="17.25" customHeight="1"/>
    <row r="610" ht="17.25" customHeight="1"/>
    <row r="611" ht="17.25" customHeight="1"/>
    <row r="612" ht="17.25" customHeight="1"/>
    <row r="613" ht="17.25" customHeight="1"/>
    <row r="614" ht="17.25" customHeight="1"/>
    <row r="615" ht="17.25" customHeight="1"/>
    <row r="616" ht="17.25" customHeight="1"/>
    <row r="617" ht="17.25" customHeight="1"/>
    <row r="618" ht="17.25" customHeight="1"/>
    <row r="619" ht="17.25" customHeight="1"/>
    <row r="620" ht="17.25" customHeight="1"/>
    <row r="621" ht="17.25" customHeight="1"/>
    <row r="622" ht="17.25" customHeight="1"/>
    <row r="623" ht="17.25" customHeight="1"/>
    <row r="624" ht="17.25" customHeight="1"/>
    <row r="625" ht="17.25" customHeight="1"/>
    <row r="626" ht="17.25" customHeight="1"/>
    <row r="627" ht="17.25" customHeight="1"/>
    <row r="628" ht="17.25" customHeight="1"/>
    <row r="629" ht="17.25" customHeight="1"/>
    <row r="630" ht="17.25" customHeight="1"/>
    <row r="631" ht="17.25" customHeight="1"/>
    <row r="632" ht="17.25" customHeight="1"/>
    <row r="633" ht="17.25" customHeight="1"/>
    <row r="634" ht="17.25" customHeight="1"/>
    <row r="635" ht="17.25" customHeight="1"/>
    <row r="636" ht="17.25" customHeight="1"/>
    <row r="637" ht="17.25" customHeight="1"/>
    <row r="638" ht="17.25" customHeight="1"/>
    <row r="639" ht="17.25" customHeight="1"/>
    <row r="640" ht="17.25" customHeight="1"/>
    <row r="641" ht="17.25" customHeight="1"/>
    <row r="642" ht="17.25" customHeight="1"/>
    <row r="643" ht="17.25" customHeight="1"/>
    <row r="644" ht="17.25" customHeight="1"/>
    <row r="645" ht="17.25" customHeight="1"/>
    <row r="646" ht="17.25" customHeight="1"/>
    <row r="647" ht="17.25" customHeight="1"/>
    <row r="648" ht="17.25" customHeight="1"/>
    <row r="649" ht="17.25" customHeight="1"/>
    <row r="650" ht="17.25" customHeight="1"/>
    <row r="651" ht="17.25" customHeight="1"/>
    <row r="652" ht="17.25" customHeight="1"/>
    <row r="653" ht="17.25" customHeight="1"/>
    <row r="654" ht="17.25" customHeight="1"/>
    <row r="655" ht="17.25" customHeight="1"/>
    <row r="656" ht="17.25" customHeight="1"/>
    <row r="657" ht="21" customHeight="1"/>
    <row r="658" ht="45" customHeight="1"/>
    <row r="659" ht="17.25" customHeight="1"/>
    <row r="660" ht="17.25" customHeight="1"/>
    <row r="661" ht="17.25" customHeight="1"/>
    <row r="662" ht="17.25" customHeight="1"/>
    <row r="663" ht="17.25" customHeight="1"/>
    <row r="664" ht="17.25" customHeight="1"/>
    <row r="665" ht="17.25" customHeight="1"/>
    <row r="666" ht="17.25" customHeight="1"/>
    <row r="667" ht="17.25" customHeight="1"/>
    <row r="668" ht="17.25" customHeight="1"/>
    <row r="669" ht="17.25" customHeight="1"/>
    <row r="670" ht="17.25" customHeight="1"/>
    <row r="671" ht="17.25" customHeight="1"/>
    <row r="672" ht="17.25" customHeight="1"/>
    <row r="673" ht="17.25" customHeight="1"/>
    <row r="674" ht="17.25" customHeight="1"/>
    <row r="675" ht="17.25" customHeight="1"/>
    <row r="676" ht="17.25" customHeight="1"/>
    <row r="677" ht="17.25" customHeight="1"/>
    <row r="678" ht="17.25" customHeight="1"/>
    <row r="679" ht="17.25" customHeight="1"/>
    <row r="680" ht="17.25" customHeight="1"/>
    <row r="681" ht="17.25" customHeight="1"/>
    <row r="682" ht="17.25" customHeight="1"/>
    <row r="683" ht="17.25" customHeight="1"/>
    <row r="684" ht="17.25" customHeight="1"/>
    <row r="685" ht="17.25" customHeight="1"/>
    <row r="686" ht="17.25" customHeight="1"/>
    <row r="687" ht="17.25" customHeight="1"/>
    <row r="688" ht="17.25" customHeight="1"/>
    <row r="689" ht="17.25" customHeight="1"/>
    <row r="690" ht="17.25" customHeight="1"/>
    <row r="691" ht="17.25" customHeight="1"/>
    <row r="692" ht="17.25" customHeight="1"/>
    <row r="693" ht="17.25" customHeight="1"/>
    <row r="694" ht="17.25" customHeight="1"/>
    <row r="695" ht="17.25" customHeight="1"/>
    <row r="696" ht="17.25" customHeight="1"/>
    <row r="697" ht="17.25" customHeight="1"/>
    <row r="698" ht="17.25" customHeight="1"/>
    <row r="699" ht="17.25" customHeight="1"/>
    <row r="700" ht="17.25" customHeight="1"/>
    <row r="701" ht="17.25" customHeight="1"/>
    <row r="702" ht="17.25" customHeight="1"/>
    <row r="703" ht="17.25" customHeight="1"/>
    <row r="704" ht="17.25" customHeight="1"/>
    <row r="705" spans="1:40" ht="17.25" customHeight="1"/>
    <row r="706" spans="1:40" ht="17.25" customHeight="1"/>
    <row r="707" spans="1:40" ht="17.25" customHeight="1"/>
    <row r="708" spans="1:40" ht="17.25" customHeight="1">
      <c r="A708" s="9"/>
      <c r="B708" s="5"/>
      <c r="C708" s="14"/>
      <c r="D708" s="14"/>
      <c r="E708" s="14"/>
      <c r="F708" s="14"/>
      <c r="G708" s="14"/>
      <c r="H708" s="14"/>
      <c r="I708" s="14"/>
      <c r="J708" s="14"/>
      <c r="K708" s="14"/>
      <c r="L708" s="14"/>
      <c r="M708" s="14"/>
      <c r="N708" s="14"/>
      <c r="O708" s="14"/>
      <c r="P708" s="14"/>
      <c r="Q708" s="14"/>
      <c r="R708" s="14"/>
      <c r="S708" s="14"/>
      <c r="T708" s="14"/>
      <c r="U708" s="14"/>
      <c r="V708" s="14"/>
      <c r="W708" s="15"/>
      <c r="X708" s="14"/>
      <c r="Y708" s="14"/>
      <c r="Z708" s="15"/>
      <c r="AA708" s="15"/>
      <c r="AB708" s="14"/>
      <c r="AC708" s="14"/>
      <c r="AD708" s="14"/>
      <c r="AE708" s="14"/>
      <c r="AF708" s="14"/>
      <c r="AG708" s="14"/>
      <c r="AH708" s="14"/>
      <c r="AI708" s="9"/>
      <c r="AJ708" s="9"/>
      <c r="AK708" s="9"/>
      <c r="AL708" s="9"/>
      <c r="AM708" s="9"/>
      <c r="AN708" s="9"/>
    </row>
    <row r="709" spans="1:40" s="9" customFormat="1" ht="15.75" customHeight="1">
      <c r="B709" s="5"/>
      <c r="C709" s="14"/>
      <c r="D709" s="14"/>
      <c r="E709" s="14"/>
      <c r="F709" s="14"/>
      <c r="G709" s="14"/>
      <c r="H709" s="14"/>
      <c r="I709" s="14"/>
      <c r="J709" s="14"/>
      <c r="K709" s="14"/>
      <c r="L709" s="14"/>
      <c r="M709" s="14"/>
      <c r="N709" s="14"/>
      <c r="O709" s="14"/>
      <c r="P709" s="14"/>
      <c r="Q709" s="14"/>
      <c r="R709" s="14"/>
      <c r="S709" s="14"/>
      <c r="T709" s="14"/>
      <c r="U709" s="14"/>
      <c r="V709" s="14"/>
      <c r="W709" s="15"/>
      <c r="X709" s="14"/>
      <c r="Y709" s="14"/>
      <c r="Z709" s="15"/>
      <c r="AA709" s="15"/>
      <c r="AB709" s="14"/>
      <c r="AC709" s="14"/>
      <c r="AD709" s="14"/>
      <c r="AE709" s="14"/>
      <c r="AF709" s="14"/>
      <c r="AG709" s="14"/>
      <c r="AH709" s="14"/>
    </row>
    <row r="710" spans="1:40" s="9" customFormat="1" ht="15.75" customHeight="1">
      <c r="B710" s="5"/>
      <c r="C710" s="14"/>
      <c r="D710" s="14"/>
      <c r="E710" s="14"/>
      <c r="F710" s="14"/>
      <c r="G710" s="14"/>
      <c r="H710" s="14"/>
      <c r="I710" s="14"/>
      <c r="J710" s="14"/>
      <c r="K710" s="14"/>
      <c r="L710" s="14"/>
      <c r="M710" s="14"/>
      <c r="N710" s="14"/>
      <c r="O710" s="14"/>
      <c r="P710" s="14"/>
      <c r="Q710" s="14"/>
      <c r="R710" s="14"/>
      <c r="S710" s="14"/>
      <c r="T710" s="14"/>
      <c r="U710" s="14"/>
      <c r="V710" s="14"/>
      <c r="W710" s="15"/>
      <c r="X710" s="14"/>
      <c r="Y710" s="14"/>
      <c r="Z710" s="15"/>
      <c r="AA710" s="15"/>
      <c r="AB710" s="14"/>
      <c r="AC710" s="14"/>
      <c r="AD710" s="14"/>
      <c r="AE710" s="14"/>
      <c r="AF710" s="14"/>
      <c r="AG710" s="14"/>
      <c r="AH710" s="14"/>
    </row>
    <row r="711" spans="1:40" s="9" customFormat="1" ht="15.75" customHeight="1">
      <c r="B711" s="5"/>
      <c r="C711" s="14"/>
      <c r="D711" s="14"/>
      <c r="E711" s="14"/>
      <c r="F711" s="14"/>
      <c r="G711" s="14"/>
      <c r="H711" s="14"/>
      <c r="I711" s="14"/>
      <c r="J711" s="14"/>
      <c r="K711" s="14"/>
      <c r="L711" s="14"/>
      <c r="M711" s="14"/>
      <c r="N711" s="14"/>
      <c r="O711" s="14"/>
      <c r="P711" s="14"/>
      <c r="Q711" s="14"/>
      <c r="R711" s="14"/>
      <c r="S711" s="14"/>
      <c r="T711" s="14"/>
      <c r="U711" s="14"/>
      <c r="V711" s="14"/>
      <c r="W711" s="15"/>
      <c r="X711" s="14"/>
      <c r="Y711" s="14"/>
      <c r="Z711" s="15"/>
      <c r="AA711" s="15"/>
      <c r="AB711" s="14"/>
      <c r="AC711" s="14"/>
      <c r="AD711" s="14"/>
      <c r="AE711" s="14"/>
      <c r="AF711" s="14"/>
      <c r="AG711" s="14"/>
      <c r="AH711" s="14"/>
    </row>
    <row r="712" spans="1:40" s="9" customFormat="1" ht="15.75" customHeight="1">
      <c r="B712" s="5"/>
      <c r="C712" s="14"/>
      <c r="D712" s="14"/>
      <c r="E712" s="14"/>
      <c r="F712" s="14"/>
      <c r="G712" s="14"/>
      <c r="H712" s="14"/>
      <c r="I712" s="14"/>
      <c r="J712" s="14"/>
      <c r="K712" s="14"/>
      <c r="L712" s="14"/>
      <c r="M712" s="14"/>
      <c r="N712" s="14"/>
      <c r="O712" s="14"/>
      <c r="P712" s="14"/>
      <c r="Q712" s="14"/>
      <c r="R712" s="14"/>
      <c r="S712" s="14"/>
      <c r="T712" s="14"/>
      <c r="U712" s="14"/>
      <c r="V712" s="14"/>
      <c r="W712" s="15"/>
      <c r="X712" s="14"/>
      <c r="Y712" s="14"/>
      <c r="Z712" s="15"/>
      <c r="AA712" s="15"/>
      <c r="AB712" s="14"/>
      <c r="AC712" s="14"/>
      <c r="AD712" s="14"/>
      <c r="AE712" s="14"/>
      <c r="AF712" s="14"/>
      <c r="AG712" s="14"/>
      <c r="AH712" s="14"/>
    </row>
    <row r="713" spans="1:40" s="9" customFormat="1" ht="15.75" customHeight="1">
      <c r="A713"/>
      <c r="B713" s="5"/>
      <c r="C713" s="13"/>
      <c r="D713" s="13"/>
      <c r="E713" s="13"/>
      <c r="F713" s="13"/>
      <c r="G713" s="13"/>
      <c r="H713" s="13"/>
      <c r="I713" s="2"/>
      <c r="J713" s="13"/>
      <c r="K713" s="13"/>
      <c r="L713" s="13"/>
      <c r="M713" s="13"/>
      <c r="N713" s="13"/>
      <c r="O713" s="2"/>
      <c r="P713" s="13"/>
      <c r="Q713" s="13"/>
      <c r="R713" s="13"/>
      <c r="S713" s="13"/>
      <c r="T713" s="13"/>
      <c r="U713" s="13"/>
      <c r="V713" s="13"/>
      <c r="W713" s="8"/>
      <c r="X713" s="13"/>
      <c r="Y713" s="13"/>
      <c r="Z713" s="8"/>
      <c r="AA713" s="8"/>
      <c r="AB713" s="13"/>
      <c r="AC713" s="13"/>
      <c r="AD713" s="13"/>
      <c r="AE713" s="13"/>
      <c r="AF713" s="13"/>
      <c r="AG713" s="13"/>
      <c r="AH713" s="13"/>
      <c r="AI713"/>
      <c r="AJ713"/>
      <c r="AK713"/>
      <c r="AL713"/>
      <c r="AM713"/>
      <c r="AN713"/>
    </row>
    <row r="714" spans="1:40" ht="15.75" customHeight="1"/>
  </sheetData>
  <hyperlinks>
    <hyperlink ref="V2" r:id="rId1" xr:uid="{848D0438-002F-D54E-B06E-904EC463DE54}"/>
    <hyperlink ref="V3" r:id="rId2" xr:uid="{A0DCB9A2-2FD4-F343-93D3-6C6CCA83CD01}"/>
    <hyperlink ref="V4" r:id="rId3" xr:uid="{4CD7A063-9C9E-224C-9BA1-DE95FC1CCABC}"/>
    <hyperlink ref="V5" r:id="rId4" xr:uid="{7CDDF452-B5D4-C34D-BE59-A871DD342D55}"/>
    <hyperlink ref="V6" r:id="rId5" xr:uid="{935C3D1B-3A6C-9344-B414-A11457A463D8}"/>
    <hyperlink ref="V7" r:id="rId6" xr:uid="{E9864D79-2F09-B243-8C5B-471191A9718C}"/>
    <hyperlink ref="V8" r:id="rId7" xr:uid="{2395833A-8E43-6546-B052-1A01D54EF312}"/>
    <hyperlink ref="V9" r:id="rId8" xr:uid="{43A8DA06-4564-0B47-89B4-EEDE19652B45}"/>
    <hyperlink ref="V10" r:id="rId9" xr:uid="{E76209BC-4E4B-4749-8AEB-88ED80D3A4D5}"/>
    <hyperlink ref="V11" r:id="rId10" xr:uid="{EFD5CF5B-4D73-1F43-B812-4873F1587D72}"/>
    <hyperlink ref="V12" r:id="rId11" xr:uid="{FB75701E-EA6D-5A40-BE75-FE8F67ABE51E}"/>
    <hyperlink ref="V13" r:id="rId12" xr:uid="{EF51E498-733A-2043-BA05-532D6B1F4C90}"/>
    <hyperlink ref="V14" r:id="rId13" xr:uid="{C1A3DCEF-CBBB-B149-99D1-27ABC00A9B63}"/>
    <hyperlink ref="V15" r:id="rId14" xr:uid="{C7A074EF-2BC8-CC49-8FA0-64D0044E3787}"/>
    <hyperlink ref="V16" r:id="rId15" xr:uid="{2982C81E-BB9F-6643-89ED-618F970A4707}"/>
    <hyperlink ref="V17" r:id="rId16" xr:uid="{164D52BD-BA2D-5444-BAD5-AC096DA228D1}"/>
    <hyperlink ref="V18" r:id="rId17" xr:uid="{CF73577A-C1F0-5C4A-8C95-993906217C2E}"/>
    <hyperlink ref="V19" r:id="rId18" xr:uid="{4278A0E5-1DCB-454E-BC7B-97524FFFF594}"/>
    <hyperlink ref="V20" r:id="rId19" xr:uid="{EF451D24-7B81-EE4D-A3BA-416DEEC68FF2}"/>
    <hyperlink ref="V21" r:id="rId20" xr:uid="{4F8B8376-587E-4C40-A742-60E7F848CF39}"/>
    <hyperlink ref="V22" r:id="rId21" xr:uid="{2CA330CC-1781-EB4D-9384-955EB930D71D}"/>
    <hyperlink ref="V23" r:id="rId22" xr:uid="{D9E09A1E-1D2D-7D44-880A-A2AA6EAA86EE}"/>
    <hyperlink ref="V24" r:id="rId23" xr:uid="{0F40D0ED-5C12-F444-A7F2-AC376FF189CD}"/>
    <hyperlink ref="V25" r:id="rId24" xr:uid="{4224B852-AF58-6743-AADE-7BB6F7B863C7}"/>
    <hyperlink ref="V26" r:id="rId25" xr:uid="{95AD5CE4-A88C-B54A-954E-9642555CC737}"/>
    <hyperlink ref="V27" r:id="rId26" xr:uid="{ADAEE679-D3AA-B745-80FB-B276A0C808C5}"/>
    <hyperlink ref="V28" r:id="rId27" xr:uid="{46C1DF27-F7D3-3D4F-BE19-440BA26E7E2C}"/>
    <hyperlink ref="V29" r:id="rId28" xr:uid="{9398F2EB-AF3D-054A-BF81-2AC775D362DC}"/>
    <hyperlink ref="V30" r:id="rId29" xr:uid="{413FD5A1-83CE-2A4B-B367-DBB502E66447}"/>
    <hyperlink ref="V31" r:id="rId30" xr:uid="{B1153DE2-1573-FB41-9CA3-BE3212ECD053}"/>
    <hyperlink ref="V32" r:id="rId31" xr:uid="{5395D650-08EE-FE4E-A789-32E279BB6985}"/>
    <hyperlink ref="V33" r:id="rId32" xr:uid="{3D743F7A-031D-EE46-B903-6EF28E3A74C3}"/>
    <hyperlink ref="V34" r:id="rId33" xr:uid="{5A915E99-D4E1-1245-B440-9EDB8D042616}"/>
    <hyperlink ref="V35" r:id="rId34" xr:uid="{5D8B5998-FA1E-4D49-BD4E-4E03B7F4C00A}"/>
    <hyperlink ref="V36" r:id="rId35" xr:uid="{596D44C2-3EE4-FD46-B325-7407845897F3}"/>
    <hyperlink ref="V37" r:id="rId36" xr:uid="{4389E8B0-C2E8-644B-9255-FFF0B441AA0B}"/>
    <hyperlink ref="V38" r:id="rId37" xr:uid="{506EE4E6-D2FF-E843-B349-E983D7F1EDFB}"/>
    <hyperlink ref="V39" r:id="rId38" xr:uid="{BC96831A-7EFF-0A44-888A-37C783FCB169}"/>
    <hyperlink ref="V40" r:id="rId39" xr:uid="{36E83F54-E9F1-884D-9BF0-B6E5DCF02001}"/>
    <hyperlink ref="V41" r:id="rId40" xr:uid="{6A611E51-86A4-5445-B9F4-5B621073CF87}"/>
    <hyperlink ref="V42" r:id="rId41" xr:uid="{60D41CEB-61FE-7E49-8BC8-9B0170CFC7C8}"/>
    <hyperlink ref="V43" r:id="rId42" xr:uid="{B6B98F3E-C44F-7246-A934-7369D04F5652}"/>
    <hyperlink ref="V44" r:id="rId43" xr:uid="{8BF54C82-9271-0646-9BF1-61FAD72BB0FA}"/>
    <hyperlink ref="V45" r:id="rId44" xr:uid="{3702B349-FC8D-2E46-9968-1CDFE8EB0145}"/>
    <hyperlink ref="V46" r:id="rId45" xr:uid="{85D3319F-A770-8B4F-952C-47F660077CB7}"/>
    <hyperlink ref="V47" r:id="rId46" xr:uid="{40F551AA-8C0C-6B41-8167-55A188D856C4}"/>
    <hyperlink ref="V48" r:id="rId47" xr:uid="{36DA170D-4B2B-494F-8C8D-51576D7B379E}"/>
    <hyperlink ref="V49" r:id="rId48" xr:uid="{8DF084B1-0837-6546-ABCC-4F69CC3EEAD5}"/>
    <hyperlink ref="V50" r:id="rId49" xr:uid="{2C911EB3-C212-9444-BC7C-F5C78E66310D}"/>
    <hyperlink ref="V51" r:id="rId50" xr:uid="{ECBAC51A-150B-D549-85A5-6B86FFCE36A6}"/>
    <hyperlink ref="V52" r:id="rId51" xr:uid="{16F39EFA-2ED7-634D-979D-983979C561DA}"/>
    <hyperlink ref="V53" r:id="rId52" xr:uid="{2AEF63C7-4F69-0746-BF7D-40712EB8BF92}"/>
    <hyperlink ref="V54" r:id="rId53" xr:uid="{B2B04302-A283-0646-9236-FE0DB66C54C2}"/>
    <hyperlink ref="V55" r:id="rId54" xr:uid="{DF035BA0-1010-4A43-9C56-EF4AFDA563EA}"/>
    <hyperlink ref="V56" r:id="rId55" xr:uid="{F06093A4-15B5-4B4B-AA9A-CC1BE8116F45}"/>
    <hyperlink ref="V57" r:id="rId56" xr:uid="{1B4D12E8-F5F1-234B-82A8-4DF50283E329}"/>
    <hyperlink ref="V58" r:id="rId57" xr:uid="{632DF890-C120-434B-AE87-564E3BE836DC}"/>
    <hyperlink ref="V59" r:id="rId58" xr:uid="{6265FA5B-5CCE-874E-830D-921A1892A1AC}"/>
    <hyperlink ref="V60" r:id="rId59" xr:uid="{697B8EFA-EE9A-A549-801E-303E826D00CB}"/>
    <hyperlink ref="V61" r:id="rId60" xr:uid="{B2D562C9-4F4E-414A-AAC8-15D1AE62881D}"/>
    <hyperlink ref="V62" r:id="rId61" xr:uid="{C94C9CE7-D6DA-6142-8BFE-B83623D54047}"/>
    <hyperlink ref="V63" r:id="rId62" xr:uid="{58F461E0-DD92-EB48-858F-5593BA6AA30E}"/>
    <hyperlink ref="V64" r:id="rId63" xr:uid="{3FABA8CA-A6D9-7C4B-8CBB-F755E040FAF5}"/>
    <hyperlink ref="V65" r:id="rId64" xr:uid="{BE7F1237-CF50-DB41-8E32-BE4D3AB98045}"/>
    <hyperlink ref="V66" r:id="rId65" xr:uid="{167AA944-C725-DA4C-9062-24B37989E5B9}"/>
    <hyperlink ref="V67" r:id="rId66" xr:uid="{9618CDB7-2EF3-DE41-83B3-A78FE923D592}"/>
    <hyperlink ref="V68" r:id="rId67" xr:uid="{7F5DD6BB-EB04-F740-81AA-EDFB4A4B286B}"/>
    <hyperlink ref="V69" r:id="rId68" xr:uid="{029D0549-E813-9540-B80F-8FD544A6648E}"/>
    <hyperlink ref="V70" r:id="rId69" xr:uid="{49712A3E-55C6-F344-9EFC-4370102AB42A}"/>
    <hyperlink ref="V71" r:id="rId70" xr:uid="{EFE9C070-704A-BC47-B409-42AB542E962A}"/>
    <hyperlink ref="V72" r:id="rId71" xr:uid="{2454ABFD-7FB9-9441-8485-B405AD9DFF55}"/>
    <hyperlink ref="V73" r:id="rId72" xr:uid="{C119CF9A-93A5-3B49-8EEE-D70876056A3F}"/>
    <hyperlink ref="V74" r:id="rId73" xr:uid="{7CB56899-1ECC-3D42-A0F8-FF66340921D5}"/>
    <hyperlink ref="V75" r:id="rId74" xr:uid="{F57FA46A-D58B-F749-B92C-2D9F73717A92}"/>
    <hyperlink ref="V76" r:id="rId75" xr:uid="{5C96C758-362A-BB47-B4D3-1E8BC0DA9713}"/>
    <hyperlink ref="V77" r:id="rId76" xr:uid="{7FE34F30-D8FA-D148-B237-1EA1A3AD8093}"/>
    <hyperlink ref="V78" r:id="rId77" xr:uid="{15F4F7B0-2C1E-2B47-8C4B-48960528278E}"/>
    <hyperlink ref="V79" r:id="rId78" xr:uid="{EA8E99A3-6008-384A-9355-2FBB43A99309}"/>
    <hyperlink ref="V80" r:id="rId79" xr:uid="{358443CB-3271-0D40-AB16-126C7150FC30}"/>
    <hyperlink ref="V81" r:id="rId80" xr:uid="{2AFD79AF-A685-344B-92B8-9F06BCA8A5A0}"/>
    <hyperlink ref="V82" r:id="rId81" xr:uid="{B89A2DB5-9118-794C-9716-FBFEC8A4E216}"/>
    <hyperlink ref="V83" r:id="rId82" xr:uid="{BB8D264A-379B-364C-8084-473C0A7BEDC8}"/>
    <hyperlink ref="V84" r:id="rId83" xr:uid="{4DCA6188-01EF-E94C-8932-C2CD50A8CB17}"/>
    <hyperlink ref="V85" r:id="rId84" xr:uid="{B1A1C6C7-DCF6-C14B-B84C-C07C15E78A51}"/>
    <hyperlink ref="V86" r:id="rId85" xr:uid="{77FDD530-DFBC-4549-B4A9-33B43DD3C5D4}"/>
    <hyperlink ref="V87" r:id="rId86" xr:uid="{4AF273F4-F1FF-7C4D-9CC2-7B652E616E05}"/>
    <hyperlink ref="V88" r:id="rId87" xr:uid="{0D49B442-72BF-0D4F-B79A-81D76EB500A9}"/>
    <hyperlink ref="V89" r:id="rId88" xr:uid="{74CAD49C-840E-0441-BC54-1B21B39EBE98}"/>
    <hyperlink ref="V90" r:id="rId89" xr:uid="{662385CA-15AC-D143-A7DF-74138B5ADE23}"/>
    <hyperlink ref="V91" r:id="rId90" xr:uid="{29E3CC5C-CC48-EA4D-8669-E9B7F2D1CD08}"/>
    <hyperlink ref="V92" r:id="rId91" xr:uid="{31D049DB-8641-3948-A2B6-42A116D86442}"/>
    <hyperlink ref="V93" r:id="rId92" xr:uid="{1CD51EC3-97E4-3846-8961-E03B6E760759}"/>
    <hyperlink ref="V94" r:id="rId93" xr:uid="{3778C433-D7FE-6848-9854-0D00D8DB451A}"/>
    <hyperlink ref="V95" r:id="rId94" xr:uid="{CC1B453B-FDC7-0D43-86AA-AEE1A7501B30}"/>
    <hyperlink ref="V96" r:id="rId95" xr:uid="{4308827B-517A-284B-AF0C-8DE53101DA57}"/>
    <hyperlink ref="V97" r:id="rId96" xr:uid="{D624A320-225F-414C-98D1-E153EFF94AC7}"/>
    <hyperlink ref="V98" r:id="rId97" xr:uid="{75FD1BAD-4878-8445-AEF5-B990D87ED48B}"/>
    <hyperlink ref="V99" r:id="rId98" xr:uid="{2D0F312F-CCC4-2D45-B218-BF2CDB135DBF}"/>
    <hyperlink ref="V100" r:id="rId99" xr:uid="{9E4105DD-1A45-DB40-ADB9-39437200FA82}"/>
    <hyperlink ref="V101" r:id="rId100" xr:uid="{09DA4E0A-0670-0F48-9FD3-763048FD01F4}"/>
    <hyperlink ref="V102" r:id="rId101" xr:uid="{7F7B21B7-76C7-4B4C-8905-E2AE05ACA7FD}"/>
    <hyperlink ref="V103" r:id="rId102" xr:uid="{114642D3-6532-6A47-A8AB-729DE049A013}"/>
    <hyperlink ref="V104" r:id="rId103" xr:uid="{E088A4EA-50DE-2D43-984E-92D5387E379D}"/>
    <hyperlink ref="V105" r:id="rId104" xr:uid="{439F38B9-F73D-2540-8A70-B28D69B5FB31}"/>
    <hyperlink ref="V106" r:id="rId105" xr:uid="{600699B0-70FC-734E-87C1-D6F23E5241E3}"/>
    <hyperlink ref="V107" r:id="rId106" xr:uid="{2C798A21-A783-4B45-B742-3B44AD991763}"/>
    <hyperlink ref="V108" r:id="rId107" xr:uid="{4B7F261A-6E65-DE43-AD88-91053F71D68C}"/>
    <hyperlink ref="V109" r:id="rId108" xr:uid="{FDA985F4-6FC1-5247-B0C4-881CD15C573E}"/>
    <hyperlink ref="V110" r:id="rId109" xr:uid="{3174B010-5CA6-524B-8EC3-3BD0E29E476A}"/>
    <hyperlink ref="V111" r:id="rId110" xr:uid="{1471439C-50DB-F949-A71D-0BCDB7FEB35F}"/>
    <hyperlink ref="V112" r:id="rId111" xr:uid="{0676B274-C6B7-CC4F-BBFC-3D7345D95004}"/>
    <hyperlink ref="V113" r:id="rId112" xr:uid="{F34DD100-43CA-AE41-AE77-847FAD86DC1B}"/>
    <hyperlink ref="V114" r:id="rId113" xr:uid="{3C2F1BB9-F531-4A4C-A016-CD14BA3B3DC8}"/>
    <hyperlink ref="V115" r:id="rId114" xr:uid="{E8D10576-8736-F545-885E-6E6A6802CB0A}"/>
    <hyperlink ref="V116" r:id="rId115" xr:uid="{E621DA69-AA43-504F-918D-EE178C7CF080}"/>
    <hyperlink ref="V117" r:id="rId116" xr:uid="{01E77910-89B1-BC46-B877-5DB189EF3A81}"/>
    <hyperlink ref="V118" r:id="rId117" xr:uid="{0F6E94C7-CE14-204B-8017-CC26F60EB517}"/>
    <hyperlink ref="V119" r:id="rId118" xr:uid="{4F131804-43FD-F849-B36E-2FAD1B64DDBD}"/>
    <hyperlink ref="V120" r:id="rId119" xr:uid="{8033B379-0278-C043-935E-F1CCDFF38753}"/>
    <hyperlink ref="V121" r:id="rId120" xr:uid="{4A23D3EF-F7B1-AD41-9B03-9DF7F54E9965}"/>
    <hyperlink ref="V122" r:id="rId121" xr:uid="{9C2667F8-EBAC-5D42-996E-29D8ECB85D4C}"/>
    <hyperlink ref="V123" r:id="rId122" xr:uid="{EFDDA217-01CA-F345-B7EA-354B374363CA}"/>
    <hyperlink ref="V124" r:id="rId123" xr:uid="{29F455E7-D958-1A4D-8E74-2474F4E70D57}"/>
    <hyperlink ref="V125" r:id="rId124" xr:uid="{B9EA448E-916E-EC43-B633-0625BCFA5277}"/>
    <hyperlink ref="V126" r:id="rId125" xr:uid="{B19DE029-5E9B-4B41-B2B0-68F9BD9B8226}"/>
    <hyperlink ref="V127" r:id="rId126" xr:uid="{51CBC7F8-D2AA-C74D-B8FA-CE1B58936437}"/>
    <hyperlink ref="V128" r:id="rId127" xr:uid="{079B72F2-2E83-9442-BE5A-C129F97AD78D}"/>
    <hyperlink ref="V129" r:id="rId128" xr:uid="{EF865E0B-A663-FC4C-98B6-06A738658C42}"/>
    <hyperlink ref="V130" r:id="rId129" xr:uid="{78335C6D-56BC-8A4A-8304-F56201C469D0}"/>
    <hyperlink ref="V131" r:id="rId130" xr:uid="{905B63BA-049D-5F4F-988F-724355697733}"/>
    <hyperlink ref="V132" r:id="rId131" xr:uid="{881FED6E-9F53-FC47-A385-6C42F56C7623}"/>
    <hyperlink ref="V133" r:id="rId132" xr:uid="{65AA06BC-4AAF-3E4C-9338-FC79818FFC01}"/>
    <hyperlink ref="V134" r:id="rId133" xr:uid="{2C15827C-421A-264D-9E68-E5C1C49FBCD7}"/>
    <hyperlink ref="V135" r:id="rId134" xr:uid="{F98B28B8-FFFE-7141-8977-1B0AF240FA15}"/>
    <hyperlink ref="V136" r:id="rId135" xr:uid="{9E07E998-ACA2-8B4D-AF4E-B8C2510519C5}"/>
    <hyperlink ref="V137" r:id="rId136" xr:uid="{A0800B48-55EF-B04E-B0CB-367D7455411F}"/>
    <hyperlink ref="V138" r:id="rId137" xr:uid="{FECB2A62-ECC1-214C-B83E-86C5C84E4DB8}"/>
    <hyperlink ref="V139" r:id="rId138" xr:uid="{F3F7419F-D974-244D-BAFC-67D518023283}"/>
    <hyperlink ref="V140" r:id="rId139" xr:uid="{F2DDFD3F-2FBC-304C-BA1B-10A43AD0C754}"/>
    <hyperlink ref="V141" r:id="rId140" xr:uid="{C603745C-AEAF-C34D-B4D5-C123DE9AA82B}"/>
    <hyperlink ref="V142" r:id="rId141" xr:uid="{DC7FE9E0-5202-254D-8FC8-FB8104163A7D}"/>
    <hyperlink ref="V143" r:id="rId142" xr:uid="{F274D730-E656-AE46-AE33-7F99FC9373EC}"/>
    <hyperlink ref="V144" r:id="rId143" xr:uid="{50E244DB-83D7-F74D-A816-0AD378E45463}"/>
    <hyperlink ref="V145" r:id="rId144" xr:uid="{24EFFD50-5408-F748-A049-4576D16D2466}"/>
    <hyperlink ref="V146" r:id="rId145" xr:uid="{C16C96C1-3568-7B4D-9694-9FE665F6DACA}"/>
    <hyperlink ref="V147" r:id="rId146" xr:uid="{F74434C8-5B2A-8E45-A3EF-02B329147B62}"/>
    <hyperlink ref="V148" r:id="rId147" xr:uid="{DE63847A-80DD-914E-B3A6-5ABD679F50A2}"/>
    <hyperlink ref="V149" r:id="rId148" xr:uid="{912881E3-F0B0-844D-B770-FFEBFA7B9058}"/>
    <hyperlink ref="V150" r:id="rId149" xr:uid="{6242241D-1CDA-CF48-B4C4-FEAE36D5A440}"/>
    <hyperlink ref="V151" r:id="rId150" xr:uid="{3806E33A-E8D0-B64D-975D-37F1F1E0A017}"/>
    <hyperlink ref="V152" r:id="rId151" xr:uid="{6C1A3AE7-EE24-8143-8D5B-0C56C9803771}"/>
    <hyperlink ref="V153" r:id="rId152" xr:uid="{84919136-4B33-EE40-89CD-A1B37BF8A24F}"/>
    <hyperlink ref="V154" r:id="rId153" xr:uid="{C09F220B-7142-E646-904A-550D512C5F04}"/>
    <hyperlink ref="V155" r:id="rId154" xr:uid="{E4B58536-8CFC-CF49-84D9-32CA1F62C48D}"/>
    <hyperlink ref="V156" r:id="rId155" xr:uid="{FF608719-4EE0-E14F-ACDD-09C6FEAA7A6D}"/>
    <hyperlink ref="V157" r:id="rId156" xr:uid="{C66FCEF8-0C8B-9248-B6FE-84CBCDF46CA7}"/>
    <hyperlink ref="V158" r:id="rId157" xr:uid="{8B1684E8-A543-F746-9969-3B6F218C15DC}"/>
    <hyperlink ref="V159" r:id="rId158" xr:uid="{419AD6FE-5BC2-1A45-8CE0-5814DEF87C97}"/>
    <hyperlink ref="V160" r:id="rId159" xr:uid="{38D77864-E600-4047-8A09-9B536976DE56}"/>
    <hyperlink ref="V161" r:id="rId160" xr:uid="{616F56BE-1288-0245-B27A-6F13161DDE4F}"/>
    <hyperlink ref="V162" r:id="rId161" xr:uid="{820B7CBC-9CCF-C44B-9CDB-C2902FFD640D}"/>
    <hyperlink ref="V163" r:id="rId162" xr:uid="{3EC9F43B-83E0-344D-9C7B-D5792BE105CE}"/>
    <hyperlink ref="V164" r:id="rId163" xr:uid="{2CE79201-AF3D-D642-9730-D391BDD45800}"/>
    <hyperlink ref="V165" r:id="rId164" xr:uid="{8E7D9DD4-55A8-6347-868B-03BBC8CCEFA6}"/>
    <hyperlink ref="V166" r:id="rId165" xr:uid="{C4E92999-468E-A54D-9D78-3A5BA0CAB96E}"/>
    <hyperlink ref="V167" r:id="rId166" xr:uid="{45828A49-2B72-644A-A4C4-19FB736370F0}"/>
    <hyperlink ref="V168" r:id="rId167" xr:uid="{48BDAB84-6BFA-D641-84AE-86508C0F2874}"/>
    <hyperlink ref="V169" r:id="rId168" xr:uid="{99AEDA0F-4665-6442-B5B3-2799E4FA7721}"/>
    <hyperlink ref="V170" r:id="rId169" xr:uid="{FCC8FF50-4FBB-D341-B463-27BFF687F000}"/>
    <hyperlink ref="V171" r:id="rId170" xr:uid="{5E99E20A-F6A5-C241-AFFB-BE7F650E7AFD}"/>
    <hyperlink ref="V172" r:id="rId171" xr:uid="{C254B729-1DD5-9F45-B022-54E599FFD189}"/>
    <hyperlink ref="V173" r:id="rId172" xr:uid="{0C6F89A1-F73F-D64D-ADAA-73886DD3CDC8}"/>
    <hyperlink ref="V174" r:id="rId173" xr:uid="{421BAE0B-860E-EF46-BFBD-3E35E3C265D3}"/>
    <hyperlink ref="V175" r:id="rId174" xr:uid="{99CE4B6A-8C22-2B46-A865-CCF198DB0915}"/>
    <hyperlink ref="V176" r:id="rId175" xr:uid="{F3E5F25D-2B2D-DB47-97B6-9616F37CE920}"/>
    <hyperlink ref="V177" r:id="rId176" xr:uid="{FB2DB88F-9B82-3244-BA71-0391D8B29139}"/>
    <hyperlink ref="V178" r:id="rId177" xr:uid="{203EFA1B-7957-0D44-AC45-DE966E2DF8BD}"/>
    <hyperlink ref="V179" r:id="rId178" xr:uid="{9E24A318-9DA9-344D-81F7-429ED94A818E}"/>
    <hyperlink ref="V180" r:id="rId179" xr:uid="{91C9633D-34F5-974A-9ADC-FD87621356B3}"/>
    <hyperlink ref="V181" r:id="rId180" xr:uid="{26CA3251-B2E1-C740-861B-43EA2026F4DE}"/>
    <hyperlink ref="V182" r:id="rId181" xr:uid="{4DE1ACF0-E60C-284B-8DF6-4EE754D9CAF6}"/>
    <hyperlink ref="V183" r:id="rId182" xr:uid="{C406D4EA-300C-0645-A8FB-2C899EDFCDFF}"/>
    <hyperlink ref="V184" r:id="rId183" xr:uid="{D141258A-30CC-F54E-B42F-C078AB882A4E}"/>
    <hyperlink ref="V185" r:id="rId184" xr:uid="{B6A1ABC0-79E1-E943-AE99-CC0D51B1C762}"/>
    <hyperlink ref="V186" r:id="rId185" xr:uid="{27958384-1551-9B44-AD19-7B3447373476}"/>
    <hyperlink ref="V187" r:id="rId186" xr:uid="{5AB6A452-0CDB-7544-8C65-DFBCD5F4F397}"/>
    <hyperlink ref="V188" r:id="rId187" xr:uid="{FAC87817-5888-9948-94AF-E8CBC21B3AB8}"/>
    <hyperlink ref="V189" r:id="rId188" xr:uid="{E83DE340-E1A0-E940-BD7B-8800A5C81C3C}"/>
    <hyperlink ref="V190" r:id="rId189" xr:uid="{146BDA68-580E-7642-840A-CFAAE447F7BA}"/>
    <hyperlink ref="V191" r:id="rId190" xr:uid="{E9739F0C-AA02-3940-B90F-AEB1848CE3C7}"/>
    <hyperlink ref="V192" r:id="rId191" xr:uid="{E2535854-477C-CD48-94C2-8716C4EC6E92}"/>
    <hyperlink ref="V193" r:id="rId192" xr:uid="{F97540FF-F5AD-3D47-A634-D1BD1B3D4D28}"/>
    <hyperlink ref="V194" r:id="rId193" xr:uid="{25D7F0C3-36CA-6C45-9478-BA05FFB385F3}"/>
    <hyperlink ref="V195" r:id="rId194" xr:uid="{F5C5E550-92D1-8749-A457-AABECBC5BEA1}"/>
    <hyperlink ref="V196" r:id="rId195" xr:uid="{B42E4788-1AA2-A044-85AD-B56501AD4D09}"/>
    <hyperlink ref="V197" r:id="rId196" xr:uid="{8E049202-1B0A-964B-B99B-4B6C52FA0A02}"/>
    <hyperlink ref="V198" r:id="rId197" xr:uid="{F217C5DE-283E-504E-A23E-F962E557F490}"/>
    <hyperlink ref="V199" r:id="rId198" xr:uid="{4479A443-67C7-BD43-B21C-A522AA13B72A}"/>
    <hyperlink ref="V200" r:id="rId199" xr:uid="{89E96C77-DFAD-0F45-8A56-3DEED862190E}"/>
    <hyperlink ref="V201" r:id="rId200" xr:uid="{C9A75C28-849B-B343-8D4A-B25C7A2A9EF5}"/>
    <hyperlink ref="V202" r:id="rId201" xr:uid="{1368C784-3DD3-C147-8931-B1CB20D3B93C}"/>
    <hyperlink ref="V203" r:id="rId202" xr:uid="{6307EF7C-67BD-B44C-9F11-ED1982C95EFF}"/>
    <hyperlink ref="V204" r:id="rId203" xr:uid="{072A8C1C-F559-244B-B145-327C7910AD0A}"/>
    <hyperlink ref="V205" r:id="rId204" xr:uid="{D296D5AC-249A-9F4E-A087-05BF016A43BC}"/>
    <hyperlink ref="V206" r:id="rId205" xr:uid="{58A4E553-40BA-0B43-A32C-A0D725ABA50E}"/>
    <hyperlink ref="V207" r:id="rId206" xr:uid="{034F3D87-C82B-0A49-895D-4934E0056AB9}"/>
    <hyperlink ref="V208" r:id="rId207" xr:uid="{F39BF75C-B128-F04C-9E72-E340723936A8}"/>
    <hyperlink ref="V209" r:id="rId208" xr:uid="{85C860E6-0BE2-BC46-863A-9FD1F5CD5F03}"/>
    <hyperlink ref="V210" r:id="rId209" xr:uid="{A27A5F13-835F-F14C-AA66-752574190258}"/>
    <hyperlink ref="V211" r:id="rId210" xr:uid="{8CD605B5-BAB9-3743-B0CD-A16F88714E2F}"/>
    <hyperlink ref="V212" r:id="rId211" xr:uid="{BBB82694-5B04-7548-9807-3EDEB82586D9}"/>
    <hyperlink ref="V213" r:id="rId212" xr:uid="{BC407DBA-E2D3-3C45-94CB-629183560193}"/>
    <hyperlink ref="V214" r:id="rId213" xr:uid="{63E8565C-87FA-0B41-90F7-71D59A42DF34}"/>
    <hyperlink ref="V215" r:id="rId214" xr:uid="{36E1C4C5-0456-4F42-9472-3B6A5336B11E}"/>
    <hyperlink ref="V216" r:id="rId215" xr:uid="{F8555450-1F73-7C4A-8178-A1C4D6D8BEAA}"/>
    <hyperlink ref="V217" r:id="rId216" xr:uid="{512C4482-0B72-9B49-B686-847329C2E3F2}"/>
    <hyperlink ref="V218" r:id="rId217" xr:uid="{73638EC6-B4CD-C34D-9066-1E1BA506D5E7}"/>
    <hyperlink ref="V219" r:id="rId218" xr:uid="{63AA3E67-8078-484B-AF01-CB49F7FAB0A9}"/>
    <hyperlink ref="V220" r:id="rId219" xr:uid="{CF80566E-8F49-EB4D-A736-B20E3104ECFC}"/>
    <hyperlink ref="V221" r:id="rId220" xr:uid="{BD47EB13-C824-5143-BA88-F0CE6EB413D9}"/>
    <hyperlink ref="V222" r:id="rId221" xr:uid="{AC191392-6F6E-7144-AA46-54D97E16D377}"/>
    <hyperlink ref="V223" r:id="rId222" xr:uid="{53939091-DB1B-A345-AD0A-874FA7E774A0}"/>
    <hyperlink ref="V224" r:id="rId223" xr:uid="{F4233473-C55D-9642-BEB5-3761E35C6ECF}"/>
    <hyperlink ref="V225" r:id="rId224" xr:uid="{D6835BF9-802A-F845-9F5F-28ED43C36147}"/>
    <hyperlink ref="V226" r:id="rId225" xr:uid="{17018312-323F-624D-B2F2-C86D0AB993EF}"/>
    <hyperlink ref="V227" r:id="rId226" xr:uid="{F4BE5DEF-0BD1-994D-8A57-D989465A775B}"/>
    <hyperlink ref="V228" r:id="rId227" xr:uid="{D96F0A37-5355-2D47-ABF6-5ECF56B0291E}"/>
    <hyperlink ref="V229" r:id="rId228" xr:uid="{A4CAC3AD-9BE1-C74A-A415-03056DF0A310}"/>
    <hyperlink ref="V230" r:id="rId229" xr:uid="{71417FB3-0EB2-8A45-9768-386CF3200C07}"/>
    <hyperlink ref="V231" r:id="rId230" xr:uid="{C9FED26F-F5C1-4C47-A13F-AEFB556F2F25}"/>
    <hyperlink ref="V232" r:id="rId231" xr:uid="{3511B5B5-2857-044C-82EA-905F0F9F39FF}"/>
    <hyperlink ref="V233" r:id="rId232" xr:uid="{8A3D633B-F53D-D048-A599-A3A3DF1CE419}"/>
    <hyperlink ref="V234" r:id="rId233" xr:uid="{C8B39C5C-DCE0-B74F-929F-C351939FABD4}"/>
    <hyperlink ref="V235" r:id="rId234" xr:uid="{68C8B45B-90F7-0947-8D43-E9CD5255C5D3}"/>
    <hyperlink ref="V236" r:id="rId235" xr:uid="{3D1234EA-1A22-964F-848B-82B4B93412B8}"/>
    <hyperlink ref="V237" r:id="rId236" xr:uid="{EB5310D5-36E5-2D42-9FA9-471EDC6F5C8C}"/>
    <hyperlink ref="V238" r:id="rId237" xr:uid="{C2FDF1AB-6424-624F-92B8-C98ED21206B8}"/>
    <hyperlink ref="V239" r:id="rId238" xr:uid="{4A6820F7-D8C7-4C43-A5F1-46545F02F287}"/>
    <hyperlink ref="V240" r:id="rId239" xr:uid="{553EFB24-DD1B-624E-B9FF-1F0CCFBF62F3}"/>
    <hyperlink ref="V241" r:id="rId240" xr:uid="{1032BE32-7C58-B44A-B51F-AE58D72C2D52}"/>
    <hyperlink ref="V242" r:id="rId241" xr:uid="{47508C82-D192-A743-9908-6AB50E421DBE}"/>
    <hyperlink ref="V243" r:id="rId242" xr:uid="{182C3CCB-68CD-CD47-BE19-5390C97D92F3}"/>
    <hyperlink ref="V244" r:id="rId243" xr:uid="{ECBD94E1-8C51-5D40-B42B-EFEAC11E17D9}"/>
    <hyperlink ref="V245" r:id="rId244" xr:uid="{A82B7ACC-CD94-2D49-B025-33DB827EF05A}"/>
    <hyperlink ref="V246" r:id="rId245" xr:uid="{AF3C9161-22A5-EF44-9CF8-C2FE9AEC09DE}"/>
    <hyperlink ref="V247" r:id="rId246" xr:uid="{04E2DBB2-CCB4-354C-9017-6326C043787F}"/>
    <hyperlink ref="V248" r:id="rId247" xr:uid="{946C5E25-0EC6-754E-B1DA-50E6F8D254D6}"/>
    <hyperlink ref="V249" r:id="rId248" xr:uid="{F1563124-8627-344F-8811-8C793BB49D00}"/>
    <hyperlink ref="V250" r:id="rId249" xr:uid="{79C10B68-9FAB-6843-B4AA-9EADBDC57475}"/>
    <hyperlink ref="V251" r:id="rId250" xr:uid="{32602375-111B-2242-8CFD-3AA84954D1C0}"/>
    <hyperlink ref="V252" r:id="rId251" xr:uid="{E7D7D064-ED2B-3D4D-860D-95871A983727}"/>
    <hyperlink ref="V253" r:id="rId252" xr:uid="{7198D40A-92F0-D745-ADDF-A6BD97CA0F0F}"/>
    <hyperlink ref="V254" r:id="rId253" xr:uid="{7F046316-E0C6-9344-94E6-AB9C7E9A4F9E}"/>
    <hyperlink ref="V255" r:id="rId254" xr:uid="{E5076B7D-84E5-F340-BF83-0D6FD247003D}"/>
    <hyperlink ref="V256" r:id="rId255" xr:uid="{9D408DB8-BE84-C84B-97FB-F8D633D04086}"/>
  </hyperlinks>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heetPr>
  <dimension ref="A1:U786"/>
  <sheetViews>
    <sheetView zoomScale="68" workbookViewId="0">
      <selection activeCell="B28" sqref="B28"/>
    </sheetView>
  </sheetViews>
  <sheetFormatPr baseColWidth="10" defaultColWidth="8.83203125" defaultRowHeight="15"/>
  <cols>
    <col min="1" max="1" width="26.83203125" customWidth="1"/>
    <col min="2" max="2" width="34.6640625" style="1" customWidth="1"/>
    <col min="3" max="3" width="19.83203125" customWidth="1"/>
    <col min="4" max="4" width="66.83203125" customWidth="1"/>
    <col min="5" max="5" width="46.5" bestFit="1" customWidth="1"/>
    <col min="6" max="6" width="62.5" bestFit="1" customWidth="1"/>
    <col min="7" max="7" width="18" bestFit="1" customWidth="1"/>
    <col min="8" max="8" width="16.5" style="1" customWidth="1"/>
    <col min="9" max="10" width="12.5" bestFit="1" customWidth="1"/>
    <col min="11" max="11" width="12.5" style="9" bestFit="1" customWidth="1"/>
    <col min="12" max="12" width="27.1640625" style="9" bestFit="1" customWidth="1"/>
    <col min="13" max="13" width="12.5" bestFit="1" customWidth="1"/>
    <col min="14" max="15" width="12.5" style="9" bestFit="1" customWidth="1"/>
    <col min="16" max="21" width="12.5" bestFit="1" customWidth="1"/>
  </cols>
  <sheetData>
    <row r="1" spans="1:21" ht="15.75" customHeight="1">
      <c r="A1" s="16" t="s">
        <v>827</v>
      </c>
      <c r="B1" s="17" t="s">
        <v>1207</v>
      </c>
      <c r="C1" s="16" t="s">
        <v>395</v>
      </c>
      <c r="D1" s="16" t="s">
        <v>396</v>
      </c>
      <c r="E1" s="16" t="s">
        <v>397</v>
      </c>
      <c r="F1" s="16" t="s">
        <v>398</v>
      </c>
      <c r="G1" s="16" t="s">
        <v>399</v>
      </c>
      <c r="H1" s="17" t="s">
        <v>400</v>
      </c>
      <c r="I1" s="16" t="s">
        <v>401</v>
      </c>
      <c r="J1" s="16" t="s">
        <v>402</v>
      </c>
      <c r="K1" s="3" t="s">
        <v>403</v>
      </c>
      <c r="L1" s="3" t="s">
        <v>404</v>
      </c>
      <c r="M1" s="3" t="s">
        <v>3</v>
      </c>
      <c r="N1" s="3"/>
      <c r="O1" s="3"/>
      <c r="P1" s="14"/>
      <c r="Q1" s="3"/>
      <c r="R1" s="3"/>
      <c r="S1" s="3"/>
      <c r="T1" s="3"/>
      <c r="U1" s="14"/>
    </row>
    <row r="2" spans="1:21" ht="15.75" customHeight="1">
      <c r="A2" s="25" t="s">
        <v>4</v>
      </c>
      <c r="B2" s="25" t="str">
        <f t="shared" ref="B2:B256" si="0">A2</f>
        <v>s06_090nm_WM_a_</v>
      </c>
      <c r="C2" s="24" t="s">
        <v>1751</v>
      </c>
      <c r="D2" s="24" t="str">
        <f t="shared" ref="D2:D256" si="1">IF(A2="","",CONCATENATE("bossdb://lee2022/",A2,"/",A2,"/"))</f>
        <v>bossdb://lee2022/s06_090nm_WM_a_/s06_090nm_WM_a_/</v>
      </c>
      <c r="E2" s="24" t="s">
        <v>1752</v>
      </c>
      <c r="F2" s="32" t="s">
        <v>5</v>
      </c>
      <c r="G2" s="24" t="s">
        <v>1494</v>
      </c>
      <c r="H2" s="41" t="s">
        <v>858</v>
      </c>
      <c r="I2" s="24" t="s">
        <v>410</v>
      </c>
      <c r="J2" s="42" t="s">
        <v>411</v>
      </c>
      <c r="K2" s="14" t="b">
        <v>0</v>
      </c>
      <c r="L2" s="14" t="s">
        <v>2197</v>
      </c>
      <c r="M2" s="14" t="s">
        <v>413</v>
      </c>
      <c r="N2" s="14"/>
      <c r="O2" s="14"/>
      <c r="P2" s="14"/>
      <c r="Q2" s="14"/>
      <c r="R2" s="14"/>
      <c r="S2" s="14"/>
      <c r="T2" s="14"/>
      <c r="U2" s="14"/>
    </row>
    <row r="3" spans="1:21" ht="15.75" customHeight="1">
      <c r="A3" s="25" t="s">
        <v>6</v>
      </c>
      <c r="B3" s="25" t="str">
        <f t="shared" si="0"/>
        <v>s06_090nm_WM_a_1_</v>
      </c>
      <c r="C3" s="24" t="s">
        <v>1753</v>
      </c>
      <c r="D3" s="24" t="str">
        <f t="shared" si="1"/>
        <v>bossdb://lee2022/s06_090nm_WM_a_1_/s06_090nm_WM_a_1_/</v>
      </c>
      <c r="E3" s="24" t="s">
        <v>1752</v>
      </c>
      <c r="F3" s="32" t="s">
        <v>5</v>
      </c>
      <c r="G3" s="24" t="s">
        <v>1494</v>
      </c>
      <c r="H3" s="41" t="s">
        <v>858</v>
      </c>
      <c r="I3" s="24" t="s">
        <v>410</v>
      </c>
      <c r="J3" s="24" t="s">
        <v>411</v>
      </c>
      <c r="K3" s="14" t="b">
        <v>0</v>
      </c>
      <c r="L3" s="14" t="s">
        <v>2197</v>
      </c>
      <c r="M3" s="14" t="s">
        <v>413</v>
      </c>
      <c r="N3" s="14"/>
      <c r="O3" s="14"/>
      <c r="P3" s="14"/>
      <c r="Q3" s="14"/>
      <c r="R3" s="14"/>
      <c r="S3" s="14"/>
      <c r="T3" s="14"/>
      <c r="U3" s="14"/>
    </row>
    <row r="4" spans="1:21" ht="15.75" customHeight="1">
      <c r="A4" s="25" t="s">
        <v>7</v>
      </c>
      <c r="B4" s="25" t="str">
        <f t="shared" si="0"/>
        <v>s06_090nm_WM_a_2_</v>
      </c>
      <c r="C4" s="24" t="s">
        <v>1754</v>
      </c>
      <c r="D4" s="24" t="str">
        <f t="shared" si="1"/>
        <v>bossdb://lee2022/s06_090nm_WM_a_2_/s06_090nm_WM_a_2_/</v>
      </c>
      <c r="E4" s="24" t="s">
        <v>1752</v>
      </c>
      <c r="F4" s="32" t="s">
        <v>5</v>
      </c>
      <c r="G4" s="24" t="s">
        <v>1494</v>
      </c>
      <c r="H4" s="41" t="s">
        <v>858</v>
      </c>
      <c r="I4" s="24" t="s">
        <v>410</v>
      </c>
      <c r="J4" s="24" t="s">
        <v>411</v>
      </c>
      <c r="K4" s="14" t="b">
        <v>0</v>
      </c>
      <c r="L4" s="14" t="s">
        <v>2197</v>
      </c>
      <c r="M4" s="14" t="s">
        <v>413</v>
      </c>
      <c r="N4" s="14"/>
      <c r="O4" s="14"/>
      <c r="P4" s="14"/>
      <c r="Q4" s="14"/>
      <c r="R4" s="14"/>
      <c r="S4" s="14"/>
      <c r="T4" s="14"/>
      <c r="U4" s="14"/>
    </row>
    <row r="5" spans="1:21" ht="15.75" customHeight="1">
      <c r="A5" s="24" t="s">
        <v>8</v>
      </c>
      <c r="B5" s="25" t="str">
        <f t="shared" si="0"/>
        <v>s06_090nm_WM_a_3_</v>
      </c>
      <c r="C5" s="24" t="s">
        <v>1755</v>
      </c>
      <c r="D5" s="24" t="str">
        <f t="shared" si="1"/>
        <v>bossdb://lee2022/s06_090nm_WM_a_3_/s06_090nm_WM_a_3_/</v>
      </c>
      <c r="E5" s="24" t="s">
        <v>1752</v>
      </c>
      <c r="F5" s="32" t="s">
        <v>5</v>
      </c>
      <c r="G5" s="24" t="s">
        <v>1494</v>
      </c>
      <c r="H5" s="41" t="s">
        <v>858</v>
      </c>
      <c r="I5" s="24" t="s">
        <v>410</v>
      </c>
      <c r="J5" s="24" t="s">
        <v>411</v>
      </c>
      <c r="K5" s="14" t="b">
        <v>0</v>
      </c>
      <c r="L5" s="14" t="s">
        <v>2197</v>
      </c>
      <c r="M5" s="14" t="s">
        <v>413</v>
      </c>
      <c r="N5" s="14"/>
      <c r="O5" s="14"/>
      <c r="P5" s="14"/>
      <c r="Q5" s="14"/>
      <c r="R5" s="14"/>
      <c r="S5" s="14"/>
      <c r="T5" s="14"/>
      <c r="U5" s="14"/>
    </row>
    <row r="6" spans="1:21" ht="15.75" customHeight="1">
      <c r="A6" s="24" t="s">
        <v>9</v>
      </c>
      <c r="B6" s="25" t="str">
        <f t="shared" si="0"/>
        <v>s06_090nm_WM_a_4_</v>
      </c>
      <c r="C6" s="24" t="s">
        <v>1756</v>
      </c>
      <c r="D6" s="24" t="str">
        <f t="shared" si="1"/>
        <v>bossdb://lee2022/s06_090nm_WM_a_4_/s06_090nm_WM_a_4_/</v>
      </c>
      <c r="E6" s="24" t="s">
        <v>1752</v>
      </c>
      <c r="F6" s="32" t="s">
        <v>5</v>
      </c>
      <c r="G6" s="24" t="s">
        <v>1494</v>
      </c>
      <c r="H6" s="41" t="s">
        <v>858</v>
      </c>
      <c r="I6" s="24" t="s">
        <v>410</v>
      </c>
      <c r="J6" s="24" t="s">
        <v>411</v>
      </c>
      <c r="K6" s="14" t="b">
        <v>0</v>
      </c>
      <c r="L6" s="14" t="s">
        <v>2197</v>
      </c>
      <c r="M6" s="14" t="s">
        <v>413</v>
      </c>
      <c r="N6" s="14"/>
      <c r="O6" s="14"/>
      <c r="P6" s="14"/>
      <c r="Q6" s="14"/>
      <c r="R6" s="14"/>
      <c r="S6" s="14"/>
      <c r="T6" s="14"/>
      <c r="U6" s="14"/>
    </row>
    <row r="7" spans="1:21" ht="15.75" customHeight="1">
      <c r="A7" s="24" t="s">
        <v>10</v>
      </c>
      <c r="B7" s="25" t="str">
        <f t="shared" si="0"/>
        <v>s06_090nm_WM_b_</v>
      </c>
      <c r="C7" s="24" t="s">
        <v>1757</v>
      </c>
      <c r="D7" s="24" t="str">
        <f t="shared" si="1"/>
        <v>bossdb://lee2022/s06_090nm_WM_b_/s06_090nm_WM_b_/</v>
      </c>
      <c r="E7" s="24" t="s">
        <v>1752</v>
      </c>
      <c r="F7" s="32" t="s">
        <v>5</v>
      </c>
      <c r="G7" s="24" t="s">
        <v>1494</v>
      </c>
      <c r="H7" s="41" t="s">
        <v>858</v>
      </c>
      <c r="I7" s="24" t="s">
        <v>410</v>
      </c>
      <c r="J7" s="24" t="s">
        <v>411</v>
      </c>
      <c r="K7" s="14" t="b">
        <v>0</v>
      </c>
      <c r="L7" s="14" t="s">
        <v>2197</v>
      </c>
      <c r="M7" s="14" t="s">
        <v>413</v>
      </c>
      <c r="N7" s="14"/>
      <c r="O7" s="14"/>
      <c r="P7" s="14"/>
      <c r="Q7" s="14"/>
      <c r="R7" s="14"/>
      <c r="S7" s="14"/>
      <c r="T7" s="14"/>
      <c r="U7" s="14"/>
    </row>
    <row r="8" spans="1:21" ht="15.75" customHeight="1">
      <c r="A8" s="24" t="s">
        <v>11</v>
      </c>
      <c r="B8" s="25" t="str">
        <f t="shared" si="0"/>
        <v>s05_WM_107nm_bin2_2dist_</v>
      </c>
      <c r="C8" s="24" t="s">
        <v>1758</v>
      </c>
      <c r="D8" s="24" t="str">
        <f t="shared" si="1"/>
        <v>bossdb://lee2022/s05_WM_107nm_bin2_2dist_/s05_WM_107nm_bin2_2dist_/</v>
      </c>
      <c r="E8" s="24" t="s">
        <v>1752</v>
      </c>
      <c r="F8" s="32" t="s">
        <v>5</v>
      </c>
      <c r="G8" s="24" t="s">
        <v>1494</v>
      </c>
      <c r="H8" s="41" t="s">
        <v>858</v>
      </c>
      <c r="I8" s="24" t="s">
        <v>410</v>
      </c>
      <c r="J8" s="24" t="s">
        <v>411</v>
      </c>
      <c r="K8" s="14" t="b">
        <v>0</v>
      </c>
      <c r="L8" s="14" t="s">
        <v>2197</v>
      </c>
      <c r="M8" s="14" t="s">
        <v>413</v>
      </c>
      <c r="N8" s="14"/>
      <c r="O8" s="14"/>
      <c r="P8" s="14"/>
      <c r="Q8" s="14"/>
      <c r="R8" s="14"/>
      <c r="S8" s="14"/>
      <c r="T8" s="14"/>
      <c r="U8" s="14"/>
    </row>
    <row r="9" spans="1:21" ht="15.75" customHeight="1">
      <c r="A9" s="24" t="s">
        <v>12</v>
      </c>
      <c r="B9" s="25" t="str">
        <f t="shared" si="0"/>
        <v>s05_WM_107nm_bin2_2dist_1_</v>
      </c>
      <c r="C9" s="24" t="s">
        <v>1759</v>
      </c>
      <c r="D9" s="24" t="str">
        <f t="shared" si="1"/>
        <v>bossdb://lee2022/s05_WM_107nm_bin2_2dist_1_/s05_WM_107nm_bin2_2dist_1_/</v>
      </c>
      <c r="E9" s="24" t="s">
        <v>1752</v>
      </c>
      <c r="F9" s="32" t="s">
        <v>13</v>
      </c>
      <c r="G9" s="24" t="s">
        <v>1494</v>
      </c>
      <c r="H9" s="41" t="s">
        <v>858</v>
      </c>
      <c r="I9" s="24" t="s">
        <v>410</v>
      </c>
      <c r="J9" s="24" t="s">
        <v>411</v>
      </c>
      <c r="K9" s="14" t="b">
        <v>0</v>
      </c>
      <c r="L9" s="14" t="s">
        <v>2197</v>
      </c>
      <c r="M9" s="14" t="s">
        <v>413</v>
      </c>
      <c r="N9" s="14"/>
      <c r="O9" s="14"/>
      <c r="P9" s="14"/>
      <c r="Q9" s="14"/>
      <c r="R9" s="14"/>
      <c r="S9" s="14"/>
      <c r="T9" s="14"/>
      <c r="U9" s="14"/>
    </row>
    <row r="10" spans="1:21" ht="15.75" customHeight="1">
      <c r="A10" s="24" t="s">
        <v>14</v>
      </c>
      <c r="B10" s="25" t="str">
        <f t="shared" si="0"/>
        <v>s06_top_fits05_090nm_1_</v>
      </c>
      <c r="C10" s="24" t="s">
        <v>1760</v>
      </c>
      <c r="D10" s="24" t="str">
        <f t="shared" si="1"/>
        <v>bossdb://lee2022/s06_top_fits05_090nm_1_/s06_top_fits05_090nm_1_/</v>
      </c>
      <c r="E10" s="24" t="s">
        <v>1752</v>
      </c>
      <c r="F10" s="32" t="s">
        <v>13</v>
      </c>
      <c r="G10" s="24" t="s">
        <v>1494</v>
      </c>
      <c r="H10" s="41" t="s">
        <v>858</v>
      </c>
      <c r="I10" s="24" t="s">
        <v>410</v>
      </c>
      <c r="J10" s="24" t="s">
        <v>411</v>
      </c>
      <c r="K10" s="14" t="b">
        <v>0</v>
      </c>
      <c r="L10" s="14" t="s">
        <v>2197</v>
      </c>
      <c r="M10" s="14" t="s">
        <v>413</v>
      </c>
      <c r="N10" s="14"/>
      <c r="O10" s="14"/>
      <c r="P10" s="14"/>
      <c r="Q10" s="14"/>
      <c r="R10" s="14"/>
      <c r="S10" s="14"/>
      <c r="T10" s="14"/>
      <c r="U10" s="14"/>
    </row>
    <row r="11" spans="1:21" ht="15.75" customHeight="1">
      <c r="A11" s="24" t="s">
        <v>15</v>
      </c>
      <c r="B11" s="25" t="str">
        <f t="shared" si="0"/>
        <v>s18_WM_090nm_</v>
      </c>
      <c r="C11" s="24" t="s">
        <v>1761</v>
      </c>
      <c r="D11" s="24" t="str">
        <f t="shared" si="1"/>
        <v>bossdb://lee2022/s18_WM_090nm_/s18_WM_090nm_/</v>
      </c>
      <c r="E11" s="24" t="s">
        <v>1752</v>
      </c>
      <c r="F11" s="32" t="s">
        <v>13</v>
      </c>
      <c r="G11" s="24" t="s">
        <v>1494</v>
      </c>
      <c r="H11" s="41" t="s">
        <v>858</v>
      </c>
      <c r="I11" s="24" t="s">
        <v>410</v>
      </c>
      <c r="J11" s="24" t="s">
        <v>411</v>
      </c>
      <c r="K11" s="14" t="b">
        <v>0</v>
      </c>
      <c r="L11" s="14" t="s">
        <v>2197</v>
      </c>
      <c r="M11" s="14" t="s">
        <v>413</v>
      </c>
      <c r="N11" s="14"/>
      <c r="O11" s="14"/>
      <c r="P11" s="14"/>
      <c r="Q11" s="14"/>
      <c r="R11" s="14"/>
      <c r="S11" s="14"/>
      <c r="T11" s="14"/>
      <c r="U11" s="14"/>
    </row>
    <row r="12" spans="1:21" ht="15.75" customHeight="1">
      <c r="A12" s="24" t="s">
        <v>16</v>
      </c>
      <c r="B12" s="25" t="str">
        <f t="shared" si="0"/>
        <v>s05_WM_107nm_bin2_2dist_2_</v>
      </c>
      <c r="C12" s="24" t="s">
        <v>1762</v>
      </c>
      <c r="D12" s="24" t="str">
        <f t="shared" si="1"/>
        <v>bossdb://lee2022/s05_WM_107nm_bin2_2dist_2_/s05_WM_107nm_bin2_2dist_2_/</v>
      </c>
      <c r="E12" s="24" t="s">
        <v>1752</v>
      </c>
      <c r="F12" s="32" t="s">
        <v>13</v>
      </c>
      <c r="G12" s="24" t="s">
        <v>1494</v>
      </c>
      <c r="H12" s="41" t="s">
        <v>858</v>
      </c>
      <c r="I12" s="24" t="s">
        <v>410</v>
      </c>
      <c r="J12" s="24" t="s">
        <v>411</v>
      </c>
      <c r="K12" s="14" t="b">
        <v>0</v>
      </c>
      <c r="L12" s="14" t="s">
        <v>2197</v>
      </c>
      <c r="M12" s="14" t="s">
        <v>413</v>
      </c>
      <c r="N12" s="14"/>
      <c r="O12" s="14"/>
      <c r="P12" s="14"/>
      <c r="Q12" s="14"/>
      <c r="R12" s="14"/>
      <c r="S12" s="14"/>
      <c r="T12" s="14"/>
      <c r="U12" s="14"/>
    </row>
    <row r="13" spans="1:21" ht="15.75" customHeight="1">
      <c r="A13" s="24" t="s">
        <v>17</v>
      </c>
      <c r="B13" s="25" t="str">
        <f t="shared" si="0"/>
        <v>s06_top_fits05b_090nm_</v>
      </c>
      <c r="C13" s="24" t="s">
        <v>1763</v>
      </c>
      <c r="D13" s="24" t="str">
        <f t="shared" si="1"/>
        <v>bossdb://lee2022/s06_top_fits05b_090nm_/s06_top_fits05b_090nm_/</v>
      </c>
      <c r="E13" s="24" t="s">
        <v>1752</v>
      </c>
      <c r="F13" s="32" t="s">
        <v>13</v>
      </c>
      <c r="G13" s="24" t="s">
        <v>1494</v>
      </c>
      <c r="H13" s="41" t="s">
        <v>858</v>
      </c>
      <c r="I13" s="24" t="s">
        <v>410</v>
      </c>
      <c r="J13" s="24" t="s">
        <v>411</v>
      </c>
      <c r="K13" s="14" t="b">
        <v>0</v>
      </c>
      <c r="L13" s="14" t="s">
        <v>2197</v>
      </c>
      <c r="M13" s="14" t="s">
        <v>413</v>
      </c>
      <c r="N13" s="14"/>
      <c r="O13" s="14"/>
      <c r="P13" s="14"/>
      <c r="Q13" s="14"/>
      <c r="R13" s="14"/>
      <c r="S13" s="14"/>
      <c r="T13" s="14"/>
      <c r="U13" s="14"/>
    </row>
    <row r="14" spans="1:21" ht="15.75" customHeight="1">
      <c r="A14" s="24" t="s">
        <v>18</v>
      </c>
      <c r="B14" s="25" t="str">
        <f t="shared" si="0"/>
        <v>s06_top_fits05b_090nm_1_</v>
      </c>
      <c r="C14" s="24" t="s">
        <v>1764</v>
      </c>
      <c r="D14" s="24" t="str">
        <f t="shared" si="1"/>
        <v>bossdb://lee2022/s06_top_fits05b_090nm_1_/s06_top_fits05b_090nm_1_/</v>
      </c>
      <c r="E14" s="24" t="s">
        <v>1752</v>
      </c>
      <c r="F14" s="32" t="s">
        <v>13</v>
      </c>
      <c r="G14" s="24" t="s">
        <v>1494</v>
      </c>
      <c r="H14" s="41" t="s">
        <v>858</v>
      </c>
      <c r="I14" s="24" t="s">
        <v>410</v>
      </c>
      <c r="J14" s="24" t="s">
        <v>1765</v>
      </c>
      <c r="K14" s="14" t="b">
        <v>0</v>
      </c>
      <c r="L14" s="14" t="s">
        <v>2197</v>
      </c>
      <c r="M14" s="14" t="s">
        <v>413</v>
      </c>
      <c r="N14" s="14"/>
      <c r="O14" s="14"/>
      <c r="P14" s="14"/>
      <c r="Q14" s="14"/>
      <c r="R14" s="14"/>
      <c r="S14" s="14"/>
      <c r="T14" s="14"/>
      <c r="U14" s="14"/>
    </row>
    <row r="15" spans="1:21" ht="15.75" customHeight="1">
      <c r="A15" s="24" t="s">
        <v>19</v>
      </c>
      <c r="B15" s="25" t="str">
        <f t="shared" si="0"/>
        <v>s18_WM_090nm_1_</v>
      </c>
      <c r="C15" s="24" t="s">
        <v>1766</v>
      </c>
      <c r="D15" s="24" t="str">
        <f t="shared" si="1"/>
        <v>bossdb://lee2022/s18_WM_090nm_1_/s18_WM_090nm_1_/</v>
      </c>
      <c r="E15" s="24" t="s">
        <v>1752</v>
      </c>
      <c r="F15" s="32" t="s">
        <v>13</v>
      </c>
      <c r="G15" s="24" t="s">
        <v>1494</v>
      </c>
      <c r="H15" s="41" t="s">
        <v>858</v>
      </c>
      <c r="I15" s="24" t="s">
        <v>410</v>
      </c>
      <c r="J15" s="24" t="s">
        <v>411</v>
      </c>
      <c r="K15" s="14" t="b">
        <v>0</v>
      </c>
      <c r="L15" s="14" t="s">
        <v>2197</v>
      </c>
      <c r="M15" s="14" t="s">
        <v>413</v>
      </c>
      <c r="N15" s="14"/>
      <c r="O15" s="14"/>
      <c r="P15" s="14"/>
      <c r="Q15" s="14"/>
      <c r="R15" s="14"/>
      <c r="S15" s="14"/>
      <c r="T15" s="14"/>
      <c r="U15" s="14"/>
    </row>
    <row r="16" spans="1:21" ht="15.75" customHeight="1">
      <c r="A16" s="24" t="s">
        <v>20</v>
      </c>
      <c r="B16" s="25" t="str">
        <f t="shared" si="0"/>
        <v>s05_WM_160nm_2dist_</v>
      </c>
      <c r="C16" s="24" t="s">
        <v>1767</v>
      </c>
      <c r="D16" s="24" t="str">
        <f t="shared" si="1"/>
        <v>bossdb://lee2022/s05_WM_160nm_2dist_/s05_WM_160nm_2dist_/</v>
      </c>
      <c r="E16" s="24" t="s">
        <v>1752</v>
      </c>
      <c r="F16" s="32" t="s">
        <v>13</v>
      </c>
      <c r="G16" s="24" t="s">
        <v>1494</v>
      </c>
      <c r="H16" s="41" t="s">
        <v>858</v>
      </c>
      <c r="I16" s="24" t="s">
        <v>410</v>
      </c>
      <c r="J16" s="24" t="s">
        <v>411</v>
      </c>
      <c r="K16" s="14" t="b">
        <v>0</v>
      </c>
      <c r="L16" s="14" t="s">
        <v>2197</v>
      </c>
      <c r="M16" s="14" t="s">
        <v>413</v>
      </c>
      <c r="N16" s="14"/>
      <c r="O16" s="14"/>
      <c r="P16" s="14"/>
      <c r="Q16" s="14"/>
      <c r="R16" s="14"/>
      <c r="S16" s="14"/>
      <c r="T16" s="14"/>
      <c r="U16" s="14"/>
    </row>
    <row r="17" spans="1:21" ht="15.75" customHeight="1">
      <c r="A17" s="24" t="s">
        <v>21</v>
      </c>
      <c r="B17" s="25" t="str">
        <f t="shared" si="0"/>
        <v>s06_top_fits05b_090nm_2_</v>
      </c>
      <c r="C17" s="24" t="s">
        <v>1768</v>
      </c>
      <c r="D17" s="24" t="str">
        <f t="shared" si="1"/>
        <v>bossdb://lee2022/s06_top_fits05b_090nm_2_/s06_top_fits05b_090nm_2_/</v>
      </c>
      <c r="E17" s="24" t="s">
        <v>1752</v>
      </c>
      <c r="F17" s="32" t="s">
        <v>13</v>
      </c>
      <c r="G17" s="24" t="s">
        <v>1494</v>
      </c>
      <c r="H17" s="41" t="s">
        <v>858</v>
      </c>
      <c r="I17" s="24" t="s">
        <v>410</v>
      </c>
      <c r="J17" s="24" t="s">
        <v>411</v>
      </c>
      <c r="K17" s="14" t="b">
        <v>0</v>
      </c>
      <c r="L17" s="14" t="s">
        <v>2197</v>
      </c>
      <c r="M17" s="14" t="s">
        <v>413</v>
      </c>
      <c r="N17" s="14"/>
      <c r="O17" s="14"/>
      <c r="P17" s="14"/>
      <c r="Q17" s="14"/>
      <c r="R17" s="14"/>
      <c r="S17" s="14"/>
      <c r="T17" s="14"/>
      <c r="U17" s="14"/>
    </row>
    <row r="18" spans="1:21" ht="15.75" customHeight="1">
      <c r="A18" s="24" t="s">
        <v>22</v>
      </c>
      <c r="B18" s="25" t="str">
        <f t="shared" si="0"/>
        <v>s05_WM_160nm_2dist_1_</v>
      </c>
      <c r="C18" s="24" t="s">
        <v>1769</v>
      </c>
      <c r="D18" s="24" t="str">
        <f t="shared" si="1"/>
        <v>bossdb://lee2022/s05_WM_160nm_2dist_1_/s05_WM_160nm_2dist_1_/</v>
      </c>
      <c r="E18" s="24" t="s">
        <v>1752</v>
      </c>
      <c r="F18" s="32" t="s">
        <v>13</v>
      </c>
      <c r="G18" s="24" t="s">
        <v>1494</v>
      </c>
      <c r="H18" s="41" t="s">
        <v>858</v>
      </c>
      <c r="I18" s="24" t="s">
        <v>410</v>
      </c>
      <c r="J18" s="24" t="s">
        <v>411</v>
      </c>
      <c r="K18" s="14" t="b">
        <v>0</v>
      </c>
      <c r="L18" s="14" t="s">
        <v>2197</v>
      </c>
      <c r="M18" s="14" t="s">
        <v>413</v>
      </c>
      <c r="N18" s="14"/>
      <c r="O18" s="14"/>
      <c r="P18" s="14"/>
      <c r="Q18" s="14"/>
      <c r="R18" s="14"/>
      <c r="S18" s="14"/>
      <c r="T18" s="14"/>
      <c r="U18" s="14"/>
    </row>
    <row r="19" spans="1:21" ht="15.75" customHeight="1">
      <c r="A19" s="24" t="s">
        <v>23</v>
      </c>
      <c r="B19" s="25" t="str">
        <f t="shared" si="0"/>
        <v>s18_WM_090nm_2_</v>
      </c>
      <c r="C19" s="24" t="s">
        <v>1770</v>
      </c>
      <c r="D19" s="24" t="str">
        <f t="shared" si="1"/>
        <v>bossdb://lee2022/s18_WM_090nm_2_/s18_WM_090nm_2_/</v>
      </c>
      <c r="E19" s="24" t="s">
        <v>1752</v>
      </c>
      <c r="F19" s="32" t="s">
        <v>13</v>
      </c>
      <c r="G19" s="24" t="s">
        <v>1494</v>
      </c>
      <c r="H19" s="41" t="s">
        <v>858</v>
      </c>
      <c r="I19" s="24" t="s">
        <v>410</v>
      </c>
      <c r="J19" s="24" t="s">
        <v>411</v>
      </c>
      <c r="K19" s="14" t="b">
        <v>0</v>
      </c>
      <c r="L19" s="14" t="s">
        <v>2197</v>
      </c>
      <c r="M19" s="14" t="s">
        <v>413</v>
      </c>
      <c r="N19" s="14"/>
      <c r="O19" s="14"/>
      <c r="P19" s="14"/>
      <c r="Q19" s="14"/>
      <c r="R19" s="14"/>
      <c r="S19" s="14"/>
      <c r="T19" s="14"/>
      <c r="U19" s="14"/>
    </row>
    <row r="20" spans="1:21" ht="15.75" customHeight="1">
      <c r="A20" s="24" t="s">
        <v>24</v>
      </c>
      <c r="B20" s="25" t="str">
        <f t="shared" si="0"/>
        <v>s06_top_fits05b_090nm_3_</v>
      </c>
      <c r="C20" s="24" t="s">
        <v>1771</v>
      </c>
      <c r="D20" s="24" t="str">
        <f t="shared" si="1"/>
        <v>bossdb://lee2022/s06_top_fits05b_090nm_3_/s06_top_fits05b_090nm_3_/</v>
      </c>
      <c r="E20" s="24" t="s">
        <v>1752</v>
      </c>
      <c r="F20" s="32" t="s">
        <v>13</v>
      </c>
      <c r="G20" s="24" t="s">
        <v>1494</v>
      </c>
      <c r="H20" s="41" t="s">
        <v>858</v>
      </c>
      <c r="I20" s="24" t="s">
        <v>410</v>
      </c>
      <c r="J20" s="24" t="s">
        <v>411</v>
      </c>
      <c r="K20" s="14" t="b">
        <v>0</v>
      </c>
      <c r="L20" s="14" t="s">
        <v>2197</v>
      </c>
      <c r="M20" s="14" t="s">
        <v>413</v>
      </c>
      <c r="N20" s="14"/>
      <c r="O20" s="14"/>
      <c r="P20" s="14"/>
      <c r="Q20" s="14"/>
      <c r="R20" s="14"/>
      <c r="S20" s="14"/>
      <c r="T20" s="14"/>
      <c r="U20" s="14"/>
    </row>
    <row r="21" spans="1:21" ht="15.75" customHeight="1">
      <c r="A21" s="24" t="s">
        <v>25</v>
      </c>
      <c r="B21" s="25" t="str">
        <f t="shared" si="0"/>
        <v>s05_WM_160nm_2dist_2_</v>
      </c>
      <c r="C21" s="24" t="s">
        <v>1772</v>
      </c>
      <c r="D21" s="24" t="str">
        <f t="shared" si="1"/>
        <v>bossdb://lee2022/s05_WM_160nm_2dist_2_/s05_WM_160nm_2dist_2_/</v>
      </c>
      <c r="E21" s="24" t="s">
        <v>1752</v>
      </c>
      <c r="F21" s="32" t="s">
        <v>13</v>
      </c>
      <c r="G21" s="24" t="s">
        <v>1494</v>
      </c>
      <c r="H21" s="41" t="s">
        <v>858</v>
      </c>
      <c r="I21" s="24" t="s">
        <v>410</v>
      </c>
      <c r="J21" s="24" t="s">
        <v>411</v>
      </c>
      <c r="K21" s="14" t="b">
        <v>0</v>
      </c>
      <c r="L21" s="14" t="s">
        <v>2197</v>
      </c>
      <c r="M21" s="14" t="s">
        <v>413</v>
      </c>
      <c r="N21" s="14"/>
      <c r="O21" s="14"/>
      <c r="P21" s="14"/>
      <c r="Q21" s="14"/>
      <c r="R21" s="14"/>
      <c r="S21" s="14"/>
      <c r="T21" s="14"/>
      <c r="U21" s="14"/>
    </row>
    <row r="22" spans="1:21" ht="15.75" customHeight="1">
      <c r="A22" s="24" t="s">
        <v>26</v>
      </c>
      <c r="B22" s="25" t="str">
        <f t="shared" si="0"/>
        <v>s06_top_fits05b_090nm_4_</v>
      </c>
      <c r="C22" s="24" t="s">
        <v>1773</v>
      </c>
      <c r="D22" s="24" t="str">
        <f t="shared" si="1"/>
        <v>bossdb://lee2022/s06_top_fits05b_090nm_4_/s06_top_fits05b_090nm_4_/</v>
      </c>
      <c r="E22" s="24" t="s">
        <v>1752</v>
      </c>
      <c r="F22" s="32" t="s">
        <v>13</v>
      </c>
      <c r="G22" s="24" t="s">
        <v>1494</v>
      </c>
      <c r="H22" s="41" t="s">
        <v>858</v>
      </c>
      <c r="I22" s="24" t="s">
        <v>410</v>
      </c>
      <c r="J22" s="24" t="s">
        <v>411</v>
      </c>
      <c r="K22" s="14" t="b">
        <v>0</v>
      </c>
      <c r="L22" s="14" t="s">
        <v>2197</v>
      </c>
      <c r="M22" s="14" t="s">
        <v>2188</v>
      </c>
      <c r="N22" s="14"/>
      <c r="O22" s="14"/>
      <c r="P22" s="14"/>
      <c r="Q22" s="14"/>
      <c r="R22" s="14"/>
      <c r="S22" s="14"/>
      <c r="T22" s="14"/>
      <c r="U22" s="14"/>
    </row>
    <row r="23" spans="1:21" ht="15.75" customHeight="1">
      <c r="A23" s="24" t="s">
        <v>27</v>
      </c>
      <c r="B23" s="25" t="str">
        <f t="shared" si="0"/>
        <v>s18_WM_090nm_3_</v>
      </c>
      <c r="C23" s="24" t="s">
        <v>1774</v>
      </c>
      <c r="D23" s="24" t="str">
        <f t="shared" si="1"/>
        <v>bossdb://lee2022/s18_WM_090nm_3_/s18_WM_090nm_3_/</v>
      </c>
      <c r="E23" s="24" t="s">
        <v>1752</v>
      </c>
      <c r="F23" s="32" t="s">
        <v>13</v>
      </c>
      <c r="G23" s="24" t="s">
        <v>1494</v>
      </c>
      <c r="H23" s="41" t="s">
        <v>858</v>
      </c>
      <c r="I23" s="24" t="s">
        <v>410</v>
      </c>
      <c r="J23" s="24" t="s">
        <v>411</v>
      </c>
      <c r="K23" s="14" t="b">
        <v>0</v>
      </c>
      <c r="L23" s="14" t="s">
        <v>2197</v>
      </c>
      <c r="M23" s="43" t="s">
        <v>413</v>
      </c>
      <c r="N23" s="14"/>
      <c r="O23" s="14"/>
      <c r="P23" s="14"/>
      <c r="Q23" s="14"/>
      <c r="R23" s="14"/>
      <c r="S23" s="14"/>
      <c r="T23" s="14"/>
      <c r="U23" s="14"/>
    </row>
    <row r="24" spans="1:21" ht="15.75" customHeight="1">
      <c r="A24" s="24" t="s">
        <v>28</v>
      </c>
      <c r="B24" s="25" t="str">
        <f t="shared" si="0"/>
        <v>s05_WM_fits06_090nm_</v>
      </c>
      <c r="C24" s="24" t="s">
        <v>1775</v>
      </c>
      <c r="D24" s="24" t="str">
        <f t="shared" si="1"/>
        <v>bossdb://lee2022/s05_WM_fits06_090nm_/s05_WM_fits06_090nm_/</v>
      </c>
      <c r="E24" s="24" t="s">
        <v>1752</v>
      </c>
      <c r="F24" s="32" t="s">
        <v>13</v>
      </c>
      <c r="G24" s="24" t="s">
        <v>1494</v>
      </c>
      <c r="H24" s="41" t="s">
        <v>858</v>
      </c>
      <c r="I24" s="24" t="s">
        <v>410</v>
      </c>
      <c r="J24" s="24" t="s">
        <v>411</v>
      </c>
      <c r="K24" s="14" t="b">
        <v>0</v>
      </c>
      <c r="L24" s="14" t="s">
        <v>2197</v>
      </c>
      <c r="M24" s="43" t="s">
        <v>413</v>
      </c>
      <c r="N24" s="14"/>
      <c r="O24" s="14"/>
      <c r="P24" s="14"/>
      <c r="Q24" s="14"/>
      <c r="R24" s="14"/>
      <c r="S24" s="14"/>
      <c r="T24" s="14"/>
      <c r="U24" s="14"/>
    </row>
    <row r="25" spans="1:21" ht="15.75" customHeight="1">
      <c r="A25" s="24" t="s">
        <v>29</v>
      </c>
      <c r="B25" s="25" t="str">
        <f t="shared" si="0"/>
        <v>s18_WM_090nm_4_</v>
      </c>
      <c r="C25" s="24" t="s">
        <v>1776</v>
      </c>
      <c r="D25" s="24" t="str">
        <f t="shared" si="1"/>
        <v>bossdb://lee2022/s18_WM_090nm_4_/s18_WM_090nm_4_/</v>
      </c>
      <c r="E25" s="24" t="s">
        <v>1752</v>
      </c>
      <c r="F25" s="32" t="s">
        <v>13</v>
      </c>
      <c r="G25" s="24" t="s">
        <v>1494</v>
      </c>
      <c r="H25" s="41" t="s">
        <v>858</v>
      </c>
      <c r="I25" s="24" t="s">
        <v>410</v>
      </c>
      <c r="J25" s="24" t="s">
        <v>411</v>
      </c>
      <c r="K25" s="14" t="b">
        <v>0</v>
      </c>
      <c r="L25" s="14" t="s">
        <v>2197</v>
      </c>
      <c r="M25" s="43" t="s">
        <v>413</v>
      </c>
      <c r="N25" s="14"/>
      <c r="O25" s="14"/>
      <c r="P25" s="14"/>
      <c r="Q25" s="14"/>
      <c r="R25" s="14"/>
      <c r="S25" s="14"/>
      <c r="T25" s="14"/>
      <c r="U25" s="14"/>
    </row>
    <row r="26" spans="1:21" ht="15.75" customHeight="1">
      <c r="A26" s="24" t="s">
        <v>30</v>
      </c>
      <c r="B26" s="25" t="str">
        <f t="shared" si="0"/>
        <v>s05_WM_fits06_090nm_1_</v>
      </c>
      <c r="C26" s="24" t="s">
        <v>1777</v>
      </c>
      <c r="D26" s="24" t="str">
        <f t="shared" si="1"/>
        <v>bossdb://lee2022/s05_WM_fits06_090nm_1_/s05_WM_fits06_090nm_1_/</v>
      </c>
      <c r="E26" s="24" t="s">
        <v>1752</v>
      </c>
      <c r="F26" s="32" t="s">
        <v>13</v>
      </c>
      <c r="G26" s="24" t="s">
        <v>1494</v>
      </c>
      <c r="H26" s="41" t="s">
        <v>858</v>
      </c>
      <c r="I26" s="24" t="s">
        <v>410</v>
      </c>
      <c r="J26" s="24" t="s">
        <v>411</v>
      </c>
      <c r="K26" s="14" t="b">
        <v>0</v>
      </c>
      <c r="L26" s="14" t="s">
        <v>2197</v>
      </c>
      <c r="M26" s="43" t="s">
        <v>413</v>
      </c>
      <c r="N26" s="14"/>
      <c r="O26" s="14"/>
      <c r="P26" s="14"/>
      <c r="Q26" s="14"/>
      <c r="R26" s="14"/>
      <c r="S26" s="14"/>
      <c r="T26" s="14"/>
      <c r="U26" s="14"/>
    </row>
    <row r="27" spans="1:21" ht="15.75" customHeight="1">
      <c r="A27" s="24" t="s">
        <v>31</v>
      </c>
      <c r="B27" s="25" t="str">
        <f t="shared" si="0"/>
        <v>s06_topm200um_fits05_090nm_1_</v>
      </c>
      <c r="C27" s="24" t="s">
        <v>1778</v>
      </c>
      <c r="D27" s="24" t="str">
        <f t="shared" si="1"/>
        <v>bossdb://lee2022/s06_topm200um_fits05_090nm_1_/s06_topm200um_fits05_090nm_1_/</v>
      </c>
      <c r="E27" s="24" t="s">
        <v>1752</v>
      </c>
      <c r="F27" s="32" t="s">
        <v>13</v>
      </c>
      <c r="G27" s="24" t="s">
        <v>1494</v>
      </c>
      <c r="H27" s="41" t="s">
        <v>858</v>
      </c>
      <c r="I27" s="24" t="s">
        <v>410</v>
      </c>
      <c r="J27" s="24" t="s">
        <v>1779</v>
      </c>
      <c r="K27" s="14" t="b">
        <v>0</v>
      </c>
      <c r="L27" s="14" t="s">
        <v>2197</v>
      </c>
      <c r="M27" s="43" t="s">
        <v>413</v>
      </c>
      <c r="N27" s="14"/>
      <c r="O27" s="14"/>
      <c r="P27" s="14"/>
      <c r="Q27" s="14"/>
      <c r="R27" s="14"/>
      <c r="S27" s="14"/>
      <c r="T27" s="14"/>
      <c r="U27" s="14"/>
    </row>
    <row r="28" spans="1:21" ht="15.75" customHeight="1">
      <c r="A28" s="24" t="s">
        <v>32</v>
      </c>
      <c r="B28" s="25" t="str">
        <f t="shared" si="0"/>
        <v>s18_WM_090nm_good_</v>
      </c>
      <c r="C28" s="24" t="s">
        <v>1780</v>
      </c>
      <c r="D28" s="24" t="str">
        <f t="shared" si="1"/>
        <v>bossdb://lee2022/s18_WM_090nm_good_/s18_WM_090nm_good_/</v>
      </c>
      <c r="E28" s="24" t="s">
        <v>1752</v>
      </c>
      <c r="F28" s="32" t="s">
        <v>13</v>
      </c>
      <c r="G28" s="24" t="s">
        <v>1494</v>
      </c>
      <c r="H28" s="41" t="s">
        <v>858</v>
      </c>
      <c r="I28" s="24" t="s">
        <v>410</v>
      </c>
      <c r="J28" s="24" t="s">
        <v>411</v>
      </c>
      <c r="K28" s="14" t="b">
        <v>0</v>
      </c>
      <c r="L28" s="14" t="s">
        <v>2197</v>
      </c>
      <c r="M28" s="43" t="s">
        <v>413</v>
      </c>
      <c r="N28" s="14"/>
      <c r="O28" s="14"/>
      <c r="P28" s="14"/>
      <c r="Q28" s="14"/>
      <c r="R28" s="14"/>
      <c r="S28" s="14"/>
      <c r="T28" s="14"/>
      <c r="U28" s="14"/>
    </row>
    <row r="29" spans="1:21" ht="15.75" customHeight="1">
      <c r="A29" s="24" t="s">
        <v>33</v>
      </c>
      <c r="B29" s="25" t="str">
        <f t="shared" si="0"/>
        <v>s18_WM_090nm_good_1_</v>
      </c>
      <c r="C29" s="24" t="s">
        <v>1781</v>
      </c>
      <c r="D29" s="24" t="str">
        <f t="shared" si="1"/>
        <v>bossdb://lee2022/s18_WM_090nm_good_1_/s18_WM_090nm_good_1_/</v>
      </c>
      <c r="E29" s="24" t="s">
        <v>1752</v>
      </c>
      <c r="F29" s="32" t="s">
        <v>13</v>
      </c>
      <c r="G29" s="24" t="s">
        <v>1494</v>
      </c>
      <c r="H29" s="41" t="s">
        <v>858</v>
      </c>
      <c r="I29" s="24" t="s">
        <v>410</v>
      </c>
      <c r="J29" s="24" t="s">
        <v>411</v>
      </c>
      <c r="K29" s="14" t="b">
        <v>0</v>
      </c>
      <c r="L29" s="14" t="s">
        <v>2197</v>
      </c>
      <c r="M29" s="43" t="s">
        <v>413</v>
      </c>
      <c r="N29" s="14"/>
      <c r="O29" s="14"/>
      <c r="P29" s="14"/>
      <c r="Q29" s="14"/>
      <c r="R29" s="14"/>
      <c r="S29" s="14"/>
      <c r="T29" s="14"/>
      <c r="U29" s="14"/>
    </row>
    <row r="30" spans="1:21" ht="15.75" customHeight="1">
      <c r="A30" s="24" t="s">
        <v>34</v>
      </c>
      <c r="B30" s="25" t="str">
        <f t="shared" si="0"/>
        <v>s05_WM_fits06_090nm_2_</v>
      </c>
      <c r="C30" s="24" t="s">
        <v>1782</v>
      </c>
      <c r="D30" s="24" t="str">
        <f t="shared" si="1"/>
        <v>bossdb://lee2022/s05_WM_fits06_090nm_2_/s05_WM_fits06_090nm_2_/</v>
      </c>
      <c r="E30" s="24" t="s">
        <v>1752</v>
      </c>
      <c r="F30" s="32" t="s">
        <v>13</v>
      </c>
      <c r="G30" s="24" t="s">
        <v>1494</v>
      </c>
      <c r="H30" s="41" t="s">
        <v>858</v>
      </c>
      <c r="I30" s="24" t="s">
        <v>410</v>
      </c>
      <c r="J30" s="24" t="s">
        <v>411</v>
      </c>
      <c r="K30" s="14" t="b">
        <v>0</v>
      </c>
      <c r="L30" s="14" t="s">
        <v>2197</v>
      </c>
      <c r="M30" s="43" t="s">
        <v>413</v>
      </c>
      <c r="N30" s="14"/>
      <c r="O30" s="14"/>
      <c r="P30" s="14"/>
      <c r="Q30" s="14"/>
      <c r="R30" s="14"/>
      <c r="S30" s="14"/>
      <c r="T30" s="14"/>
      <c r="U30" s="14"/>
    </row>
    <row r="31" spans="1:21" ht="15.75" customHeight="1">
      <c r="A31" s="24" t="s">
        <v>35</v>
      </c>
      <c r="B31" s="25" t="str">
        <f t="shared" si="0"/>
        <v>s18_WM_090nm_good_2_</v>
      </c>
      <c r="C31" s="24" t="s">
        <v>1783</v>
      </c>
      <c r="D31" s="24" t="str">
        <f t="shared" si="1"/>
        <v>bossdb://lee2022/s18_WM_090nm_good_2_/s18_WM_090nm_good_2_/</v>
      </c>
      <c r="E31" s="24" t="s">
        <v>1752</v>
      </c>
      <c r="F31" s="32" t="s">
        <v>13</v>
      </c>
      <c r="G31" s="24" t="s">
        <v>1494</v>
      </c>
      <c r="H31" s="41" t="s">
        <v>858</v>
      </c>
      <c r="I31" s="24" t="s">
        <v>410</v>
      </c>
      <c r="J31" s="24" t="s">
        <v>411</v>
      </c>
      <c r="K31" s="14" t="b">
        <v>0</v>
      </c>
      <c r="L31" s="14" t="s">
        <v>2197</v>
      </c>
      <c r="M31" s="43" t="s">
        <v>413</v>
      </c>
      <c r="N31" s="14"/>
      <c r="O31" s="14"/>
      <c r="P31" s="14"/>
      <c r="Q31" s="14"/>
      <c r="R31" s="14"/>
      <c r="S31" s="14"/>
      <c r="T31" s="14"/>
      <c r="U31" s="14"/>
    </row>
    <row r="32" spans="1:21" ht="15.75" customHeight="1">
      <c r="A32" s="24" t="s">
        <v>36</v>
      </c>
      <c r="B32" s="25" t="str">
        <f t="shared" si="0"/>
        <v>s05_WM_fits06_090nm_3_</v>
      </c>
      <c r="C32" s="24" t="s">
        <v>1784</v>
      </c>
      <c r="D32" s="24" t="str">
        <f t="shared" si="1"/>
        <v>bossdb://lee2022/s05_WM_fits06_090nm_3_/s05_WM_fits06_090nm_3_/</v>
      </c>
      <c r="E32" s="24" t="s">
        <v>1752</v>
      </c>
      <c r="F32" s="32" t="s">
        <v>13</v>
      </c>
      <c r="G32" s="24" t="s">
        <v>1494</v>
      </c>
      <c r="H32" s="41" t="s">
        <v>858</v>
      </c>
      <c r="I32" s="24" t="s">
        <v>410</v>
      </c>
      <c r="J32" s="24" t="s">
        <v>411</v>
      </c>
      <c r="K32" s="14" t="b">
        <v>0</v>
      </c>
      <c r="L32" s="14" t="s">
        <v>2197</v>
      </c>
      <c r="M32" s="43" t="s">
        <v>413</v>
      </c>
      <c r="N32" s="14"/>
      <c r="O32" s="14"/>
      <c r="P32" s="14"/>
      <c r="Q32" s="14"/>
      <c r="R32" s="14"/>
      <c r="S32" s="14"/>
      <c r="T32" s="14"/>
      <c r="U32" s="14"/>
    </row>
    <row r="33" spans="1:21" ht="15.75" customHeight="1">
      <c r="A33" s="24" t="s">
        <v>37</v>
      </c>
      <c r="B33" s="25" t="str">
        <f t="shared" si="0"/>
        <v>s18_WM_090nm_good_3_</v>
      </c>
      <c r="C33" s="24" t="s">
        <v>1785</v>
      </c>
      <c r="D33" s="24" t="str">
        <f t="shared" si="1"/>
        <v>bossdb://lee2022/s18_WM_090nm_good_3_/s18_WM_090nm_good_3_/</v>
      </c>
      <c r="E33" s="24" t="s">
        <v>1752</v>
      </c>
      <c r="F33" s="32" t="s">
        <v>13</v>
      </c>
      <c r="G33" s="24" t="s">
        <v>1494</v>
      </c>
      <c r="H33" s="41" t="s">
        <v>858</v>
      </c>
      <c r="I33" s="24" t="s">
        <v>410</v>
      </c>
      <c r="J33" s="24" t="s">
        <v>411</v>
      </c>
      <c r="K33" s="14" t="b">
        <v>0</v>
      </c>
      <c r="L33" s="14" t="s">
        <v>2197</v>
      </c>
      <c r="M33" s="43" t="s">
        <v>413</v>
      </c>
      <c r="N33" s="14"/>
      <c r="O33" s="14"/>
      <c r="P33" s="14"/>
      <c r="Q33" s="14"/>
      <c r="R33" s="14"/>
      <c r="S33" s="14"/>
      <c r="T33" s="14"/>
      <c r="U33" s="14"/>
    </row>
    <row r="34" spans="1:21" ht="15.75" customHeight="1">
      <c r="A34" s="24" t="s">
        <v>38</v>
      </c>
      <c r="B34" s="25" t="str">
        <f t="shared" si="0"/>
        <v>s05_WM_fits06_090nm_4_</v>
      </c>
      <c r="C34" s="24" t="s">
        <v>1786</v>
      </c>
      <c r="D34" s="24" t="str">
        <f t="shared" si="1"/>
        <v>bossdb://lee2022/s05_WM_fits06_090nm_4_/s05_WM_fits06_090nm_4_/</v>
      </c>
      <c r="E34" s="24" t="s">
        <v>1752</v>
      </c>
      <c r="F34" s="32" t="s">
        <v>13</v>
      </c>
      <c r="G34" s="24" t="s">
        <v>1494</v>
      </c>
      <c r="H34" s="41" t="s">
        <v>858</v>
      </c>
      <c r="I34" s="24" t="s">
        <v>410</v>
      </c>
      <c r="J34" s="24" t="s">
        <v>411</v>
      </c>
      <c r="K34" s="14" t="b">
        <v>0</v>
      </c>
      <c r="L34" s="14" t="s">
        <v>2197</v>
      </c>
      <c r="M34" s="43" t="s">
        <v>413</v>
      </c>
      <c r="N34" s="14"/>
      <c r="O34" s="14"/>
      <c r="P34" s="14"/>
      <c r="Q34" s="14"/>
      <c r="R34" s="14"/>
      <c r="S34" s="14"/>
      <c r="T34" s="14"/>
      <c r="U34" s="14"/>
    </row>
    <row r="35" spans="1:21" ht="15.75" customHeight="1">
      <c r="A35" s="24" t="s">
        <v>39</v>
      </c>
      <c r="B35" s="25" t="str">
        <f t="shared" si="0"/>
        <v>s18_WM_090nm_good_4_</v>
      </c>
      <c r="C35" s="24" t="s">
        <v>1787</v>
      </c>
      <c r="D35" s="24" t="str">
        <f t="shared" si="1"/>
        <v>bossdb://lee2022/s18_WM_090nm_good_4_/s18_WM_090nm_good_4_/</v>
      </c>
      <c r="E35" s="24" t="s">
        <v>1752</v>
      </c>
      <c r="F35" s="32" t="s">
        <v>13</v>
      </c>
      <c r="G35" s="24" t="s">
        <v>1494</v>
      </c>
      <c r="H35" s="41" t="s">
        <v>858</v>
      </c>
      <c r="I35" s="24" t="s">
        <v>410</v>
      </c>
      <c r="J35" s="24" t="s">
        <v>411</v>
      </c>
      <c r="K35" s="14" t="b">
        <v>0</v>
      </c>
      <c r="L35" s="14" t="s">
        <v>2197</v>
      </c>
      <c r="M35" s="43" t="s">
        <v>413</v>
      </c>
      <c r="N35" s="14"/>
      <c r="O35" s="14"/>
      <c r="P35" s="14"/>
      <c r="Q35" s="14"/>
      <c r="R35" s="14"/>
      <c r="S35" s="14"/>
      <c r="T35" s="14"/>
      <c r="U35" s="14"/>
    </row>
    <row r="36" spans="1:21" ht="15.75" customHeight="1">
      <c r="A36" s="24" t="s">
        <v>40</v>
      </c>
      <c r="B36" s="25" t="str">
        <f t="shared" si="0"/>
        <v>s05_l12_fits06_090nm_</v>
      </c>
      <c r="C36" s="24" t="s">
        <v>1788</v>
      </c>
      <c r="D36" s="24" t="str">
        <f t="shared" si="1"/>
        <v>bossdb://lee2022/s05_l12_fits06_090nm_/s05_l12_fits06_090nm_/</v>
      </c>
      <c r="E36" s="24" t="s">
        <v>1752</v>
      </c>
      <c r="F36" s="32" t="s">
        <v>13</v>
      </c>
      <c r="G36" s="24" t="s">
        <v>1494</v>
      </c>
      <c r="H36" s="41" t="s">
        <v>858</v>
      </c>
      <c r="I36" s="24" t="s">
        <v>410</v>
      </c>
      <c r="J36" s="24" t="s">
        <v>411</v>
      </c>
      <c r="K36" s="14" t="b">
        <v>0</v>
      </c>
      <c r="L36" s="14" t="s">
        <v>2197</v>
      </c>
      <c r="M36" s="43" t="s">
        <v>413</v>
      </c>
      <c r="N36" s="14"/>
      <c r="O36" s="14"/>
      <c r="P36" s="14"/>
      <c r="Q36" s="14"/>
      <c r="R36" s="14"/>
      <c r="S36" s="14"/>
      <c r="T36" s="14"/>
      <c r="U36" s="14"/>
    </row>
    <row r="37" spans="1:21" ht="15.75" customHeight="1">
      <c r="A37" s="24" t="s">
        <v>41</v>
      </c>
      <c r="B37" s="25" t="str">
        <f t="shared" si="0"/>
        <v>s18_l22md_bin2_020nm_</v>
      </c>
      <c r="C37" s="24" t="s">
        <v>1789</v>
      </c>
      <c r="D37" s="24" t="str">
        <f t="shared" si="1"/>
        <v>bossdb://lee2022/s18_l22md_bin2_020nm_/s18_l22md_bin2_020nm_/</v>
      </c>
      <c r="E37" s="24" t="s">
        <v>1752</v>
      </c>
      <c r="F37" s="32" t="s">
        <v>13</v>
      </c>
      <c r="G37" s="24" t="s">
        <v>1494</v>
      </c>
      <c r="H37" s="41" t="s">
        <v>858</v>
      </c>
      <c r="I37" s="24" t="s">
        <v>410</v>
      </c>
      <c r="J37" s="24" t="s">
        <v>411</v>
      </c>
      <c r="K37" s="14" t="b">
        <v>0</v>
      </c>
      <c r="L37" s="14" t="s">
        <v>2197</v>
      </c>
      <c r="M37" s="43" t="s">
        <v>413</v>
      </c>
      <c r="N37" s="14"/>
      <c r="O37" s="14"/>
      <c r="P37" s="14"/>
      <c r="Q37" s="14"/>
      <c r="R37" s="14"/>
      <c r="S37" s="14"/>
      <c r="T37" s="14"/>
      <c r="U37" s="14"/>
    </row>
    <row r="38" spans="1:21" ht="15.75" customHeight="1">
      <c r="A38" s="24" t="s">
        <v>42</v>
      </c>
      <c r="B38" s="25" t="str">
        <f t="shared" si="0"/>
        <v>s05_l12_fits06_090nm_1_</v>
      </c>
      <c r="C38" s="24" t="s">
        <v>1790</v>
      </c>
      <c r="D38" s="24" t="str">
        <f t="shared" si="1"/>
        <v>bossdb://lee2022/s05_l12_fits06_090nm_1_/s05_l12_fits06_090nm_1_/</v>
      </c>
      <c r="E38" s="24" t="s">
        <v>1752</v>
      </c>
      <c r="F38" s="32" t="s">
        <v>13</v>
      </c>
      <c r="G38" s="24" t="s">
        <v>1494</v>
      </c>
      <c r="H38" s="41" t="s">
        <v>858</v>
      </c>
      <c r="I38" s="24" t="s">
        <v>410</v>
      </c>
      <c r="J38" s="24" t="s">
        <v>411</v>
      </c>
      <c r="K38" s="14" t="b">
        <v>0</v>
      </c>
      <c r="L38" s="14" t="s">
        <v>2197</v>
      </c>
      <c r="M38" s="43" t="s">
        <v>413</v>
      </c>
      <c r="N38" s="14"/>
      <c r="O38" s="14"/>
      <c r="P38" s="14"/>
      <c r="Q38" s="14"/>
      <c r="R38" s="14"/>
      <c r="S38" s="14"/>
      <c r="T38" s="14"/>
      <c r="U38" s="14"/>
    </row>
    <row r="39" spans="1:21" ht="15.75" customHeight="1">
      <c r="A39" s="24" t="s">
        <v>43</v>
      </c>
      <c r="B39" s="25" t="str">
        <f t="shared" si="0"/>
        <v>s18_l22md_bin2_020nm_1_</v>
      </c>
      <c r="C39" s="24" t="s">
        <v>1791</v>
      </c>
      <c r="D39" s="24" t="str">
        <f t="shared" si="1"/>
        <v>bossdb://lee2022/s18_l22md_bin2_020nm_1_/s18_l22md_bin2_020nm_1_/</v>
      </c>
      <c r="E39" s="24" t="s">
        <v>1752</v>
      </c>
      <c r="F39" s="32" t="s">
        <v>13</v>
      </c>
      <c r="G39" s="24" t="s">
        <v>1494</v>
      </c>
      <c r="H39" s="41" t="s">
        <v>858</v>
      </c>
      <c r="I39" s="24" t="s">
        <v>410</v>
      </c>
      <c r="J39" s="24" t="s">
        <v>411</v>
      </c>
      <c r="K39" s="14" t="b">
        <v>0</v>
      </c>
      <c r="L39" s="14" t="s">
        <v>2197</v>
      </c>
      <c r="M39" s="43" t="s">
        <v>413</v>
      </c>
      <c r="N39" s="14"/>
      <c r="O39" s="14"/>
      <c r="P39" s="14"/>
      <c r="Q39" s="14"/>
      <c r="R39" s="14"/>
      <c r="S39" s="14"/>
      <c r="T39" s="14"/>
      <c r="U39" s="14"/>
    </row>
    <row r="40" spans="1:21" ht="15.75" customHeight="1">
      <c r="A40" s="24" t="s">
        <v>44</v>
      </c>
      <c r="B40" s="25" t="str">
        <f t="shared" si="0"/>
        <v>s18_l22md_bin2_020nm_2_</v>
      </c>
      <c r="C40" s="24" t="s">
        <v>1792</v>
      </c>
      <c r="D40" s="24" t="str">
        <f t="shared" si="1"/>
        <v>bossdb://lee2022/s18_l22md_bin2_020nm_2_/s18_l22md_bin2_020nm_2_/</v>
      </c>
      <c r="E40" s="24" t="s">
        <v>1752</v>
      </c>
      <c r="F40" s="32" t="s">
        <v>13</v>
      </c>
      <c r="G40" s="24" t="s">
        <v>1494</v>
      </c>
      <c r="H40" s="41" t="s">
        <v>858</v>
      </c>
      <c r="I40" s="24" t="s">
        <v>410</v>
      </c>
      <c r="J40" s="42" t="s">
        <v>411</v>
      </c>
      <c r="K40" s="14" t="b">
        <v>0</v>
      </c>
      <c r="L40" s="14" t="s">
        <v>2197</v>
      </c>
      <c r="M40" s="43" t="s">
        <v>413</v>
      </c>
      <c r="N40" s="14"/>
      <c r="O40" s="14"/>
      <c r="P40" s="14"/>
      <c r="Q40" s="14"/>
      <c r="R40" s="14"/>
      <c r="S40" s="14"/>
      <c r="T40" s="14"/>
      <c r="U40" s="14"/>
    </row>
    <row r="41" spans="1:21" ht="15.75" customHeight="1">
      <c r="A41" s="24" t="s">
        <v>45</v>
      </c>
      <c r="B41" s="25" t="str">
        <f t="shared" si="0"/>
        <v>s05_l12_fits06_090nm_2_</v>
      </c>
      <c r="C41" s="24" t="s">
        <v>1793</v>
      </c>
      <c r="D41" s="24" t="str">
        <f t="shared" si="1"/>
        <v>bossdb://lee2022/s05_l12_fits06_090nm_2_/s05_l12_fits06_090nm_2_/</v>
      </c>
      <c r="E41" s="24" t="s">
        <v>1752</v>
      </c>
      <c r="F41" s="32" t="s">
        <v>13</v>
      </c>
      <c r="G41" s="24" t="s">
        <v>1494</v>
      </c>
      <c r="H41" s="41" t="s">
        <v>858</v>
      </c>
      <c r="I41" s="24" t="s">
        <v>410</v>
      </c>
      <c r="J41" s="24" t="s">
        <v>411</v>
      </c>
      <c r="K41" s="14" t="b">
        <v>0</v>
      </c>
      <c r="L41" s="14" t="s">
        <v>2197</v>
      </c>
      <c r="M41" s="43" t="s">
        <v>413</v>
      </c>
      <c r="N41" s="14"/>
      <c r="O41" s="14"/>
      <c r="P41" s="14"/>
      <c r="Q41" s="14"/>
      <c r="R41" s="14"/>
      <c r="S41" s="14"/>
      <c r="T41" s="14"/>
      <c r="U41" s="14"/>
    </row>
    <row r="42" spans="1:21" ht="15.75" customHeight="1">
      <c r="A42" s="24" t="s">
        <v>46</v>
      </c>
      <c r="B42" s="25" t="str">
        <f t="shared" si="0"/>
        <v>s18_l22md_bin2_020nm_3_</v>
      </c>
      <c r="C42" s="24" t="s">
        <v>1794</v>
      </c>
      <c r="D42" s="24" t="str">
        <f t="shared" si="1"/>
        <v>bossdb://lee2022/s18_l22md_bin2_020nm_3_/s18_l22md_bin2_020nm_3_/</v>
      </c>
      <c r="E42" s="24" t="s">
        <v>1752</v>
      </c>
      <c r="F42" s="32" t="s">
        <v>13</v>
      </c>
      <c r="G42" s="24" t="s">
        <v>1494</v>
      </c>
      <c r="H42" s="41" t="s">
        <v>858</v>
      </c>
      <c r="I42" s="24" t="s">
        <v>410</v>
      </c>
      <c r="J42" s="24" t="s">
        <v>411</v>
      </c>
      <c r="K42" s="14" t="b">
        <v>0</v>
      </c>
      <c r="L42" s="14" t="s">
        <v>2197</v>
      </c>
      <c r="M42" s="43" t="s">
        <v>413</v>
      </c>
      <c r="N42" s="14"/>
      <c r="O42" s="14"/>
      <c r="P42" s="14"/>
      <c r="Q42" s="14"/>
      <c r="R42" s="14"/>
      <c r="S42" s="14"/>
      <c r="T42" s="14"/>
      <c r="U42" s="14"/>
    </row>
    <row r="43" spans="1:21" ht="15.75" customHeight="1">
      <c r="A43" s="24" t="s">
        <v>47</v>
      </c>
      <c r="B43" s="25" t="str">
        <f t="shared" si="0"/>
        <v>s05_l12_fits06_090nm_3_</v>
      </c>
      <c r="C43" s="24" t="s">
        <v>1795</v>
      </c>
      <c r="D43" s="24" t="str">
        <f t="shared" si="1"/>
        <v>bossdb://lee2022/s05_l12_fits06_090nm_3_/s05_l12_fits06_090nm_3_/</v>
      </c>
      <c r="E43" s="24" t="s">
        <v>1752</v>
      </c>
      <c r="F43" s="32" t="s">
        <v>13</v>
      </c>
      <c r="G43" s="24" t="s">
        <v>1494</v>
      </c>
      <c r="H43" s="41" t="s">
        <v>858</v>
      </c>
      <c r="I43" s="24" t="s">
        <v>410</v>
      </c>
      <c r="J43" s="24" t="s">
        <v>411</v>
      </c>
      <c r="K43" s="14" t="b">
        <v>0</v>
      </c>
      <c r="L43" s="14" t="s">
        <v>2197</v>
      </c>
      <c r="M43" s="43" t="s">
        <v>413</v>
      </c>
      <c r="N43" s="14"/>
      <c r="O43" s="14"/>
      <c r="P43" s="14"/>
      <c r="Q43" s="14"/>
      <c r="R43" s="14"/>
      <c r="S43" s="14"/>
      <c r="T43" s="14"/>
      <c r="U43" s="14"/>
    </row>
    <row r="44" spans="1:21" ht="15.75" customHeight="1">
      <c r="A44" s="24" t="s">
        <v>48</v>
      </c>
      <c r="B44" s="25" t="str">
        <f t="shared" si="0"/>
        <v>s18_l22md_bin2_020nm_4_</v>
      </c>
      <c r="C44" s="24" t="s">
        <v>1796</v>
      </c>
      <c r="D44" s="24" t="str">
        <f t="shared" si="1"/>
        <v>bossdb://lee2022/s18_l22md_bin2_020nm_4_/s18_l22md_bin2_020nm_4_/</v>
      </c>
      <c r="E44" s="24" t="s">
        <v>1752</v>
      </c>
      <c r="F44" s="32" t="s">
        <v>13</v>
      </c>
      <c r="G44" s="24" t="s">
        <v>1494</v>
      </c>
      <c r="H44" s="41" t="s">
        <v>858</v>
      </c>
      <c r="I44" s="24" t="s">
        <v>410</v>
      </c>
      <c r="J44" s="24" t="s">
        <v>411</v>
      </c>
      <c r="K44" s="14" t="b">
        <v>0</v>
      </c>
      <c r="L44" s="14" t="s">
        <v>2197</v>
      </c>
      <c r="M44" s="43" t="s">
        <v>413</v>
      </c>
      <c r="N44" s="14"/>
      <c r="O44" s="14"/>
      <c r="P44" s="14"/>
      <c r="Q44" s="14"/>
      <c r="R44" s="14"/>
      <c r="S44" s="14"/>
      <c r="T44" s="14"/>
      <c r="U44" s="14"/>
    </row>
    <row r="45" spans="1:21" ht="15.75" customHeight="1">
      <c r="A45" s="24" t="s">
        <v>49</v>
      </c>
      <c r="B45" s="25" t="str">
        <f t="shared" si="0"/>
        <v>s05_l12_fits06_090nm_4_</v>
      </c>
      <c r="C45" s="24" t="s">
        <v>1797</v>
      </c>
      <c r="D45" s="24" t="str">
        <f t="shared" si="1"/>
        <v>bossdb://lee2022/s05_l12_fits06_090nm_4_/s05_l12_fits06_090nm_4_/</v>
      </c>
      <c r="E45" s="24" t="s">
        <v>1752</v>
      </c>
      <c r="F45" s="32" t="s">
        <v>13</v>
      </c>
      <c r="G45" s="24" t="s">
        <v>1494</v>
      </c>
      <c r="H45" s="41" t="s">
        <v>858</v>
      </c>
      <c r="I45" s="24" t="s">
        <v>410</v>
      </c>
      <c r="J45" s="24" t="s">
        <v>411</v>
      </c>
      <c r="K45" s="14" t="b">
        <v>0</v>
      </c>
      <c r="L45" s="14" t="s">
        <v>2197</v>
      </c>
      <c r="M45" s="43" t="s">
        <v>413</v>
      </c>
      <c r="N45" s="14"/>
      <c r="O45" s="14"/>
      <c r="P45" s="14"/>
      <c r="Q45" s="14"/>
      <c r="R45" s="14"/>
      <c r="S45" s="14"/>
      <c r="T45" s="14"/>
      <c r="U45" s="14"/>
    </row>
    <row r="46" spans="1:21" ht="15.75" customHeight="1">
      <c r="A46" s="24" t="s">
        <v>50</v>
      </c>
      <c r="B46" s="25" t="str">
        <f t="shared" si="0"/>
        <v>s18_l2_bin2_020nm_</v>
      </c>
      <c r="C46" s="24" t="s">
        <v>1798</v>
      </c>
      <c r="D46" s="24" t="str">
        <f t="shared" si="1"/>
        <v>bossdb://lee2022/s18_l2_bin2_020nm_/s18_l2_bin2_020nm_/</v>
      </c>
      <c r="E46" s="24" t="s">
        <v>1752</v>
      </c>
      <c r="F46" s="32" t="s">
        <v>13</v>
      </c>
      <c r="G46" s="24" t="s">
        <v>1494</v>
      </c>
      <c r="H46" s="41" t="s">
        <v>858</v>
      </c>
      <c r="I46" s="24" t="s">
        <v>410</v>
      </c>
      <c r="J46" s="24" t="s">
        <v>411</v>
      </c>
      <c r="K46" s="14" t="b">
        <v>0</v>
      </c>
      <c r="L46" s="14" t="s">
        <v>2197</v>
      </c>
      <c r="M46" s="43" t="s">
        <v>413</v>
      </c>
      <c r="N46" s="14"/>
      <c r="O46" s="14"/>
      <c r="P46" s="14"/>
      <c r="Q46" s="14"/>
      <c r="R46" s="14"/>
      <c r="S46" s="14"/>
      <c r="T46" s="14"/>
      <c r="U46" s="14"/>
    </row>
    <row r="47" spans="1:21" ht="15.75" customHeight="1">
      <c r="A47" s="24" t="s">
        <v>51</v>
      </c>
      <c r="B47" s="25" t="str">
        <f t="shared" si="0"/>
        <v>s18_l2_bin2_020nm_1_</v>
      </c>
      <c r="C47" s="24" t="s">
        <v>1799</v>
      </c>
      <c r="D47" s="24" t="str">
        <f t="shared" si="1"/>
        <v>bossdb://lee2022/s18_l2_bin2_020nm_1_/s18_l2_bin2_020nm_1_/</v>
      </c>
      <c r="E47" s="24" t="s">
        <v>1752</v>
      </c>
      <c r="F47" s="32" t="s">
        <v>13</v>
      </c>
      <c r="G47" s="24" t="s">
        <v>1494</v>
      </c>
      <c r="H47" s="41" t="s">
        <v>858</v>
      </c>
      <c r="I47" s="24" t="s">
        <v>410</v>
      </c>
      <c r="J47" s="24" t="s">
        <v>411</v>
      </c>
      <c r="K47" s="14" t="b">
        <v>0</v>
      </c>
      <c r="L47" s="14" t="s">
        <v>2197</v>
      </c>
      <c r="M47" s="43" t="s">
        <v>413</v>
      </c>
      <c r="N47" s="14"/>
      <c r="O47" s="14"/>
      <c r="P47" s="14"/>
      <c r="Q47" s="14"/>
      <c r="R47" s="14"/>
      <c r="S47" s="14"/>
      <c r="T47" s="14"/>
      <c r="U47" s="14"/>
    </row>
    <row r="48" spans="1:21" ht="15.75" customHeight="1">
      <c r="A48" s="24" t="s">
        <v>52</v>
      </c>
      <c r="B48" s="25" t="str">
        <f t="shared" si="0"/>
        <v>s18_l2_bin2_020nm_2_</v>
      </c>
      <c r="C48" s="24" t="s">
        <v>1800</v>
      </c>
      <c r="D48" s="24" t="str">
        <f t="shared" si="1"/>
        <v>bossdb://lee2022/s18_l2_bin2_020nm_2_/s18_l2_bin2_020nm_2_/</v>
      </c>
      <c r="E48" s="24" t="s">
        <v>1752</v>
      </c>
      <c r="F48" s="32" t="s">
        <v>13</v>
      </c>
      <c r="G48" s="24" t="s">
        <v>1494</v>
      </c>
      <c r="H48" s="41" t="s">
        <v>858</v>
      </c>
      <c r="I48" s="24" t="s">
        <v>410</v>
      </c>
      <c r="J48" s="24" t="s">
        <v>411</v>
      </c>
      <c r="K48" s="14" t="b">
        <v>0</v>
      </c>
      <c r="L48" s="14" t="s">
        <v>2197</v>
      </c>
      <c r="M48" s="43" t="s">
        <v>413</v>
      </c>
      <c r="N48" s="14"/>
      <c r="O48" s="14"/>
      <c r="P48" s="14"/>
      <c r="Q48" s="14"/>
      <c r="R48" s="14"/>
      <c r="S48" s="14"/>
      <c r="T48" s="14"/>
      <c r="U48" s="14"/>
    </row>
    <row r="49" spans="1:21" ht="15.75" customHeight="1">
      <c r="A49" s="24" t="s">
        <v>53</v>
      </c>
      <c r="B49" s="25" t="str">
        <f t="shared" si="0"/>
        <v>s05_l12m200um_fit06_110nm_</v>
      </c>
      <c r="C49" s="24" t="s">
        <v>1801</v>
      </c>
      <c r="D49" s="24" t="str">
        <f t="shared" si="1"/>
        <v>bossdb://lee2022/s05_l12m200um_fit06_110nm_/s05_l12m200um_fit06_110nm_/</v>
      </c>
      <c r="E49" s="24" t="s">
        <v>1752</v>
      </c>
      <c r="F49" s="32" t="s">
        <v>13</v>
      </c>
      <c r="G49" s="24" t="s">
        <v>1494</v>
      </c>
      <c r="H49" s="41" t="s">
        <v>858</v>
      </c>
      <c r="I49" s="24" t="s">
        <v>410</v>
      </c>
      <c r="J49" s="24" t="s">
        <v>411</v>
      </c>
      <c r="K49" s="14" t="b">
        <v>0</v>
      </c>
      <c r="L49" s="14" t="s">
        <v>2197</v>
      </c>
      <c r="M49" s="43" t="s">
        <v>413</v>
      </c>
      <c r="N49" s="14"/>
      <c r="O49" s="14"/>
      <c r="P49" s="14"/>
      <c r="Q49" s="14"/>
      <c r="R49" s="14"/>
      <c r="S49" s="14"/>
      <c r="T49" s="14"/>
      <c r="U49" s="14"/>
    </row>
    <row r="50" spans="1:21" ht="15.75" customHeight="1">
      <c r="A50" s="24" t="s">
        <v>54</v>
      </c>
      <c r="B50" s="25" t="str">
        <f t="shared" si="0"/>
        <v>s05_l12m200um_fit06_110nm_1_</v>
      </c>
      <c r="C50" s="24" t="s">
        <v>1802</v>
      </c>
      <c r="D50" s="24" t="str">
        <f t="shared" si="1"/>
        <v>bossdb://lee2022/s05_l12m200um_fit06_110nm_1_/s05_l12m200um_fit06_110nm_1_/</v>
      </c>
      <c r="E50" s="24" t="s">
        <v>1752</v>
      </c>
      <c r="F50" s="32" t="s">
        <v>13</v>
      </c>
      <c r="G50" s="24" t="s">
        <v>1494</v>
      </c>
      <c r="H50" s="41" t="s">
        <v>858</v>
      </c>
      <c r="I50" s="24" t="s">
        <v>410</v>
      </c>
      <c r="J50" s="24" t="s">
        <v>411</v>
      </c>
      <c r="K50" s="14" t="b">
        <v>0</v>
      </c>
      <c r="L50" s="14" t="s">
        <v>2197</v>
      </c>
      <c r="M50" s="43" t="s">
        <v>413</v>
      </c>
      <c r="N50" s="14"/>
      <c r="O50" s="14"/>
      <c r="P50" s="14"/>
      <c r="Q50" s="14"/>
      <c r="R50" s="14"/>
      <c r="S50" s="14"/>
      <c r="T50" s="14"/>
      <c r="U50" s="14"/>
    </row>
    <row r="51" spans="1:21" ht="15.75" customHeight="1">
      <c r="A51" s="24" t="s">
        <v>55</v>
      </c>
      <c r="B51" s="25" t="str">
        <f t="shared" si="0"/>
        <v>s18_l2_bin2_020nm_3_</v>
      </c>
      <c r="C51" s="24" t="s">
        <v>1803</v>
      </c>
      <c r="D51" s="24" t="str">
        <f t="shared" si="1"/>
        <v>bossdb://lee2022/s18_l2_bin2_020nm_3_/s18_l2_bin2_020nm_3_/</v>
      </c>
      <c r="E51" s="24" t="s">
        <v>1752</v>
      </c>
      <c r="F51" s="32" t="s">
        <v>13</v>
      </c>
      <c r="G51" s="24" t="s">
        <v>1494</v>
      </c>
      <c r="H51" s="41" t="s">
        <v>858</v>
      </c>
      <c r="I51" s="24" t="s">
        <v>410</v>
      </c>
      <c r="J51" s="24" t="s">
        <v>411</v>
      </c>
      <c r="K51" s="14" t="b">
        <v>0</v>
      </c>
      <c r="L51" s="14" t="s">
        <v>2197</v>
      </c>
      <c r="M51" s="43" t="s">
        <v>413</v>
      </c>
      <c r="N51" s="14"/>
      <c r="O51" s="14"/>
      <c r="P51" s="14"/>
      <c r="Q51" s="14"/>
      <c r="R51" s="14"/>
      <c r="S51" s="14"/>
      <c r="T51" s="14"/>
      <c r="U51" s="14"/>
    </row>
    <row r="52" spans="1:21" ht="15.75" customHeight="1">
      <c r="A52" s="24" t="s">
        <v>56</v>
      </c>
      <c r="B52" s="25" t="str">
        <f t="shared" si="0"/>
        <v>s05_l12m200um_fit06_110nm_2_</v>
      </c>
      <c r="C52" s="24" t="s">
        <v>1804</v>
      </c>
      <c r="D52" s="24" t="str">
        <f t="shared" si="1"/>
        <v>bossdb://lee2022/s05_l12m200um_fit06_110nm_2_/s05_l12m200um_fit06_110nm_2_/</v>
      </c>
      <c r="E52" s="24" t="s">
        <v>1752</v>
      </c>
      <c r="F52" s="32" t="s">
        <v>13</v>
      </c>
      <c r="G52" s="24" t="s">
        <v>1494</v>
      </c>
      <c r="H52" s="41" t="s">
        <v>858</v>
      </c>
      <c r="I52" s="24" t="s">
        <v>410</v>
      </c>
      <c r="J52" s="24" t="s">
        <v>411</v>
      </c>
      <c r="K52" s="14" t="b">
        <v>0</v>
      </c>
      <c r="L52" s="14" t="s">
        <v>2197</v>
      </c>
      <c r="M52" s="43" t="s">
        <v>413</v>
      </c>
      <c r="N52" s="14"/>
      <c r="O52" s="14"/>
      <c r="P52" s="14"/>
      <c r="Q52" s="14"/>
      <c r="R52" s="14"/>
      <c r="S52" s="14"/>
      <c r="T52" s="14"/>
      <c r="U52" s="14"/>
    </row>
    <row r="53" spans="1:21" ht="15.75" customHeight="1">
      <c r="A53" s="24" t="s">
        <v>57</v>
      </c>
      <c r="B53" s="25" t="str">
        <f t="shared" si="0"/>
        <v>s05_l12m200um_fit06_110nm_3_</v>
      </c>
      <c r="C53" s="24" t="s">
        <v>1805</v>
      </c>
      <c r="D53" s="24" t="str">
        <f t="shared" si="1"/>
        <v>bossdb://lee2022/s05_l12m200um_fit06_110nm_3_/s05_l12m200um_fit06_110nm_3_/</v>
      </c>
      <c r="E53" s="24" t="s">
        <v>1752</v>
      </c>
      <c r="F53" s="32" t="s">
        <v>13</v>
      </c>
      <c r="G53" s="24" t="s">
        <v>1494</v>
      </c>
      <c r="H53" s="41" t="s">
        <v>858</v>
      </c>
      <c r="I53" s="24" t="s">
        <v>410</v>
      </c>
      <c r="J53" s="42" t="s">
        <v>411</v>
      </c>
      <c r="K53" s="14" t="b">
        <v>0</v>
      </c>
      <c r="L53" s="14" t="s">
        <v>2197</v>
      </c>
      <c r="M53" s="43" t="s">
        <v>413</v>
      </c>
      <c r="N53" s="14"/>
      <c r="O53" s="14"/>
      <c r="P53" s="14"/>
      <c r="Q53" s="14"/>
      <c r="R53" s="14"/>
      <c r="S53" s="14"/>
      <c r="T53" s="14"/>
      <c r="U53" s="14"/>
    </row>
    <row r="54" spans="1:21" ht="15.75" customHeight="1">
      <c r="A54" s="24" t="s">
        <v>58</v>
      </c>
      <c r="B54" s="25" t="str">
        <f t="shared" si="0"/>
        <v>s18_l2_bin2_020nm_4_</v>
      </c>
      <c r="C54" s="24" t="s">
        <v>1806</v>
      </c>
      <c r="D54" s="24" t="str">
        <f t="shared" si="1"/>
        <v>bossdb://lee2022/s18_l2_bin2_020nm_4_/s18_l2_bin2_020nm_4_/</v>
      </c>
      <c r="E54" s="24" t="s">
        <v>1752</v>
      </c>
      <c r="F54" s="32" t="s">
        <v>13</v>
      </c>
      <c r="G54" s="24" t="s">
        <v>1494</v>
      </c>
      <c r="H54" s="41" t="s">
        <v>858</v>
      </c>
      <c r="I54" s="24" t="s">
        <v>410</v>
      </c>
      <c r="J54" s="24" t="s">
        <v>411</v>
      </c>
      <c r="K54" s="14" t="b">
        <v>0</v>
      </c>
      <c r="L54" s="14" t="s">
        <v>2197</v>
      </c>
      <c r="M54" s="43" t="s">
        <v>413</v>
      </c>
      <c r="N54" s="14"/>
      <c r="O54" s="14"/>
      <c r="P54" s="14"/>
      <c r="Q54" s="14"/>
      <c r="R54" s="14"/>
      <c r="S54" s="14"/>
      <c r="T54" s="14"/>
      <c r="U54" s="14"/>
    </row>
    <row r="55" spans="1:21" ht="15.75" customHeight="1">
      <c r="A55" s="24" t="s">
        <v>59</v>
      </c>
      <c r="B55" s="25" t="str">
        <f t="shared" si="0"/>
        <v>s05_l12m200um_fit06_110nm_4_</v>
      </c>
      <c r="C55" s="24" t="s">
        <v>1807</v>
      </c>
      <c r="D55" s="24" t="str">
        <f t="shared" si="1"/>
        <v>bossdb://lee2022/s05_l12m200um_fit06_110nm_4_/s05_l12m200um_fit06_110nm_4_/</v>
      </c>
      <c r="E55" s="24" t="s">
        <v>1752</v>
      </c>
      <c r="F55" s="32" t="s">
        <v>13</v>
      </c>
      <c r="G55" s="24" t="s">
        <v>1494</v>
      </c>
      <c r="H55" s="41" t="s">
        <v>858</v>
      </c>
      <c r="I55" s="24" t="s">
        <v>410</v>
      </c>
      <c r="J55" s="24" t="s">
        <v>411</v>
      </c>
      <c r="K55" s="14" t="b">
        <v>0</v>
      </c>
      <c r="L55" s="14" t="s">
        <v>2197</v>
      </c>
      <c r="M55" s="43" t="s">
        <v>413</v>
      </c>
      <c r="N55" s="14"/>
      <c r="O55" s="14"/>
      <c r="P55" s="14"/>
      <c r="Q55" s="14"/>
      <c r="R55" s="14"/>
      <c r="S55" s="14"/>
      <c r="T55" s="14"/>
      <c r="U55" s="14"/>
    </row>
    <row r="56" spans="1:21" ht="15.75" customHeight="1">
      <c r="A56" s="24" t="s">
        <v>60</v>
      </c>
      <c r="B56" s="25" t="str">
        <f t="shared" si="0"/>
        <v>s18_l5_030nm_hd_</v>
      </c>
      <c r="C56" s="24" t="s">
        <v>1808</v>
      </c>
      <c r="D56" s="24" t="str">
        <f t="shared" si="1"/>
        <v>bossdb://lee2022/s18_l5_030nm_hd_/s18_l5_030nm_hd_/</v>
      </c>
      <c r="E56" s="24" t="s">
        <v>1752</v>
      </c>
      <c r="F56" s="32" t="s">
        <v>13</v>
      </c>
      <c r="G56" s="24" t="s">
        <v>1494</v>
      </c>
      <c r="H56" s="41" t="s">
        <v>858</v>
      </c>
      <c r="I56" s="24" t="s">
        <v>410</v>
      </c>
      <c r="J56" s="24" t="s">
        <v>411</v>
      </c>
      <c r="K56" s="14" t="b">
        <v>0</v>
      </c>
      <c r="L56" s="14" t="s">
        <v>2197</v>
      </c>
      <c r="M56" s="43" t="s">
        <v>413</v>
      </c>
      <c r="N56" s="14"/>
      <c r="O56" s="14"/>
      <c r="P56" s="14"/>
      <c r="Q56" s="14"/>
      <c r="R56" s="14"/>
      <c r="S56" s="14"/>
      <c r="T56" s="14"/>
      <c r="U56" s="14"/>
    </row>
    <row r="57" spans="1:21" ht="15.75" customHeight="1">
      <c r="A57" s="24" t="s">
        <v>61</v>
      </c>
      <c r="B57" s="25" t="str">
        <f t="shared" si="0"/>
        <v>s18_l5_030nm_hd_1_</v>
      </c>
      <c r="C57" s="24" t="s">
        <v>1809</v>
      </c>
      <c r="D57" s="24" t="str">
        <f t="shared" si="1"/>
        <v>bossdb://lee2022/s18_l5_030nm_hd_1_/s18_l5_030nm_hd_1_/</v>
      </c>
      <c r="E57" s="24" t="s">
        <v>1752</v>
      </c>
      <c r="F57" s="32" t="s">
        <v>13</v>
      </c>
      <c r="G57" s="24" t="s">
        <v>1494</v>
      </c>
      <c r="H57" s="41" t="s">
        <v>858</v>
      </c>
      <c r="I57" s="24" t="s">
        <v>410</v>
      </c>
      <c r="J57" s="24" t="s">
        <v>411</v>
      </c>
      <c r="K57" s="14" t="b">
        <v>0</v>
      </c>
      <c r="L57" s="14" t="s">
        <v>2197</v>
      </c>
      <c r="M57" s="43" t="s">
        <v>413</v>
      </c>
      <c r="N57" s="14"/>
      <c r="O57" s="14"/>
      <c r="P57" s="14"/>
      <c r="Q57" s="14"/>
      <c r="R57" s="14"/>
      <c r="S57" s="14"/>
      <c r="T57" s="14"/>
      <c r="U57" s="14"/>
    </row>
    <row r="58" spans="1:21" ht="15.75" customHeight="1">
      <c r="A58" s="24" t="s">
        <v>62</v>
      </c>
      <c r="B58" s="25" t="str">
        <f t="shared" si="0"/>
        <v>s05_l12m200um_fits06_050nm_</v>
      </c>
      <c r="C58" s="24" t="s">
        <v>1810</v>
      </c>
      <c r="D58" s="24" t="str">
        <f t="shared" si="1"/>
        <v>bossdb://lee2022/s05_l12m200um_fits06_050nm_/s05_l12m200um_fits06_050nm_/</v>
      </c>
      <c r="E58" s="24" t="s">
        <v>1752</v>
      </c>
      <c r="F58" s="32" t="s">
        <v>13</v>
      </c>
      <c r="G58" s="24" t="s">
        <v>1494</v>
      </c>
      <c r="H58" s="41" t="s">
        <v>858</v>
      </c>
      <c r="I58" s="24" t="s">
        <v>410</v>
      </c>
      <c r="J58" s="24" t="s">
        <v>411</v>
      </c>
      <c r="K58" s="14" t="b">
        <v>0</v>
      </c>
      <c r="L58" s="14" t="s">
        <v>2197</v>
      </c>
      <c r="M58" s="43" t="s">
        <v>413</v>
      </c>
      <c r="N58" s="14"/>
      <c r="O58" s="14"/>
      <c r="P58" s="14"/>
      <c r="Q58" s="14"/>
      <c r="R58" s="14"/>
      <c r="S58" s="14"/>
      <c r="T58" s="14"/>
      <c r="U58" s="14"/>
    </row>
    <row r="59" spans="1:21" ht="15.75" customHeight="1">
      <c r="A59" s="24" t="s">
        <v>63</v>
      </c>
      <c r="B59" s="25" t="str">
        <f t="shared" si="0"/>
        <v>s18_l5_030nm_hd_2_</v>
      </c>
      <c r="C59" s="24" t="s">
        <v>1811</v>
      </c>
      <c r="D59" s="24" t="str">
        <f t="shared" si="1"/>
        <v>bossdb://lee2022/s18_l5_030nm_hd_2_/s18_l5_030nm_hd_2_/</v>
      </c>
      <c r="E59" s="24" t="s">
        <v>1752</v>
      </c>
      <c r="F59" s="32" t="s">
        <v>13</v>
      </c>
      <c r="G59" s="24" t="s">
        <v>1494</v>
      </c>
      <c r="H59" s="41" t="s">
        <v>858</v>
      </c>
      <c r="I59" s="24" t="s">
        <v>410</v>
      </c>
      <c r="J59" s="24" t="s">
        <v>411</v>
      </c>
      <c r="K59" s="14" t="b">
        <v>0</v>
      </c>
      <c r="L59" s="14" t="s">
        <v>2197</v>
      </c>
      <c r="M59" s="43" t="s">
        <v>413</v>
      </c>
      <c r="N59" s="14"/>
      <c r="O59" s="14"/>
      <c r="P59" s="14"/>
      <c r="Q59" s="14"/>
      <c r="R59" s="14"/>
      <c r="S59" s="14"/>
      <c r="T59" s="14"/>
      <c r="U59" s="14"/>
    </row>
    <row r="60" spans="1:21" ht="15.75" customHeight="1">
      <c r="A60" s="24" t="s">
        <v>64</v>
      </c>
      <c r="B60" s="25" t="str">
        <f t="shared" si="0"/>
        <v>s05_l12m200um_fits06_050nm_1_</v>
      </c>
      <c r="C60" s="24" t="s">
        <v>1812</v>
      </c>
      <c r="D60" s="24" t="str">
        <f t="shared" si="1"/>
        <v>bossdb://lee2022/s05_l12m200um_fits06_050nm_1_/s05_l12m200um_fits06_050nm_1_/</v>
      </c>
      <c r="E60" s="24" t="s">
        <v>1752</v>
      </c>
      <c r="F60" s="32" t="s">
        <v>13</v>
      </c>
      <c r="G60" s="24" t="s">
        <v>1494</v>
      </c>
      <c r="H60" s="41" t="s">
        <v>858</v>
      </c>
      <c r="I60" s="24" t="s">
        <v>410</v>
      </c>
      <c r="J60" s="24" t="s">
        <v>411</v>
      </c>
      <c r="K60" s="14" t="b">
        <v>0</v>
      </c>
      <c r="L60" s="14" t="s">
        <v>2197</v>
      </c>
      <c r="M60" s="43" t="s">
        <v>413</v>
      </c>
      <c r="N60" s="14"/>
      <c r="O60" s="14"/>
      <c r="P60" s="14"/>
      <c r="Q60" s="14"/>
      <c r="R60" s="14"/>
      <c r="S60" s="14"/>
      <c r="T60" s="14"/>
      <c r="U60" s="14"/>
    </row>
    <row r="61" spans="1:21" ht="15.75" customHeight="1">
      <c r="A61" s="24" t="s">
        <v>65</v>
      </c>
      <c r="B61" s="25" t="str">
        <f t="shared" si="0"/>
        <v>s05_l12m200um_fits06_050nm_2_</v>
      </c>
      <c r="C61" s="24" t="s">
        <v>1813</v>
      </c>
      <c r="D61" s="24" t="str">
        <f t="shared" si="1"/>
        <v>bossdb://lee2022/s05_l12m200um_fits06_050nm_2_/s05_l12m200um_fits06_050nm_2_/</v>
      </c>
      <c r="E61" s="24" t="s">
        <v>1752</v>
      </c>
      <c r="F61" s="32" t="s">
        <v>13</v>
      </c>
      <c r="G61" s="24" t="s">
        <v>1494</v>
      </c>
      <c r="H61" s="41" t="s">
        <v>858</v>
      </c>
      <c r="I61" s="24" t="s">
        <v>410</v>
      </c>
      <c r="J61" s="24" t="s">
        <v>411</v>
      </c>
      <c r="K61" s="14" t="b">
        <v>0</v>
      </c>
      <c r="L61" s="14" t="s">
        <v>2197</v>
      </c>
      <c r="M61" s="43" t="s">
        <v>413</v>
      </c>
      <c r="N61" s="14"/>
      <c r="O61" s="14"/>
      <c r="P61" s="14"/>
      <c r="Q61" s="14"/>
      <c r="R61" s="14"/>
      <c r="S61" s="14"/>
      <c r="T61" s="14"/>
      <c r="U61" s="14"/>
    </row>
    <row r="62" spans="1:21" ht="15.75" customHeight="1">
      <c r="A62" s="24" t="s">
        <v>66</v>
      </c>
      <c r="B62" s="25" t="str">
        <f t="shared" si="0"/>
        <v>s18_l5_030nm_hd_3_</v>
      </c>
      <c r="C62" s="24" t="s">
        <v>1814</v>
      </c>
      <c r="D62" s="24" t="str">
        <f t="shared" si="1"/>
        <v>bossdb://lee2022/s18_l5_030nm_hd_3_/s18_l5_030nm_hd_3_/</v>
      </c>
      <c r="E62" s="24" t="s">
        <v>1752</v>
      </c>
      <c r="F62" s="32" t="s">
        <v>13</v>
      </c>
      <c r="G62" s="24" t="s">
        <v>1494</v>
      </c>
      <c r="H62" s="41" t="s">
        <v>858</v>
      </c>
      <c r="I62" s="24" t="s">
        <v>410</v>
      </c>
      <c r="J62" s="24" t="s">
        <v>411</v>
      </c>
      <c r="K62" s="14" t="b">
        <v>0</v>
      </c>
      <c r="L62" s="14" t="s">
        <v>2197</v>
      </c>
      <c r="M62" s="43" t="s">
        <v>413</v>
      </c>
      <c r="N62" s="14"/>
      <c r="O62" s="14"/>
      <c r="P62" s="14"/>
      <c r="Q62" s="14"/>
      <c r="R62" s="14"/>
      <c r="S62" s="14"/>
      <c r="T62" s="14"/>
      <c r="U62" s="14"/>
    </row>
    <row r="63" spans="1:21" ht="15.75" customHeight="1">
      <c r="A63" s="24" t="s">
        <v>67</v>
      </c>
      <c r="B63" s="25" t="str">
        <f t="shared" si="0"/>
        <v>s05_l12m200um_fits06_050nm_3_</v>
      </c>
      <c r="C63" s="24" t="s">
        <v>1815</v>
      </c>
      <c r="D63" s="24" t="str">
        <f t="shared" si="1"/>
        <v>bossdb://lee2022/s05_l12m200um_fits06_050nm_3_/s05_l12m200um_fits06_050nm_3_/</v>
      </c>
      <c r="E63" s="24" t="s">
        <v>1752</v>
      </c>
      <c r="F63" s="32" t="s">
        <v>13</v>
      </c>
      <c r="G63" s="24" t="s">
        <v>1494</v>
      </c>
      <c r="H63" s="41" t="s">
        <v>858</v>
      </c>
      <c r="I63" s="24" t="s">
        <v>410</v>
      </c>
      <c r="J63" s="24" t="s">
        <v>411</v>
      </c>
      <c r="K63" s="14" t="b">
        <v>0</v>
      </c>
      <c r="L63" s="14" t="s">
        <v>2197</v>
      </c>
      <c r="M63" s="43" t="s">
        <v>413</v>
      </c>
      <c r="N63" s="14"/>
      <c r="O63" s="14"/>
      <c r="P63" s="14"/>
      <c r="Q63" s="14"/>
      <c r="R63" s="14"/>
      <c r="S63" s="14"/>
      <c r="T63" s="14"/>
      <c r="U63" s="14"/>
    </row>
    <row r="64" spans="1:21" ht="15.75" customHeight="1">
      <c r="A64" s="24" t="s">
        <v>68</v>
      </c>
      <c r="B64" s="25" t="str">
        <f t="shared" si="0"/>
        <v>s18_l5_030nm_hd_4_</v>
      </c>
      <c r="C64" s="24" t="s">
        <v>1816</v>
      </c>
      <c r="D64" s="24" t="str">
        <f t="shared" si="1"/>
        <v>bossdb://lee2022/s18_l5_030nm_hd_4_/s18_l5_030nm_hd_4_/</v>
      </c>
      <c r="E64" s="24" t="s">
        <v>1752</v>
      </c>
      <c r="F64" s="32" t="s">
        <v>13</v>
      </c>
      <c r="G64" s="24" t="s">
        <v>1494</v>
      </c>
      <c r="H64" s="41" t="s">
        <v>858</v>
      </c>
      <c r="I64" s="24" t="s">
        <v>410</v>
      </c>
      <c r="J64" s="24" t="s">
        <v>411</v>
      </c>
      <c r="K64" s="14" t="b">
        <v>0</v>
      </c>
      <c r="L64" s="14" t="s">
        <v>2197</v>
      </c>
      <c r="M64" s="43" t="s">
        <v>413</v>
      </c>
      <c r="N64" s="14"/>
      <c r="O64" s="14"/>
      <c r="P64" s="14"/>
      <c r="Q64" s="14"/>
      <c r="R64" s="14"/>
      <c r="S64" s="14"/>
      <c r="T64" s="14"/>
      <c r="U64" s="14"/>
    </row>
    <row r="65" spans="1:21" ht="15.75" customHeight="1">
      <c r="A65" s="24" t="s">
        <v>69</v>
      </c>
      <c r="B65" s="25" t="str">
        <f t="shared" si="0"/>
        <v>s05_l12m200um_fits06_050nm_4_</v>
      </c>
      <c r="C65" s="24" t="s">
        <v>1817</v>
      </c>
      <c r="D65" s="24" t="str">
        <f t="shared" si="1"/>
        <v>bossdb://lee2022/s05_l12m200um_fits06_050nm_4_/s05_l12m200um_fits06_050nm_4_/</v>
      </c>
      <c r="E65" s="24" t="s">
        <v>1752</v>
      </c>
      <c r="F65" s="32" t="s">
        <v>13</v>
      </c>
      <c r="G65" s="24" t="s">
        <v>1494</v>
      </c>
      <c r="H65" s="41" t="s">
        <v>858</v>
      </c>
      <c r="I65" s="24" t="s">
        <v>410</v>
      </c>
      <c r="J65" s="24" t="s">
        <v>411</v>
      </c>
      <c r="K65" s="14" t="b">
        <v>0</v>
      </c>
      <c r="L65" s="14" t="s">
        <v>2197</v>
      </c>
      <c r="M65" s="43" t="s">
        <v>413</v>
      </c>
      <c r="N65" s="14"/>
      <c r="O65" s="14"/>
      <c r="P65" s="14"/>
      <c r="Q65" s="14"/>
      <c r="R65" s="14"/>
      <c r="S65" s="14"/>
      <c r="T65" s="14"/>
      <c r="U65" s="14"/>
    </row>
    <row r="66" spans="1:21" ht="15.75" customHeight="1">
      <c r="A66" s="24" t="s">
        <v>70</v>
      </c>
      <c r="B66" s="25" t="str">
        <f t="shared" si="0"/>
        <v>s18_l5_110nm_2dist_</v>
      </c>
      <c r="C66" s="24" t="s">
        <v>1818</v>
      </c>
      <c r="D66" s="24" t="str">
        <f t="shared" si="1"/>
        <v>bossdb://lee2022/s18_l5_110nm_2dist_/s18_l5_110nm_2dist_/</v>
      </c>
      <c r="E66" s="24" t="s">
        <v>1752</v>
      </c>
      <c r="F66" s="32" t="s">
        <v>13</v>
      </c>
      <c r="G66" s="24" t="s">
        <v>1494</v>
      </c>
      <c r="H66" s="41" t="s">
        <v>858</v>
      </c>
      <c r="I66" s="24" t="s">
        <v>410</v>
      </c>
      <c r="J66" s="42" t="s">
        <v>411</v>
      </c>
      <c r="K66" s="14" t="b">
        <v>0</v>
      </c>
      <c r="L66" s="14" t="s">
        <v>2197</v>
      </c>
      <c r="M66" s="43" t="s">
        <v>413</v>
      </c>
      <c r="N66" s="14"/>
      <c r="O66" s="14"/>
      <c r="P66" s="14"/>
      <c r="Q66" s="14"/>
      <c r="R66" s="14"/>
      <c r="S66" s="14"/>
      <c r="T66" s="14"/>
      <c r="U66" s="14"/>
    </row>
    <row r="67" spans="1:21" ht="15.75" customHeight="1">
      <c r="A67" s="24" t="s">
        <v>71</v>
      </c>
      <c r="B67" s="25" t="str">
        <f t="shared" si="0"/>
        <v>s05_l12m200um_fits06_090nm_</v>
      </c>
      <c r="C67" s="24" t="s">
        <v>1819</v>
      </c>
      <c r="D67" s="24" t="str">
        <f t="shared" si="1"/>
        <v>bossdb://lee2022/s05_l12m200um_fits06_090nm_/s05_l12m200um_fits06_090nm_/</v>
      </c>
      <c r="E67" s="24" t="s">
        <v>1752</v>
      </c>
      <c r="F67" s="32" t="s">
        <v>13</v>
      </c>
      <c r="G67" s="24" t="s">
        <v>1494</v>
      </c>
      <c r="H67" s="41" t="s">
        <v>858</v>
      </c>
      <c r="I67" s="24" t="s">
        <v>410</v>
      </c>
      <c r="J67" s="24" t="s">
        <v>411</v>
      </c>
      <c r="K67" s="14" t="b">
        <v>0</v>
      </c>
      <c r="L67" s="14" t="s">
        <v>2197</v>
      </c>
      <c r="M67" s="43" t="s">
        <v>413</v>
      </c>
      <c r="N67" s="14"/>
      <c r="O67" s="14"/>
      <c r="P67" s="14"/>
      <c r="Q67" s="14"/>
      <c r="R67" s="14"/>
      <c r="S67" s="14"/>
      <c r="T67" s="14"/>
      <c r="U67" s="14"/>
    </row>
    <row r="68" spans="1:21" ht="15.75" customHeight="1">
      <c r="A68" s="24" t="s">
        <v>72</v>
      </c>
      <c r="B68" s="25" t="str">
        <f t="shared" si="0"/>
        <v>s18_l5_110nm_2dist_1_</v>
      </c>
      <c r="C68" s="24" t="s">
        <v>1820</v>
      </c>
      <c r="D68" s="24" t="str">
        <f t="shared" si="1"/>
        <v>bossdb://lee2022/s18_l5_110nm_2dist_1_/s18_l5_110nm_2dist_1_/</v>
      </c>
      <c r="E68" s="24" t="s">
        <v>1752</v>
      </c>
      <c r="F68" s="32" t="s">
        <v>13</v>
      </c>
      <c r="G68" s="24" t="s">
        <v>1494</v>
      </c>
      <c r="H68" s="41" t="s">
        <v>858</v>
      </c>
      <c r="I68" s="24" t="s">
        <v>410</v>
      </c>
      <c r="J68" s="24" t="s">
        <v>411</v>
      </c>
      <c r="K68" s="14" t="b">
        <v>0</v>
      </c>
      <c r="L68" s="14" t="s">
        <v>2197</v>
      </c>
      <c r="M68" s="43" t="s">
        <v>413</v>
      </c>
      <c r="N68" s="14"/>
      <c r="O68" s="14"/>
      <c r="P68" s="14"/>
      <c r="Q68" s="14"/>
      <c r="R68" s="14"/>
      <c r="S68" s="14"/>
      <c r="T68" s="14"/>
      <c r="U68" s="14"/>
    </row>
    <row r="69" spans="1:21" ht="15.75" customHeight="1">
      <c r="A69" s="24" t="s">
        <v>73</v>
      </c>
      <c r="B69" s="25" t="str">
        <f t="shared" si="0"/>
        <v>s05_l12m200um_fits06_090nm_1_</v>
      </c>
      <c r="C69" s="24" t="s">
        <v>1821</v>
      </c>
      <c r="D69" s="24" t="str">
        <f t="shared" si="1"/>
        <v>bossdb://lee2022/s05_l12m200um_fits06_090nm_1_/s05_l12m200um_fits06_090nm_1_/</v>
      </c>
      <c r="E69" s="24" t="s">
        <v>1752</v>
      </c>
      <c r="F69" s="32" t="s">
        <v>13</v>
      </c>
      <c r="G69" s="24" t="s">
        <v>1494</v>
      </c>
      <c r="H69" s="41" t="s">
        <v>858</v>
      </c>
      <c r="I69" s="24" t="s">
        <v>410</v>
      </c>
      <c r="J69" s="24" t="s">
        <v>411</v>
      </c>
      <c r="K69" s="14" t="b">
        <v>0</v>
      </c>
      <c r="L69" s="14" t="s">
        <v>2197</v>
      </c>
      <c r="M69" s="43" t="s">
        <v>413</v>
      </c>
      <c r="N69" s="14"/>
      <c r="O69" s="14"/>
      <c r="P69" s="14"/>
      <c r="Q69" s="14"/>
      <c r="R69" s="14"/>
      <c r="S69" s="14"/>
      <c r="T69" s="14"/>
      <c r="U69" s="14"/>
    </row>
    <row r="70" spans="1:21" ht="15.75" customHeight="1">
      <c r="A70" s="24" t="s">
        <v>74</v>
      </c>
      <c r="B70" s="25" t="str">
        <f t="shared" si="0"/>
        <v>s18_l5_110nm_2dist_2_</v>
      </c>
      <c r="C70" s="24" t="s">
        <v>1822</v>
      </c>
      <c r="D70" s="24" t="str">
        <f t="shared" si="1"/>
        <v>bossdb://lee2022/s18_l5_110nm_2dist_2_/s18_l5_110nm_2dist_2_/</v>
      </c>
      <c r="E70" s="24" t="s">
        <v>1752</v>
      </c>
      <c r="F70" s="32" t="s">
        <v>13</v>
      </c>
      <c r="G70" s="24" t="s">
        <v>1494</v>
      </c>
      <c r="H70" s="41" t="s">
        <v>858</v>
      </c>
      <c r="I70" s="24" t="s">
        <v>410</v>
      </c>
      <c r="J70" s="24" t="s">
        <v>411</v>
      </c>
      <c r="K70" s="14" t="b">
        <v>0</v>
      </c>
      <c r="L70" s="14" t="s">
        <v>2197</v>
      </c>
      <c r="M70" s="43" t="s">
        <v>413</v>
      </c>
      <c r="N70" s="14"/>
      <c r="O70" s="14"/>
      <c r="P70" s="14"/>
      <c r="Q70" s="14"/>
      <c r="R70" s="14"/>
      <c r="S70" s="14"/>
      <c r="T70" s="14"/>
      <c r="U70" s="14"/>
    </row>
    <row r="71" spans="1:21" ht="15.75" customHeight="1">
      <c r="A71" s="24" t="s">
        <v>75</v>
      </c>
      <c r="B71" s="25" t="str">
        <f t="shared" si="0"/>
        <v>s05_l12m200um_fits06_090nm_2_</v>
      </c>
      <c r="C71" s="24" t="s">
        <v>1823</v>
      </c>
      <c r="D71" s="24" t="str">
        <f t="shared" si="1"/>
        <v>bossdb://lee2022/s05_l12m200um_fits06_090nm_2_/s05_l12m200um_fits06_090nm_2_/</v>
      </c>
      <c r="E71" s="24" t="s">
        <v>1752</v>
      </c>
      <c r="F71" s="32" t="s">
        <v>13</v>
      </c>
      <c r="G71" s="24" t="s">
        <v>1494</v>
      </c>
      <c r="H71" s="41" t="s">
        <v>858</v>
      </c>
      <c r="I71" s="24" t="s">
        <v>410</v>
      </c>
      <c r="J71" s="24" t="s">
        <v>411</v>
      </c>
      <c r="K71" s="14" t="b">
        <v>0</v>
      </c>
      <c r="L71" s="14" t="s">
        <v>2197</v>
      </c>
      <c r="M71" s="43" t="s">
        <v>413</v>
      </c>
      <c r="N71" s="14"/>
      <c r="O71" s="14"/>
      <c r="P71" s="14"/>
      <c r="Q71" s="14"/>
      <c r="R71" s="14"/>
      <c r="S71" s="14"/>
      <c r="T71" s="14"/>
      <c r="U71" s="14"/>
    </row>
    <row r="72" spans="1:21" ht="15.75" customHeight="1">
      <c r="A72" s="24" t="s">
        <v>76</v>
      </c>
      <c r="B72" s="25" t="str">
        <f t="shared" si="0"/>
        <v>s05_l12m200um_fits06_090nm_3_</v>
      </c>
      <c r="C72" s="24" t="s">
        <v>1824</v>
      </c>
      <c r="D72" s="24" t="str">
        <f t="shared" si="1"/>
        <v>bossdb://lee2022/s05_l12m200um_fits06_090nm_3_/s05_l12m200um_fits06_090nm_3_/</v>
      </c>
      <c r="E72" s="24" t="s">
        <v>1752</v>
      </c>
      <c r="F72" s="32" t="s">
        <v>13</v>
      </c>
      <c r="G72" s="24" t="s">
        <v>1494</v>
      </c>
      <c r="H72" s="41" t="s">
        <v>858</v>
      </c>
      <c r="I72" s="24" t="s">
        <v>410</v>
      </c>
      <c r="J72" s="24" t="s">
        <v>411</v>
      </c>
      <c r="K72" s="14" t="b">
        <v>0</v>
      </c>
      <c r="L72" s="14" t="s">
        <v>2197</v>
      </c>
      <c r="M72" s="43" t="s">
        <v>413</v>
      </c>
      <c r="N72" s="14"/>
      <c r="O72" s="14"/>
      <c r="P72" s="14"/>
      <c r="Q72" s="14"/>
      <c r="R72" s="14"/>
      <c r="S72" s="14"/>
      <c r="T72" s="14"/>
      <c r="U72" s="14"/>
    </row>
    <row r="73" spans="1:21" ht="15.75" customHeight="1">
      <c r="A73" s="24" t="s">
        <v>77</v>
      </c>
      <c r="B73" s="25" t="str">
        <f t="shared" si="0"/>
        <v>s05_l4_bin2_080nm_</v>
      </c>
      <c r="C73" s="24" t="s">
        <v>1825</v>
      </c>
      <c r="D73" s="24" t="str">
        <f t="shared" si="1"/>
        <v>bossdb://lee2022/s05_l4_bin2_080nm_/s05_l4_bin2_080nm_/</v>
      </c>
      <c r="E73" s="24" t="s">
        <v>1752</v>
      </c>
      <c r="F73" s="32" t="s">
        <v>13</v>
      </c>
      <c r="G73" s="24" t="s">
        <v>1494</v>
      </c>
      <c r="H73" s="41" t="s">
        <v>858</v>
      </c>
      <c r="I73" s="24" t="s">
        <v>410</v>
      </c>
      <c r="J73" s="24" t="s">
        <v>411</v>
      </c>
      <c r="K73" s="14" t="b">
        <v>0</v>
      </c>
      <c r="L73" s="14" t="s">
        <v>2197</v>
      </c>
      <c r="M73" s="43" t="s">
        <v>413</v>
      </c>
      <c r="N73" s="14"/>
      <c r="O73" s="14"/>
      <c r="P73" s="14"/>
      <c r="Q73" s="14"/>
      <c r="R73" s="14"/>
      <c r="S73" s="14"/>
      <c r="T73" s="14"/>
      <c r="U73" s="14"/>
    </row>
    <row r="74" spans="1:21" ht="15.75" customHeight="1">
      <c r="A74" s="24" t="s">
        <v>78</v>
      </c>
      <c r="B74" s="25" t="str">
        <f t="shared" si="0"/>
        <v>s05_l12m200um_fits06_090nm_4_</v>
      </c>
      <c r="C74" s="24" t="s">
        <v>1826</v>
      </c>
      <c r="D74" s="24" t="str">
        <f t="shared" si="1"/>
        <v>bossdb://lee2022/s05_l12m200um_fits06_090nm_4_/s05_l12m200um_fits06_090nm_4_/</v>
      </c>
      <c r="E74" s="24" t="s">
        <v>1752</v>
      </c>
      <c r="F74" s="32" t="s">
        <v>13</v>
      </c>
      <c r="G74" s="24" t="s">
        <v>1494</v>
      </c>
      <c r="H74" s="41" t="s">
        <v>858</v>
      </c>
      <c r="I74" s="24" t="s">
        <v>410</v>
      </c>
      <c r="J74" s="24" t="s">
        <v>411</v>
      </c>
      <c r="K74" s="14" t="b">
        <v>0</v>
      </c>
      <c r="L74" s="14" t="s">
        <v>2197</v>
      </c>
      <c r="M74" s="43" t="s">
        <v>413</v>
      </c>
      <c r="N74" s="14"/>
      <c r="O74" s="14"/>
      <c r="P74" s="14"/>
      <c r="Q74" s="14"/>
      <c r="R74" s="14"/>
      <c r="S74" s="14"/>
      <c r="T74" s="14"/>
      <c r="U74" s="14"/>
    </row>
    <row r="75" spans="1:21" ht="15.75" customHeight="1">
      <c r="A75" s="24" t="s">
        <v>79</v>
      </c>
      <c r="B75" s="25" t="str">
        <f t="shared" si="0"/>
        <v>s05_l4_bin2_080nm_1_</v>
      </c>
      <c r="C75" s="24" t="s">
        <v>1827</v>
      </c>
      <c r="D75" s="24" t="str">
        <f t="shared" si="1"/>
        <v>bossdb://lee2022/s05_l4_bin2_080nm_1_/s05_l4_bin2_080nm_1_/</v>
      </c>
      <c r="E75" s="24" t="s">
        <v>1752</v>
      </c>
      <c r="F75" s="32" t="s">
        <v>13</v>
      </c>
      <c r="G75" s="24" t="s">
        <v>1494</v>
      </c>
      <c r="H75" s="41" t="s">
        <v>858</v>
      </c>
      <c r="I75" s="24" t="s">
        <v>410</v>
      </c>
      <c r="J75" s="24" t="s">
        <v>411</v>
      </c>
      <c r="K75" s="14" t="b">
        <v>0</v>
      </c>
      <c r="L75" s="14" t="s">
        <v>2197</v>
      </c>
      <c r="M75" s="43" t="s">
        <v>413</v>
      </c>
      <c r="N75" s="14"/>
      <c r="O75" s="14"/>
      <c r="P75" s="14"/>
      <c r="Q75" s="14"/>
      <c r="R75" s="14"/>
      <c r="S75" s="14"/>
      <c r="T75" s="14"/>
      <c r="U75" s="14"/>
    </row>
    <row r="76" spans="1:21" ht="15.75" customHeight="1">
      <c r="A76" s="24" t="s">
        <v>80</v>
      </c>
      <c r="B76" s="25" t="str">
        <f t="shared" si="0"/>
        <v>s05_l4_bin2_080nm_2_</v>
      </c>
      <c r="C76" s="24" t="s">
        <v>1828</v>
      </c>
      <c r="D76" s="24" t="str">
        <f t="shared" si="1"/>
        <v>bossdb://lee2022/s05_l4_bin2_080nm_2_/s05_l4_bin2_080nm_2_/</v>
      </c>
      <c r="E76" s="24" t="s">
        <v>1752</v>
      </c>
      <c r="F76" s="32" t="s">
        <v>13</v>
      </c>
      <c r="G76" s="24" t="s">
        <v>1494</v>
      </c>
      <c r="H76" s="41" t="s">
        <v>858</v>
      </c>
      <c r="I76" s="24" t="s">
        <v>410</v>
      </c>
      <c r="J76" s="24" t="s">
        <v>411</v>
      </c>
      <c r="K76" s="14" t="b">
        <v>0</v>
      </c>
      <c r="L76" s="14" t="s">
        <v>2197</v>
      </c>
      <c r="M76" s="43" t="s">
        <v>413</v>
      </c>
      <c r="N76" s="14"/>
      <c r="O76" s="14"/>
      <c r="P76" s="14"/>
      <c r="Q76" s="14"/>
      <c r="R76" s="14"/>
      <c r="S76" s="14"/>
      <c r="T76" s="14"/>
      <c r="U76" s="14"/>
    </row>
    <row r="77" spans="1:21" ht="15.75" customHeight="1">
      <c r="A77" s="24" t="s">
        <v>81</v>
      </c>
      <c r="B77" s="25" t="str">
        <f t="shared" si="0"/>
        <v>s05_l4_bin2_080nm_3_</v>
      </c>
      <c r="C77" s="24" t="s">
        <v>1829</v>
      </c>
      <c r="D77" s="24" t="str">
        <f t="shared" si="1"/>
        <v>bossdb://lee2022/s05_l4_bin2_080nm_3_/s05_l4_bin2_080nm_3_/</v>
      </c>
      <c r="E77" s="24" t="s">
        <v>1752</v>
      </c>
      <c r="F77" s="32" t="s">
        <v>13</v>
      </c>
      <c r="G77" s="24" t="s">
        <v>1494</v>
      </c>
      <c r="H77" s="41" t="s">
        <v>858</v>
      </c>
      <c r="I77" s="24" t="s">
        <v>410</v>
      </c>
      <c r="J77" s="24" t="s">
        <v>411</v>
      </c>
      <c r="K77" s="14" t="b">
        <v>0</v>
      </c>
      <c r="L77" s="14" t="s">
        <v>2197</v>
      </c>
      <c r="M77" s="43" t="s">
        <v>413</v>
      </c>
      <c r="N77" s="14"/>
      <c r="O77" s="14"/>
      <c r="P77" s="14"/>
      <c r="Q77" s="14"/>
      <c r="R77" s="14"/>
      <c r="S77" s="14"/>
      <c r="T77" s="14"/>
      <c r="U77" s="14"/>
    </row>
    <row r="78" spans="1:21" ht="15.75" customHeight="1">
      <c r="A78" s="24" t="s">
        <v>82</v>
      </c>
      <c r="B78" s="25" t="str">
        <f t="shared" si="0"/>
        <v>C2C_100nm_tile1_</v>
      </c>
      <c r="C78" s="24" t="s">
        <v>1830</v>
      </c>
      <c r="D78" s="24" t="str">
        <f t="shared" si="1"/>
        <v>bossdb://lee2022/C2C_100nm_tile1_/C2C_100nm_tile1_/</v>
      </c>
      <c r="E78" s="24" t="s">
        <v>1752</v>
      </c>
      <c r="F78" s="32" t="s">
        <v>83</v>
      </c>
      <c r="G78" s="24" t="s">
        <v>1494</v>
      </c>
      <c r="H78" s="41" t="s">
        <v>858</v>
      </c>
      <c r="I78" s="24" t="s">
        <v>410</v>
      </c>
      <c r="J78" s="24" t="s">
        <v>411</v>
      </c>
      <c r="K78" s="14" t="b">
        <v>0</v>
      </c>
      <c r="L78" s="14" t="s">
        <v>2197</v>
      </c>
      <c r="M78" s="43" t="s">
        <v>413</v>
      </c>
      <c r="N78" s="14"/>
      <c r="O78" s="14"/>
      <c r="P78" s="14"/>
      <c r="Q78" s="14"/>
      <c r="R78" s="14"/>
      <c r="S78" s="14"/>
      <c r="T78" s="14"/>
      <c r="U78" s="14"/>
    </row>
    <row r="79" spans="1:21" ht="15.75" customHeight="1">
      <c r="A79" s="24" t="s">
        <v>84</v>
      </c>
      <c r="B79" s="25" t="str">
        <f t="shared" si="0"/>
        <v>C2C_100nm_tile1_1_</v>
      </c>
      <c r="C79" s="24" t="s">
        <v>1831</v>
      </c>
      <c r="D79" s="24" t="str">
        <f t="shared" si="1"/>
        <v>bossdb://lee2022/C2C_100nm_tile1_1_/C2C_100nm_tile1_1_/</v>
      </c>
      <c r="E79" s="24" t="s">
        <v>1752</v>
      </c>
      <c r="F79" s="32" t="s">
        <v>85</v>
      </c>
      <c r="G79" s="24" t="s">
        <v>1494</v>
      </c>
      <c r="H79" s="41" t="s">
        <v>858</v>
      </c>
      <c r="I79" s="24" t="s">
        <v>410</v>
      </c>
      <c r="J79" s="42" t="s">
        <v>411</v>
      </c>
      <c r="K79" s="14" t="b">
        <v>0</v>
      </c>
      <c r="L79" s="14" t="s">
        <v>2197</v>
      </c>
      <c r="M79" s="43" t="s">
        <v>413</v>
      </c>
      <c r="N79" s="14"/>
      <c r="O79" s="14"/>
      <c r="P79" s="14"/>
      <c r="Q79" s="14"/>
      <c r="R79" s="14"/>
      <c r="S79" s="14"/>
      <c r="T79" s="14"/>
      <c r="U79" s="14"/>
    </row>
    <row r="80" spans="1:21" ht="15.75" customHeight="1">
      <c r="A80" s="24" t="s">
        <v>86</v>
      </c>
      <c r="B80" s="25" t="str">
        <f t="shared" si="0"/>
        <v>C2C_100nm_tile1_2_</v>
      </c>
      <c r="C80" s="24" t="s">
        <v>1832</v>
      </c>
      <c r="D80" s="24" t="str">
        <f t="shared" si="1"/>
        <v>bossdb://lee2022/C2C_100nm_tile1_2_/C2C_100nm_tile1_2_/</v>
      </c>
      <c r="E80" s="24" t="s">
        <v>1752</v>
      </c>
      <c r="F80" s="32" t="s">
        <v>87</v>
      </c>
      <c r="G80" s="24" t="s">
        <v>1494</v>
      </c>
      <c r="H80" s="41" t="s">
        <v>858</v>
      </c>
      <c r="I80" s="24" t="s">
        <v>410</v>
      </c>
      <c r="J80" s="24" t="s">
        <v>411</v>
      </c>
      <c r="K80" s="14" t="b">
        <v>0</v>
      </c>
      <c r="L80" s="14" t="s">
        <v>2197</v>
      </c>
      <c r="M80" s="43" t="s">
        <v>413</v>
      </c>
      <c r="N80" s="14"/>
      <c r="O80" s="14"/>
      <c r="P80" s="14"/>
      <c r="Q80" s="14"/>
      <c r="R80" s="14"/>
      <c r="S80" s="14"/>
      <c r="T80" s="14"/>
      <c r="U80" s="14"/>
    </row>
    <row r="81" spans="1:21" ht="15.75" customHeight="1">
      <c r="A81" s="24" t="s">
        <v>88</v>
      </c>
      <c r="B81" s="25" t="str">
        <f t="shared" si="0"/>
        <v>C2C_100nm_tile1_3_</v>
      </c>
      <c r="C81" s="24" t="s">
        <v>1833</v>
      </c>
      <c r="D81" s="24" t="str">
        <f t="shared" si="1"/>
        <v>bossdb://lee2022/C2C_100nm_tile1_3_/C2C_100nm_tile1_3_/</v>
      </c>
      <c r="E81" s="24" t="s">
        <v>1752</v>
      </c>
      <c r="F81" s="32" t="s">
        <v>89</v>
      </c>
      <c r="G81" s="24" t="s">
        <v>1494</v>
      </c>
      <c r="H81" s="41" t="s">
        <v>858</v>
      </c>
      <c r="I81" s="24" t="s">
        <v>410</v>
      </c>
      <c r="J81" s="24" t="s">
        <v>411</v>
      </c>
      <c r="K81" s="14" t="b">
        <v>0</v>
      </c>
      <c r="L81" s="14" t="s">
        <v>2197</v>
      </c>
      <c r="M81" s="43" t="s">
        <v>413</v>
      </c>
      <c r="N81" s="14"/>
      <c r="O81" s="14"/>
      <c r="P81" s="14"/>
      <c r="Q81" s="14"/>
      <c r="R81" s="14"/>
      <c r="S81" s="14"/>
      <c r="T81" s="14"/>
      <c r="U81" s="14"/>
    </row>
    <row r="82" spans="1:21" ht="15.75" customHeight="1">
      <c r="A82" s="24" t="s">
        <v>90</v>
      </c>
      <c r="B82" s="25" t="str">
        <f t="shared" si="0"/>
        <v>C2C_100nm_tile1_4_</v>
      </c>
      <c r="C82" s="24" t="s">
        <v>1834</v>
      </c>
      <c r="D82" s="24" t="str">
        <f t="shared" si="1"/>
        <v>bossdb://lee2022/C2C_100nm_tile1_4_/C2C_100nm_tile1_4_/</v>
      </c>
      <c r="E82" s="24" t="s">
        <v>1752</v>
      </c>
      <c r="F82" s="32" t="s">
        <v>91</v>
      </c>
      <c r="G82" s="24" t="s">
        <v>1494</v>
      </c>
      <c r="H82" s="41" t="s">
        <v>858</v>
      </c>
      <c r="I82" s="24" t="s">
        <v>410</v>
      </c>
      <c r="J82" s="24" t="s">
        <v>411</v>
      </c>
      <c r="K82" s="14" t="b">
        <v>0</v>
      </c>
      <c r="L82" s="14" t="s">
        <v>2197</v>
      </c>
      <c r="M82" s="43" t="s">
        <v>413</v>
      </c>
      <c r="N82" s="14"/>
      <c r="O82" s="14"/>
      <c r="P82" s="14"/>
      <c r="Q82" s="14"/>
      <c r="R82" s="14"/>
      <c r="S82" s="14"/>
      <c r="T82" s="14"/>
      <c r="U82" s="14"/>
    </row>
    <row r="83" spans="1:21" ht="15.75" customHeight="1">
      <c r="A83" s="24" t="s">
        <v>92</v>
      </c>
      <c r="B83" s="25" t="str">
        <f t="shared" si="0"/>
        <v>C2C_100nm_tile2_</v>
      </c>
      <c r="C83" s="24" t="s">
        <v>1835</v>
      </c>
      <c r="D83" s="24" t="str">
        <f t="shared" si="1"/>
        <v>bossdb://lee2022/C2C_100nm_tile2_/C2C_100nm_tile2_/</v>
      </c>
      <c r="E83" s="24" t="s">
        <v>1752</v>
      </c>
      <c r="F83" s="32" t="s">
        <v>93</v>
      </c>
      <c r="G83" s="24" t="s">
        <v>1494</v>
      </c>
      <c r="H83" s="41" t="s">
        <v>858</v>
      </c>
      <c r="I83" s="24" t="s">
        <v>410</v>
      </c>
      <c r="J83" s="24" t="s">
        <v>411</v>
      </c>
      <c r="K83" s="14" t="b">
        <v>0</v>
      </c>
      <c r="L83" s="14" t="s">
        <v>2197</v>
      </c>
      <c r="M83" s="43" t="s">
        <v>413</v>
      </c>
      <c r="N83" s="14"/>
      <c r="O83" s="14"/>
      <c r="P83" s="14"/>
      <c r="Q83" s="14"/>
      <c r="R83" s="14"/>
      <c r="S83" s="14"/>
      <c r="T83" s="14"/>
      <c r="U83" s="14"/>
    </row>
    <row r="84" spans="1:21" ht="15.75" customHeight="1">
      <c r="A84" s="24" t="s">
        <v>94</v>
      </c>
      <c r="B84" s="25" t="str">
        <f t="shared" si="0"/>
        <v>C2C_100nm_tile2_1_</v>
      </c>
      <c r="C84" s="24" t="s">
        <v>1836</v>
      </c>
      <c r="D84" s="24" t="str">
        <f t="shared" si="1"/>
        <v>bossdb://lee2022/C2C_100nm_tile2_1_/C2C_100nm_tile2_1_/</v>
      </c>
      <c r="E84" s="24" t="s">
        <v>1752</v>
      </c>
      <c r="F84" s="32" t="s">
        <v>95</v>
      </c>
      <c r="G84" s="24" t="s">
        <v>1494</v>
      </c>
      <c r="H84" s="41" t="s">
        <v>858</v>
      </c>
      <c r="I84" s="24" t="s">
        <v>410</v>
      </c>
      <c r="J84" s="24" t="s">
        <v>411</v>
      </c>
      <c r="K84" s="14" t="b">
        <v>0</v>
      </c>
      <c r="L84" s="14" t="s">
        <v>2197</v>
      </c>
      <c r="M84" s="43" t="s">
        <v>413</v>
      </c>
      <c r="N84" s="14"/>
      <c r="O84" s="14"/>
      <c r="P84" s="14"/>
      <c r="Q84" s="14"/>
      <c r="R84" s="14"/>
      <c r="S84" s="14"/>
      <c r="T84" s="14"/>
      <c r="U84" s="14"/>
    </row>
    <row r="85" spans="1:21" ht="15.75" customHeight="1">
      <c r="A85" s="24" t="s">
        <v>96</v>
      </c>
      <c r="B85" s="25" t="str">
        <f t="shared" si="0"/>
        <v>C2C_100nm_tile2_2_</v>
      </c>
      <c r="C85" s="24" t="s">
        <v>1837</v>
      </c>
      <c r="D85" s="24" t="str">
        <f t="shared" si="1"/>
        <v>bossdb://lee2022/C2C_100nm_tile2_2_/C2C_100nm_tile2_2_/</v>
      </c>
      <c r="E85" s="24" t="s">
        <v>1752</v>
      </c>
      <c r="F85" s="32" t="s">
        <v>97</v>
      </c>
      <c r="G85" s="24" t="s">
        <v>1494</v>
      </c>
      <c r="H85" s="41" t="s">
        <v>858</v>
      </c>
      <c r="I85" s="24" t="s">
        <v>410</v>
      </c>
      <c r="J85" s="24" t="s">
        <v>411</v>
      </c>
      <c r="K85" s="14" t="b">
        <v>0</v>
      </c>
      <c r="L85" s="14" t="s">
        <v>2197</v>
      </c>
      <c r="M85" s="43" t="s">
        <v>413</v>
      </c>
      <c r="N85" s="14"/>
      <c r="O85" s="14"/>
      <c r="P85" s="14"/>
      <c r="Q85" s="14"/>
      <c r="R85" s="14"/>
      <c r="S85" s="14"/>
      <c r="T85" s="14"/>
      <c r="U85" s="14"/>
    </row>
    <row r="86" spans="1:21" ht="15.75" customHeight="1">
      <c r="A86" s="24" t="s">
        <v>98</v>
      </c>
      <c r="B86" s="25" t="str">
        <f t="shared" si="0"/>
        <v>C2C_100nm_tile2_3_</v>
      </c>
      <c r="C86" s="24" t="s">
        <v>1838</v>
      </c>
      <c r="D86" s="24" t="str">
        <f t="shared" si="1"/>
        <v>bossdb://lee2022/C2C_100nm_tile2_3_/C2C_100nm_tile2_3_/</v>
      </c>
      <c r="E86" s="24" t="s">
        <v>1752</v>
      </c>
      <c r="F86" s="32" t="s">
        <v>99</v>
      </c>
      <c r="G86" s="24" t="s">
        <v>1494</v>
      </c>
      <c r="H86" s="41" t="s">
        <v>858</v>
      </c>
      <c r="I86" s="24" t="s">
        <v>410</v>
      </c>
      <c r="J86" s="24" t="s">
        <v>411</v>
      </c>
      <c r="K86" s="14" t="b">
        <v>0</v>
      </c>
      <c r="L86" s="14" t="s">
        <v>2197</v>
      </c>
      <c r="M86" s="43" t="s">
        <v>413</v>
      </c>
      <c r="N86" s="14"/>
      <c r="O86" s="14"/>
      <c r="P86" s="14"/>
      <c r="Q86" s="14"/>
      <c r="R86" s="14"/>
      <c r="S86" s="14"/>
      <c r="T86" s="14"/>
      <c r="U86" s="14"/>
    </row>
    <row r="87" spans="1:21" ht="15.75" customHeight="1">
      <c r="A87" s="24" t="s">
        <v>100</v>
      </c>
      <c r="B87" s="25" t="str">
        <f t="shared" si="0"/>
        <v>C2C_100nm_tile2_4_</v>
      </c>
      <c r="C87" s="24" t="s">
        <v>1839</v>
      </c>
      <c r="D87" s="24" t="str">
        <f t="shared" si="1"/>
        <v>bossdb://lee2022/C2C_100nm_tile2_4_/C2C_100nm_tile2_4_/</v>
      </c>
      <c r="E87" s="24" t="s">
        <v>1752</v>
      </c>
      <c r="F87" s="32" t="s">
        <v>101</v>
      </c>
      <c r="G87" s="24" t="s">
        <v>1494</v>
      </c>
      <c r="H87" s="41" t="s">
        <v>858</v>
      </c>
      <c r="I87" s="24" t="s">
        <v>410</v>
      </c>
      <c r="J87" s="24" t="s">
        <v>411</v>
      </c>
      <c r="K87" s="14" t="b">
        <v>0</v>
      </c>
      <c r="L87" s="14" t="s">
        <v>2197</v>
      </c>
      <c r="M87" s="43" t="s">
        <v>413</v>
      </c>
      <c r="N87" s="14"/>
      <c r="O87" s="14"/>
      <c r="P87" s="14"/>
      <c r="Q87" s="14"/>
      <c r="R87" s="14"/>
      <c r="S87" s="14"/>
      <c r="T87" s="14"/>
      <c r="U87" s="14"/>
    </row>
    <row r="88" spans="1:21" ht="15.75" customHeight="1">
      <c r="A88" s="24" t="s">
        <v>102</v>
      </c>
      <c r="B88" s="25" t="str">
        <f t="shared" si="0"/>
        <v>C2C_100nm_tile3_</v>
      </c>
      <c r="C88" s="24" t="s">
        <v>1840</v>
      </c>
      <c r="D88" s="24" t="str">
        <f t="shared" si="1"/>
        <v>bossdb://lee2022/C2C_100nm_tile3_/C2C_100nm_tile3_/</v>
      </c>
      <c r="E88" s="24" t="s">
        <v>1752</v>
      </c>
      <c r="F88" s="32" t="s">
        <v>103</v>
      </c>
      <c r="G88" s="24" t="s">
        <v>1494</v>
      </c>
      <c r="H88" s="41" t="s">
        <v>858</v>
      </c>
      <c r="I88" s="24" t="s">
        <v>410</v>
      </c>
      <c r="J88" s="24" t="s">
        <v>411</v>
      </c>
      <c r="K88" s="14" t="b">
        <v>0</v>
      </c>
      <c r="L88" s="14" t="s">
        <v>2197</v>
      </c>
      <c r="M88" s="43" t="s">
        <v>413</v>
      </c>
      <c r="N88" s="14"/>
      <c r="O88" s="14"/>
      <c r="P88" s="14"/>
      <c r="Q88" s="14"/>
      <c r="R88" s="14"/>
      <c r="S88" s="14"/>
      <c r="T88" s="14"/>
      <c r="U88" s="14"/>
    </row>
    <row r="89" spans="1:21" ht="15.75" customHeight="1">
      <c r="A89" s="24" t="s">
        <v>104</v>
      </c>
      <c r="B89" s="25" t="str">
        <f t="shared" si="0"/>
        <v>C2C_100nm_tile3_1_</v>
      </c>
      <c r="C89" s="24" t="s">
        <v>1841</v>
      </c>
      <c r="D89" s="24" t="str">
        <f t="shared" si="1"/>
        <v>bossdb://lee2022/C2C_100nm_tile3_1_/C2C_100nm_tile3_1_/</v>
      </c>
      <c r="E89" s="24" t="s">
        <v>1752</v>
      </c>
      <c r="F89" s="32" t="s">
        <v>105</v>
      </c>
      <c r="G89" s="24" t="s">
        <v>1494</v>
      </c>
      <c r="H89" s="41" t="s">
        <v>858</v>
      </c>
      <c r="I89" s="24" t="s">
        <v>410</v>
      </c>
      <c r="J89" s="24" t="s">
        <v>411</v>
      </c>
      <c r="K89" s="14" t="b">
        <v>0</v>
      </c>
      <c r="L89" s="14" t="s">
        <v>2197</v>
      </c>
      <c r="M89" s="43" t="s">
        <v>413</v>
      </c>
      <c r="N89" s="14"/>
      <c r="O89" s="14"/>
      <c r="P89" s="14"/>
      <c r="Q89" s="14"/>
      <c r="R89" s="14"/>
      <c r="S89" s="14"/>
      <c r="T89" s="14"/>
      <c r="U89" s="14"/>
    </row>
    <row r="90" spans="1:21" ht="15.75" customHeight="1">
      <c r="A90" s="24" t="s">
        <v>106</v>
      </c>
      <c r="B90" s="25" t="str">
        <f t="shared" si="0"/>
        <v>C2C_100nm_tile3_2_</v>
      </c>
      <c r="C90" s="24" t="s">
        <v>1842</v>
      </c>
      <c r="D90" s="24" t="str">
        <f t="shared" si="1"/>
        <v>bossdb://lee2022/C2C_100nm_tile3_2_/C2C_100nm_tile3_2_/</v>
      </c>
      <c r="E90" s="24" t="s">
        <v>1752</v>
      </c>
      <c r="F90" s="32" t="s">
        <v>107</v>
      </c>
      <c r="G90" s="24" t="s">
        <v>1494</v>
      </c>
      <c r="H90" s="41" t="s">
        <v>858</v>
      </c>
      <c r="I90" s="24" t="s">
        <v>410</v>
      </c>
      <c r="J90" s="24" t="s">
        <v>411</v>
      </c>
      <c r="K90" s="14" t="b">
        <v>0</v>
      </c>
      <c r="L90" s="14" t="s">
        <v>2197</v>
      </c>
      <c r="M90" s="43" t="s">
        <v>413</v>
      </c>
      <c r="N90" s="14"/>
      <c r="O90" s="14"/>
      <c r="P90" s="14"/>
      <c r="Q90" s="14"/>
      <c r="R90" s="14"/>
      <c r="S90" s="14"/>
      <c r="T90" s="14"/>
      <c r="U90" s="14"/>
    </row>
    <row r="91" spans="1:21" ht="15.75" customHeight="1">
      <c r="A91" s="24" t="s">
        <v>108</v>
      </c>
      <c r="B91" s="25" t="str">
        <f t="shared" si="0"/>
        <v>C2C_100nm_tile3_3_</v>
      </c>
      <c r="C91" s="24" t="s">
        <v>1843</v>
      </c>
      <c r="D91" s="24" t="str">
        <f t="shared" si="1"/>
        <v>bossdb://lee2022/C2C_100nm_tile3_3_/C2C_100nm_tile3_3_/</v>
      </c>
      <c r="E91" s="24" t="s">
        <v>1752</v>
      </c>
      <c r="F91" s="32" t="s">
        <v>109</v>
      </c>
      <c r="G91" s="24" t="s">
        <v>1494</v>
      </c>
      <c r="H91" s="41" t="s">
        <v>858</v>
      </c>
      <c r="I91" s="24" t="s">
        <v>410</v>
      </c>
      <c r="J91" s="24" t="s">
        <v>411</v>
      </c>
      <c r="K91" s="14" t="b">
        <v>0</v>
      </c>
      <c r="L91" s="14" t="s">
        <v>2197</v>
      </c>
      <c r="M91" s="43" t="s">
        <v>413</v>
      </c>
      <c r="N91" s="14"/>
      <c r="O91" s="14"/>
      <c r="P91" s="14"/>
      <c r="Q91" s="14"/>
      <c r="R91" s="14"/>
      <c r="S91" s="14"/>
      <c r="T91" s="14"/>
      <c r="U91" s="14"/>
    </row>
    <row r="92" spans="1:21" ht="15.75" customHeight="1">
      <c r="A92" s="24" t="s">
        <v>110</v>
      </c>
      <c r="B92" s="25" t="str">
        <f t="shared" si="0"/>
        <v>C2C_100nm_tile3_4_</v>
      </c>
      <c r="C92" s="24" t="s">
        <v>1844</v>
      </c>
      <c r="D92" s="24" t="str">
        <f t="shared" si="1"/>
        <v>bossdb://lee2022/C2C_100nm_tile3_4_/C2C_100nm_tile3_4_/</v>
      </c>
      <c r="E92" s="24" t="s">
        <v>1752</v>
      </c>
      <c r="F92" s="32" t="s">
        <v>111</v>
      </c>
      <c r="G92" s="24" t="s">
        <v>1494</v>
      </c>
      <c r="H92" s="41" t="s">
        <v>858</v>
      </c>
      <c r="I92" s="24" t="s">
        <v>410</v>
      </c>
      <c r="J92" s="42" t="s">
        <v>411</v>
      </c>
      <c r="K92" s="14" t="b">
        <v>0</v>
      </c>
      <c r="L92" s="14" t="s">
        <v>2197</v>
      </c>
      <c r="M92" s="43" t="s">
        <v>413</v>
      </c>
      <c r="N92" s="14"/>
      <c r="O92" s="14"/>
      <c r="P92" s="14"/>
      <c r="Q92" s="14"/>
      <c r="R92" s="14"/>
      <c r="S92" s="14"/>
      <c r="T92" s="14"/>
      <c r="U92" s="14"/>
    </row>
    <row r="93" spans="1:21" ht="15.75" customHeight="1">
      <c r="A93" s="24" t="s">
        <v>112</v>
      </c>
      <c r="B93" s="25" t="str">
        <f t="shared" si="0"/>
        <v>C2C_ovw_150nm_sz1p1_</v>
      </c>
      <c r="C93" s="24" t="s">
        <v>1845</v>
      </c>
      <c r="D93" s="24" t="str">
        <f t="shared" si="1"/>
        <v>bossdb://lee2022/C2C_ovw_150nm_sz1p1_/C2C_ovw_150nm_sz1p1_/</v>
      </c>
      <c r="E93" s="24" t="s">
        <v>1752</v>
      </c>
      <c r="F93" s="32" t="s">
        <v>113</v>
      </c>
      <c r="G93" s="24" t="s">
        <v>1494</v>
      </c>
      <c r="H93" s="41" t="s">
        <v>858</v>
      </c>
      <c r="I93" s="24" t="s">
        <v>410</v>
      </c>
      <c r="J93" s="24" t="s">
        <v>411</v>
      </c>
      <c r="K93" s="14" t="b">
        <v>0</v>
      </c>
      <c r="L93" s="14" t="s">
        <v>2197</v>
      </c>
      <c r="M93" s="43" t="s">
        <v>413</v>
      </c>
      <c r="N93" s="14"/>
      <c r="O93" s="14"/>
      <c r="P93" s="14"/>
      <c r="Q93" s="14"/>
      <c r="R93" s="14"/>
      <c r="S93" s="14"/>
      <c r="T93" s="14"/>
      <c r="U93" s="14"/>
    </row>
    <row r="94" spans="1:21" ht="15.75" customHeight="1">
      <c r="A94" s="24" t="s">
        <v>114</v>
      </c>
      <c r="B94" s="25" t="str">
        <f t="shared" si="0"/>
        <v>C2C_ovw_150nm_sz1p1_1_</v>
      </c>
      <c r="C94" s="24" t="s">
        <v>1846</v>
      </c>
      <c r="D94" s="24" t="str">
        <f t="shared" si="1"/>
        <v>bossdb://lee2022/C2C_ovw_150nm_sz1p1_1_/C2C_ovw_150nm_sz1p1_1_/</v>
      </c>
      <c r="E94" s="24" t="s">
        <v>1752</v>
      </c>
      <c r="F94" s="32" t="s">
        <v>115</v>
      </c>
      <c r="G94" s="24" t="s">
        <v>1494</v>
      </c>
      <c r="H94" s="41" t="s">
        <v>858</v>
      </c>
      <c r="I94" s="24" t="s">
        <v>410</v>
      </c>
      <c r="J94" s="24" t="s">
        <v>411</v>
      </c>
      <c r="K94" s="14" t="b">
        <v>0</v>
      </c>
      <c r="L94" s="14" t="s">
        <v>2197</v>
      </c>
      <c r="M94" s="43" t="s">
        <v>413</v>
      </c>
      <c r="N94" s="14"/>
      <c r="O94" s="14"/>
      <c r="P94" s="14"/>
      <c r="Q94" s="14"/>
      <c r="R94" s="14"/>
      <c r="S94" s="14"/>
      <c r="T94" s="14"/>
      <c r="U94" s="14"/>
    </row>
    <row r="95" spans="1:21" ht="15.75" customHeight="1">
      <c r="A95" s="24" t="s">
        <v>116</v>
      </c>
      <c r="B95" s="25" t="str">
        <f t="shared" si="0"/>
        <v>C2C_ovw_150nm_sz1p4_</v>
      </c>
      <c r="C95" s="24" t="s">
        <v>1847</v>
      </c>
      <c r="D95" s="24" t="str">
        <f t="shared" si="1"/>
        <v>bossdb://lee2022/C2C_ovw_150nm_sz1p4_/C2C_ovw_150nm_sz1p4_/</v>
      </c>
      <c r="E95" s="24" t="s">
        <v>1752</v>
      </c>
      <c r="F95" s="32" t="s">
        <v>117</v>
      </c>
      <c r="G95" s="24" t="s">
        <v>1494</v>
      </c>
      <c r="H95" s="41" t="s">
        <v>858</v>
      </c>
      <c r="I95" s="24" t="s">
        <v>410</v>
      </c>
      <c r="J95" s="24" t="s">
        <v>411</v>
      </c>
      <c r="K95" s="14" t="b">
        <v>0</v>
      </c>
      <c r="L95" s="14" t="s">
        <v>2197</v>
      </c>
      <c r="M95" s="43" t="s">
        <v>413</v>
      </c>
      <c r="N95" s="14"/>
      <c r="O95" s="14"/>
      <c r="P95" s="14"/>
      <c r="Q95" s="14"/>
      <c r="R95" s="14"/>
      <c r="S95" s="14"/>
      <c r="T95" s="14"/>
      <c r="U95" s="14"/>
    </row>
    <row r="96" spans="1:21" ht="15.75" customHeight="1">
      <c r="A96" s="24" t="s">
        <v>118</v>
      </c>
      <c r="B96" s="25" t="str">
        <f t="shared" si="0"/>
        <v>C2C_ovw_150nm_sz1p4_1_</v>
      </c>
      <c r="C96" s="24" t="s">
        <v>1848</v>
      </c>
      <c r="D96" s="24" t="str">
        <f t="shared" si="1"/>
        <v>bossdb://lee2022/C2C_ovw_150nm_sz1p4_1_/C2C_ovw_150nm_sz1p4_1_/</v>
      </c>
      <c r="E96" s="24" t="s">
        <v>1752</v>
      </c>
      <c r="F96" s="32" t="s">
        <v>119</v>
      </c>
      <c r="G96" s="24" t="s">
        <v>1494</v>
      </c>
      <c r="H96" s="41" t="s">
        <v>858</v>
      </c>
      <c r="I96" s="24" t="s">
        <v>410</v>
      </c>
      <c r="J96" s="24" t="s">
        <v>411</v>
      </c>
      <c r="K96" s="14" t="b">
        <v>0</v>
      </c>
      <c r="L96" s="14" t="s">
        <v>2197</v>
      </c>
      <c r="M96" s="43" t="s">
        <v>413</v>
      </c>
      <c r="N96" s="14"/>
      <c r="O96" s="14"/>
      <c r="P96" s="14"/>
      <c r="Q96" s="14"/>
      <c r="R96" s="14"/>
      <c r="S96" s="14"/>
      <c r="T96" s="14"/>
      <c r="U96" s="14"/>
    </row>
    <row r="97" spans="1:21" ht="15.75" customHeight="1">
      <c r="A97" s="24" t="s">
        <v>120</v>
      </c>
      <c r="B97" s="25" t="str">
        <f t="shared" si="0"/>
        <v>C2D_060nm_tile1_</v>
      </c>
      <c r="C97" s="24" t="s">
        <v>1849</v>
      </c>
      <c r="D97" s="24" t="str">
        <f t="shared" si="1"/>
        <v>bossdb://lee2022/C2D_060nm_tile1_/C2D_060nm_tile1_/</v>
      </c>
      <c r="E97" s="24" t="s">
        <v>1752</v>
      </c>
      <c r="F97" s="32" t="s">
        <v>121</v>
      </c>
      <c r="G97" s="24" t="s">
        <v>1494</v>
      </c>
      <c r="H97" s="41" t="s">
        <v>858</v>
      </c>
      <c r="I97" s="24" t="s">
        <v>410</v>
      </c>
      <c r="J97" s="24" t="s">
        <v>411</v>
      </c>
      <c r="K97" s="14" t="b">
        <v>0</v>
      </c>
      <c r="L97" s="14" t="s">
        <v>2197</v>
      </c>
      <c r="M97" s="43" t="s">
        <v>413</v>
      </c>
      <c r="N97" s="14"/>
      <c r="O97" s="14"/>
      <c r="P97" s="14"/>
      <c r="Q97" s="14"/>
      <c r="R97" s="14"/>
      <c r="S97" s="14"/>
      <c r="T97" s="14"/>
      <c r="U97" s="14"/>
    </row>
    <row r="98" spans="1:21" ht="15.75" customHeight="1">
      <c r="A98" s="24" t="s">
        <v>122</v>
      </c>
      <c r="B98" s="25" t="str">
        <f t="shared" si="0"/>
        <v>C2D_060nm_tile1_1_</v>
      </c>
      <c r="C98" s="24" t="s">
        <v>1850</v>
      </c>
      <c r="D98" s="24" t="str">
        <f t="shared" si="1"/>
        <v>bossdb://lee2022/C2D_060nm_tile1_1_/C2D_060nm_tile1_1_/</v>
      </c>
      <c r="E98" s="24" t="s">
        <v>1752</v>
      </c>
      <c r="F98" s="32" t="s">
        <v>123</v>
      </c>
      <c r="G98" s="24" t="s">
        <v>1494</v>
      </c>
      <c r="H98" s="41" t="s">
        <v>858</v>
      </c>
      <c r="I98" s="24" t="s">
        <v>410</v>
      </c>
      <c r="J98" s="24" t="s">
        <v>411</v>
      </c>
      <c r="K98" s="14" t="b">
        <v>0</v>
      </c>
      <c r="L98" s="14" t="s">
        <v>2197</v>
      </c>
      <c r="M98" s="43" t="s">
        <v>413</v>
      </c>
      <c r="N98" s="14"/>
      <c r="O98" s="14"/>
      <c r="P98" s="14"/>
      <c r="Q98" s="14"/>
      <c r="R98" s="14"/>
      <c r="S98" s="14"/>
      <c r="T98" s="14"/>
      <c r="U98" s="14"/>
    </row>
    <row r="99" spans="1:21" ht="15.75" customHeight="1">
      <c r="A99" s="24" t="s">
        <v>124</v>
      </c>
      <c r="B99" s="25" t="str">
        <f t="shared" si="0"/>
        <v>C2D_060nm_tile1_2_</v>
      </c>
      <c r="C99" s="24" t="s">
        <v>1851</v>
      </c>
      <c r="D99" s="24" t="str">
        <f t="shared" si="1"/>
        <v>bossdb://lee2022/C2D_060nm_tile1_2_/C2D_060nm_tile1_2_/</v>
      </c>
      <c r="E99" s="24" t="s">
        <v>1752</v>
      </c>
      <c r="F99" s="32" t="s">
        <v>125</v>
      </c>
      <c r="G99" s="24" t="s">
        <v>1494</v>
      </c>
      <c r="H99" s="41" t="s">
        <v>858</v>
      </c>
      <c r="I99" s="24" t="s">
        <v>410</v>
      </c>
      <c r="J99" s="24" t="s">
        <v>411</v>
      </c>
      <c r="K99" s="14" t="b">
        <v>0</v>
      </c>
      <c r="L99" s="14" t="s">
        <v>2197</v>
      </c>
      <c r="M99" s="43" t="s">
        <v>413</v>
      </c>
      <c r="N99" s="14"/>
      <c r="O99" s="14"/>
      <c r="P99" s="14"/>
      <c r="Q99" s="14"/>
      <c r="R99" s="14"/>
      <c r="S99" s="14"/>
      <c r="T99" s="14"/>
      <c r="U99" s="14"/>
    </row>
    <row r="100" spans="1:21" ht="15.75" customHeight="1">
      <c r="A100" s="24" t="s">
        <v>126</v>
      </c>
      <c r="B100" s="25" t="str">
        <f t="shared" si="0"/>
        <v>C2D_060nm_tile1_3_</v>
      </c>
      <c r="C100" s="24" t="s">
        <v>1852</v>
      </c>
      <c r="D100" s="24" t="str">
        <f t="shared" si="1"/>
        <v>bossdb://lee2022/C2D_060nm_tile1_3_/C2D_060nm_tile1_3_/</v>
      </c>
      <c r="E100" s="24" t="s">
        <v>1752</v>
      </c>
      <c r="F100" s="32" t="s">
        <v>127</v>
      </c>
      <c r="G100" s="24" t="s">
        <v>1494</v>
      </c>
      <c r="H100" s="41" t="s">
        <v>858</v>
      </c>
      <c r="I100" s="24" t="s">
        <v>410</v>
      </c>
      <c r="J100" s="24" t="s">
        <v>411</v>
      </c>
      <c r="K100" s="14" t="b">
        <v>0</v>
      </c>
      <c r="L100" s="14" t="s">
        <v>2197</v>
      </c>
      <c r="M100" s="43" t="s">
        <v>413</v>
      </c>
      <c r="N100" s="14"/>
      <c r="O100" s="14"/>
      <c r="P100" s="14"/>
      <c r="Q100" s="14"/>
      <c r="R100" s="14"/>
      <c r="S100" s="14"/>
      <c r="T100" s="14"/>
      <c r="U100" s="14"/>
    </row>
    <row r="101" spans="1:21" ht="15.75" customHeight="1">
      <c r="A101" s="24" t="s">
        <v>128</v>
      </c>
      <c r="B101" s="25" t="str">
        <f t="shared" si="0"/>
        <v>C2D_060nm_tile1_4_</v>
      </c>
      <c r="C101" s="24" t="s">
        <v>1853</v>
      </c>
      <c r="D101" s="24" t="str">
        <f t="shared" si="1"/>
        <v>bossdb://lee2022/C2D_060nm_tile1_4_/C2D_060nm_tile1_4_/</v>
      </c>
      <c r="E101" s="24" t="s">
        <v>1752</v>
      </c>
      <c r="F101" s="32" t="s">
        <v>129</v>
      </c>
      <c r="G101" s="24" t="s">
        <v>1494</v>
      </c>
      <c r="H101" s="41" t="s">
        <v>858</v>
      </c>
      <c r="I101" s="24" t="s">
        <v>410</v>
      </c>
      <c r="J101" s="24" t="s">
        <v>411</v>
      </c>
      <c r="K101" s="14" t="b">
        <v>0</v>
      </c>
      <c r="L101" s="14" t="s">
        <v>2197</v>
      </c>
      <c r="M101" s="43" t="s">
        <v>413</v>
      </c>
      <c r="N101" s="14"/>
      <c r="O101" s="14"/>
      <c r="P101" s="14"/>
      <c r="Q101" s="14"/>
      <c r="R101" s="14"/>
      <c r="S101" s="14"/>
      <c r="T101" s="14"/>
      <c r="U101" s="14"/>
    </row>
    <row r="102" spans="1:21" ht="15.75" customHeight="1">
      <c r="A102" s="24" t="s">
        <v>130</v>
      </c>
      <c r="B102" s="25" t="str">
        <f t="shared" si="0"/>
        <v>C2D_100nm_tile1_</v>
      </c>
      <c r="C102" s="24" t="s">
        <v>1854</v>
      </c>
      <c r="D102" s="24" t="str">
        <f t="shared" si="1"/>
        <v>bossdb://lee2022/C2D_100nm_tile1_/C2D_100nm_tile1_/</v>
      </c>
      <c r="E102" s="24" t="s">
        <v>1752</v>
      </c>
      <c r="F102" s="32" t="s">
        <v>131</v>
      </c>
      <c r="G102" s="24" t="s">
        <v>1494</v>
      </c>
      <c r="H102" s="41" t="s">
        <v>858</v>
      </c>
      <c r="I102" s="24" t="s">
        <v>410</v>
      </c>
      <c r="J102" s="24" t="s">
        <v>411</v>
      </c>
      <c r="K102" s="14" t="b">
        <v>0</v>
      </c>
      <c r="L102" s="14" t="s">
        <v>2197</v>
      </c>
      <c r="M102" s="43" t="s">
        <v>413</v>
      </c>
      <c r="N102" s="14"/>
      <c r="O102" s="14"/>
      <c r="P102" s="14"/>
      <c r="Q102" s="14"/>
      <c r="R102" s="14"/>
      <c r="S102" s="14"/>
      <c r="T102" s="14"/>
      <c r="U102" s="14"/>
    </row>
    <row r="103" spans="1:21" ht="15.75" customHeight="1">
      <c r="A103" s="24" t="s">
        <v>132</v>
      </c>
      <c r="B103" s="25" t="str">
        <f t="shared" si="0"/>
        <v>C2D_100nm_tile1_1_</v>
      </c>
      <c r="C103" s="24" t="s">
        <v>1855</v>
      </c>
      <c r="D103" s="24" t="str">
        <f t="shared" si="1"/>
        <v>bossdb://lee2022/C2D_100nm_tile1_1_/C2D_100nm_tile1_1_/</v>
      </c>
      <c r="E103" s="24" t="s">
        <v>1752</v>
      </c>
      <c r="F103" s="32" t="s">
        <v>133</v>
      </c>
      <c r="G103" s="24" t="s">
        <v>1494</v>
      </c>
      <c r="H103" s="41" t="s">
        <v>858</v>
      </c>
      <c r="I103" s="24" t="s">
        <v>410</v>
      </c>
      <c r="J103" s="24" t="s">
        <v>411</v>
      </c>
      <c r="K103" s="14" t="b">
        <v>0</v>
      </c>
      <c r="L103" s="14" t="s">
        <v>2197</v>
      </c>
      <c r="M103" s="43" t="s">
        <v>413</v>
      </c>
      <c r="N103" s="14"/>
      <c r="O103" s="14"/>
      <c r="P103" s="14"/>
      <c r="Q103" s="14"/>
      <c r="R103" s="14"/>
      <c r="S103" s="14"/>
      <c r="T103" s="14"/>
      <c r="U103" s="14"/>
    </row>
    <row r="104" spans="1:21" ht="15.75" customHeight="1">
      <c r="A104" s="24" t="s">
        <v>134</v>
      </c>
      <c r="B104" s="25" t="str">
        <f t="shared" si="0"/>
        <v>C2D_100nm_tile1_2_</v>
      </c>
      <c r="C104" s="24" t="s">
        <v>1856</v>
      </c>
      <c r="D104" s="24" t="str">
        <f t="shared" si="1"/>
        <v>bossdb://lee2022/C2D_100nm_tile1_2_/C2D_100nm_tile1_2_/</v>
      </c>
      <c r="E104" s="24" t="s">
        <v>1752</v>
      </c>
      <c r="F104" s="32" t="s">
        <v>135</v>
      </c>
      <c r="G104" s="24" t="s">
        <v>1494</v>
      </c>
      <c r="H104" s="41" t="s">
        <v>858</v>
      </c>
      <c r="I104" s="24" t="s">
        <v>410</v>
      </c>
      <c r="J104" s="24" t="s">
        <v>411</v>
      </c>
      <c r="K104" s="14" t="b">
        <v>0</v>
      </c>
      <c r="L104" s="14" t="s">
        <v>2197</v>
      </c>
      <c r="M104" s="43" t="s">
        <v>413</v>
      </c>
      <c r="N104" s="14"/>
      <c r="O104" s="14"/>
      <c r="P104" s="14"/>
      <c r="Q104" s="14"/>
      <c r="R104" s="14"/>
      <c r="S104" s="14"/>
      <c r="T104" s="14"/>
      <c r="U104" s="14"/>
    </row>
    <row r="105" spans="1:21" ht="15.75" customHeight="1">
      <c r="A105" s="24" t="s">
        <v>136</v>
      </c>
      <c r="B105" s="25" t="str">
        <f t="shared" si="0"/>
        <v>C2D_100nm_tile1_3_</v>
      </c>
      <c r="C105" s="24" t="s">
        <v>1857</v>
      </c>
      <c r="D105" s="24" t="str">
        <f t="shared" si="1"/>
        <v>bossdb://lee2022/C2D_100nm_tile1_3_/C2D_100nm_tile1_3_/</v>
      </c>
      <c r="E105" s="24" t="s">
        <v>1752</v>
      </c>
      <c r="F105" s="32" t="s">
        <v>137</v>
      </c>
      <c r="G105" s="24" t="s">
        <v>1494</v>
      </c>
      <c r="H105" s="41" t="s">
        <v>858</v>
      </c>
      <c r="I105" s="24" t="s">
        <v>410</v>
      </c>
      <c r="J105" s="42" t="s">
        <v>411</v>
      </c>
      <c r="K105" s="14" t="b">
        <v>0</v>
      </c>
      <c r="L105" s="14" t="s">
        <v>2197</v>
      </c>
      <c r="M105" s="43" t="s">
        <v>413</v>
      </c>
      <c r="N105" s="14"/>
      <c r="O105" s="14"/>
      <c r="P105" s="14"/>
      <c r="Q105" s="14"/>
      <c r="R105" s="14"/>
      <c r="S105" s="14"/>
      <c r="T105" s="14"/>
      <c r="U105" s="14"/>
    </row>
    <row r="106" spans="1:21" ht="15.75" customHeight="1">
      <c r="A106" s="24" t="s">
        <v>138</v>
      </c>
      <c r="B106" s="25" t="str">
        <f t="shared" si="0"/>
        <v>C2D_100nm_tile1_4_</v>
      </c>
      <c r="C106" s="24" t="s">
        <v>1858</v>
      </c>
      <c r="D106" s="24" t="str">
        <f t="shared" si="1"/>
        <v>bossdb://lee2022/C2D_100nm_tile1_4_/C2D_100nm_tile1_4_/</v>
      </c>
      <c r="E106" s="24" t="s">
        <v>1752</v>
      </c>
      <c r="F106" s="32" t="s">
        <v>139</v>
      </c>
      <c r="G106" s="24" t="s">
        <v>1494</v>
      </c>
      <c r="H106" s="41" t="s">
        <v>858</v>
      </c>
      <c r="I106" s="24" t="s">
        <v>410</v>
      </c>
      <c r="J106" s="24" t="s">
        <v>411</v>
      </c>
      <c r="K106" s="14" t="b">
        <v>0</v>
      </c>
      <c r="L106" s="14" t="s">
        <v>2197</v>
      </c>
      <c r="M106" s="43" t="s">
        <v>413</v>
      </c>
      <c r="N106" s="14"/>
      <c r="O106" s="14"/>
      <c r="P106" s="14"/>
      <c r="Q106" s="14"/>
      <c r="R106" s="14"/>
      <c r="S106" s="14"/>
      <c r="T106" s="14"/>
      <c r="U106" s="14"/>
    </row>
    <row r="107" spans="1:21" ht="15.75" customHeight="1">
      <c r="A107" s="24" t="s">
        <v>140</v>
      </c>
      <c r="B107" s="25" t="str">
        <f t="shared" si="0"/>
        <v>C2D_100nm_tile2_</v>
      </c>
      <c r="C107" s="24" t="s">
        <v>1859</v>
      </c>
      <c r="D107" s="24" t="str">
        <f t="shared" si="1"/>
        <v>bossdb://lee2022/C2D_100nm_tile2_/C2D_100nm_tile2_/</v>
      </c>
      <c r="E107" s="24" t="s">
        <v>1752</v>
      </c>
      <c r="F107" s="32" t="s">
        <v>141</v>
      </c>
      <c r="G107" s="24" t="s">
        <v>1494</v>
      </c>
      <c r="H107" s="41" t="s">
        <v>858</v>
      </c>
      <c r="I107" s="24" t="s">
        <v>410</v>
      </c>
      <c r="J107" s="24" t="s">
        <v>411</v>
      </c>
      <c r="K107" s="14" t="b">
        <v>0</v>
      </c>
      <c r="L107" s="14" t="s">
        <v>2197</v>
      </c>
      <c r="M107" s="43" t="s">
        <v>413</v>
      </c>
      <c r="N107" s="14"/>
      <c r="O107" s="14"/>
      <c r="P107" s="14"/>
      <c r="Q107" s="14"/>
      <c r="R107" s="14"/>
      <c r="S107" s="14"/>
      <c r="T107" s="14"/>
      <c r="U107" s="14"/>
    </row>
    <row r="108" spans="1:21" ht="15.75" customHeight="1">
      <c r="A108" s="24" t="s">
        <v>142</v>
      </c>
      <c r="B108" s="25" t="str">
        <f t="shared" si="0"/>
        <v>C2D_100nm_tile2_1_</v>
      </c>
      <c r="C108" s="24" t="s">
        <v>1860</v>
      </c>
      <c r="D108" s="24" t="str">
        <f t="shared" si="1"/>
        <v>bossdb://lee2022/C2D_100nm_tile2_1_/C2D_100nm_tile2_1_/</v>
      </c>
      <c r="E108" s="24" t="s">
        <v>1752</v>
      </c>
      <c r="F108" s="32" t="s">
        <v>143</v>
      </c>
      <c r="G108" s="24" t="s">
        <v>1494</v>
      </c>
      <c r="H108" s="41" t="s">
        <v>858</v>
      </c>
      <c r="I108" s="24" t="s">
        <v>410</v>
      </c>
      <c r="J108" s="24" t="s">
        <v>411</v>
      </c>
      <c r="K108" s="14" t="b">
        <v>0</v>
      </c>
      <c r="L108" s="14" t="s">
        <v>2197</v>
      </c>
      <c r="M108" s="43" t="s">
        <v>413</v>
      </c>
      <c r="N108" s="14"/>
      <c r="O108" s="14"/>
      <c r="P108" s="14"/>
      <c r="Q108" s="14"/>
      <c r="R108" s="14"/>
      <c r="S108" s="14"/>
      <c r="T108" s="14"/>
      <c r="U108" s="14"/>
    </row>
    <row r="109" spans="1:21" ht="15.75" customHeight="1">
      <c r="A109" s="24" t="s">
        <v>144</v>
      </c>
      <c r="B109" s="25" t="str">
        <f t="shared" si="0"/>
        <v>C2D_100nm_tile2_2_</v>
      </c>
      <c r="C109" s="24" t="s">
        <v>1861</v>
      </c>
      <c r="D109" s="24" t="str">
        <f t="shared" si="1"/>
        <v>bossdb://lee2022/C2D_100nm_tile2_2_/C2D_100nm_tile2_2_/</v>
      </c>
      <c r="E109" s="24" t="s">
        <v>1752</v>
      </c>
      <c r="F109" s="32" t="s">
        <v>145</v>
      </c>
      <c r="G109" s="24" t="s">
        <v>1494</v>
      </c>
      <c r="H109" s="41" t="s">
        <v>858</v>
      </c>
      <c r="I109" s="24" t="s">
        <v>410</v>
      </c>
      <c r="J109" s="24" t="s">
        <v>411</v>
      </c>
      <c r="K109" s="14" t="b">
        <v>0</v>
      </c>
      <c r="L109" s="14" t="s">
        <v>2197</v>
      </c>
      <c r="M109" s="43" t="s">
        <v>413</v>
      </c>
      <c r="N109" s="14"/>
      <c r="O109" s="14"/>
      <c r="P109" s="14"/>
      <c r="Q109" s="14"/>
      <c r="R109" s="14"/>
      <c r="S109" s="14"/>
      <c r="T109" s="14"/>
      <c r="U109" s="14"/>
    </row>
    <row r="110" spans="1:21" ht="15.75" customHeight="1">
      <c r="A110" s="24" t="s">
        <v>146</v>
      </c>
      <c r="B110" s="25" t="str">
        <f t="shared" si="0"/>
        <v>C2D_100nm_tile2_3_</v>
      </c>
      <c r="C110" s="24" t="s">
        <v>1862</v>
      </c>
      <c r="D110" s="24" t="str">
        <f t="shared" si="1"/>
        <v>bossdb://lee2022/C2D_100nm_tile2_3_/C2D_100nm_tile2_3_/</v>
      </c>
      <c r="E110" s="24" t="s">
        <v>1752</v>
      </c>
      <c r="F110" s="32" t="s">
        <v>147</v>
      </c>
      <c r="G110" s="24" t="s">
        <v>1494</v>
      </c>
      <c r="H110" s="41" t="s">
        <v>858</v>
      </c>
      <c r="I110" s="24" t="s">
        <v>410</v>
      </c>
      <c r="J110" s="24" t="s">
        <v>411</v>
      </c>
      <c r="K110" s="14" t="b">
        <v>0</v>
      </c>
      <c r="L110" s="14" t="s">
        <v>2197</v>
      </c>
      <c r="M110" s="43" t="s">
        <v>413</v>
      </c>
      <c r="N110" s="14"/>
      <c r="O110" s="14"/>
      <c r="P110" s="14"/>
      <c r="Q110" s="14"/>
      <c r="R110" s="14"/>
      <c r="S110" s="14"/>
      <c r="T110" s="14"/>
      <c r="U110" s="14"/>
    </row>
    <row r="111" spans="1:21" ht="15.75" customHeight="1">
      <c r="A111" s="24" t="s">
        <v>148</v>
      </c>
      <c r="B111" s="25" t="str">
        <f t="shared" si="0"/>
        <v>C2D_100nm_tile2_4_</v>
      </c>
      <c r="C111" s="24" t="s">
        <v>1863</v>
      </c>
      <c r="D111" s="24" t="str">
        <f t="shared" si="1"/>
        <v>bossdb://lee2022/C2D_100nm_tile2_4_/C2D_100nm_tile2_4_/</v>
      </c>
      <c r="E111" s="24" t="s">
        <v>1752</v>
      </c>
      <c r="F111" s="32" t="s">
        <v>149</v>
      </c>
      <c r="G111" s="24" t="s">
        <v>1494</v>
      </c>
      <c r="H111" s="41" t="s">
        <v>858</v>
      </c>
      <c r="I111" s="24" t="s">
        <v>410</v>
      </c>
      <c r="J111" s="24" t="s">
        <v>411</v>
      </c>
      <c r="K111" s="14" t="b">
        <v>0</v>
      </c>
      <c r="L111" s="14" t="s">
        <v>2197</v>
      </c>
      <c r="M111" s="43" t="s">
        <v>413</v>
      </c>
      <c r="N111" s="14"/>
      <c r="O111" s="14"/>
      <c r="P111" s="14"/>
      <c r="Q111" s="14"/>
      <c r="R111" s="14"/>
      <c r="S111" s="14"/>
      <c r="T111" s="14"/>
      <c r="U111" s="14"/>
    </row>
    <row r="112" spans="1:21" ht="15.75" customHeight="1">
      <c r="A112" s="24" t="s">
        <v>150</v>
      </c>
      <c r="B112" s="25" t="str">
        <f t="shared" si="0"/>
        <v>C2D_100nm_tile3_</v>
      </c>
      <c r="C112" s="24" t="s">
        <v>1864</v>
      </c>
      <c r="D112" s="24" t="str">
        <f t="shared" si="1"/>
        <v>bossdb://lee2022/C2D_100nm_tile3_/C2D_100nm_tile3_/</v>
      </c>
      <c r="E112" s="24" t="s">
        <v>1752</v>
      </c>
      <c r="F112" s="32" t="s">
        <v>151</v>
      </c>
      <c r="G112" s="24" t="s">
        <v>1494</v>
      </c>
      <c r="H112" s="41" t="s">
        <v>858</v>
      </c>
      <c r="I112" s="24" t="s">
        <v>410</v>
      </c>
      <c r="J112" s="24" t="s">
        <v>411</v>
      </c>
      <c r="K112" s="14" t="b">
        <v>0</v>
      </c>
      <c r="L112" s="14" t="s">
        <v>2197</v>
      </c>
      <c r="M112" s="43" t="s">
        <v>413</v>
      </c>
      <c r="N112" s="14"/>
      <c r="O112" s="14"/>
      <c r="P112" s="14"/>
      <c r="Q112" s="14"/>
      <c r="R112" s="14"/>
      <c r="S112" s="14"/>
      <c r="T112" s="14"/>
      <c r="U112" s="14"/>
    </row>
    <row r="113" spans="1:21" ht="15.75" customHeight="1">
      <c r="A113" s="24" t="s">
        <v>152</v>
      </c>
      <c r="B113" s="25" t="str">
        <f t="shared" si="0"/>
        <v>C2D_100nm_tile3_1_</v>
      </c>
      <c r="C113" s="24" t="s">
        <v>1865</v>
      </c>
      <c r="D113" s="24" t="str">
        <f t="shared" si="1"/>
        <v>bossdb://lee2022/C2D_100nm_tile3_1_/C2D_100nm_tile3_1_/</v>
      </c>
      <c r="E113" s="24" t="s">
        <v>1752</v>
      </c>
      <c r="F113" s="32" t="s">
        <v>153</v>
      </c>
      <c r="G113" s="24" t="s">
        <v>1494</v>
      </c>
      <c r="H113" s="41" t="s">
        <v>858</v>
      </c>
      <c r="I113" s="24" t="s">
        <v>410</v>
      </c>
      <c r="J113" s="24" t="s">
        <v>411</v>
      </c>
      <c r="K113" s="14" t="b">
        <v>0</v>
      </c>
      <c r="L113" s="14" t="s">
        <v>2197</v>
      </c>
      <c r="M113" s="43" t="s">
        <v>413</v>
      </c>
      <c r="N113" s="14"/>
      <c r="O113" s="14"/>
      <c r="P113" s="14"/>
      <c r="Q113" s="14"/>
      <c r="R113" s="14"/>
      <c r="S113" s="14"/>
      <c r="T113" s="14"/>
      <c r="U113" s="14"/>
    </row>
    <row r="114" spans="1:21" ht="15.75" customHeight="1">
      <c r="A114" s="24" t="s">
        <v>154</v>
      </c>
      <c r="B114" s="25" t="str">
        <f t="shared" si="0"/>
        <v>C2D_100nm_tile3_2_</v>
      </c>
      <c r="C114" s="24" t="s">
        <v>1866</v>
      </c>
      <c r="D114" s="24" t="str">
        <f t="shared" si="1"/>
        <v>bossdb://lee2022/C2D_100nm_tile3_2_/C2D_100nm_tile3_2_/</v>
      </c>
      <c r="E114" s="24" t="s">
        <v>1752</v>
      </c>
      <c r="F114" s="32" t="s">
        <v>155</v>
      </c>
      <c r="G114" s="24" t="s">
        <v>1494</v>
      </c>
      <c r="H114" s="41" t="s">
        <v>858</v>
      </c>
      <c r="I114" s="24" t="s">
        <v>410</v>
      </c>
      <c r="J114" s="24" t="s">
        <v>411</v>
      </c>
      <c r="K114" s="14" t="b">
        <v>0</v>
      </c>
      <c r="L114" s="14" t="s">
        <v>2197</v>
      </c>
      <c r="M114" s="43" t="s">
        <v>413</v>
      </c>
      <c r="N114" s="14"/>
      <c r="O114" s="14"/>
      <c r="P114" s="14"/>
      <c r="Q114" s="14"/>
      <c r="R114" s="14"/>
      <c r="S114" s="14"/>
      <c r="T114" s="14"/>
      <c r="U114" s="14"/>
    </row>
    <row r="115" spans="1:21" ht="15.75" customHeight="1">
      <c r="A115" s="24" t="s">
        <v>156</v>
      </c>
      <c r="B115" s="25" t="str">
        <f t="shared" si="0"/>
        <v>C2D_100nm_tile3_3_</v>
      </c>
      <c r="C115" s="24" t="s">
        <v>1867</v>
      </c>
      <c r="D115" s="24" t="str">
        <f t="shared" si="1"/>
        <v>bossdb://lee2022/C2D_100nm_tile3_3_/C2D_100nm_tile3_3_/</v>
      </c>
      <c r="E115" s="24" t="s">
        <v>1752</v>
      </c>
      <c r="F115" s="32" t="s">
        <v>157</v>
      </c>
      <c r="G115" s="24" t="s">
        <v>1494</v>
      </c>
      <c r="H115" s="41" t="s">
        <v>858</v>
      </c>
      <c r="I115" s="24" t="s">
        <v>410</v>
      </c>
      <c r="J115" s="24" t="s">
        <v>411</v>
      </c>
      <c r="K115" s="14" t="b">
        <v>0</v>
      </c>
      <c r="L115" s="14" t="s">
        <v>2197</v>
      </c>
      <c r="M115" s="43" t="s">
        <v>413</v>
      </c>
      <c r="N115" s="14"/>
      <c r="O115" s="14"/>
      <c r="P115" s="14"/>
      <c r="Q115" s="14"/>
      <c r="R115" s="14"/>
      <c r="S115" s="14"/>
      <c r="T115" s="14"/>
      <c r="U115" s="14"/>
    </row>
    <row r="116" spans="1:21" ht="15.75" customHeight="1">
      <c r="A116" s="24" t="s">
        <v>158</v>
      </c>
      <c r="B116" s="25" t="str">
        <f t="shared" si="0"/>
        <v>C2D_100nm_tile3_4_</v>
      </c>
      <c r="C116" s="24" t="s">
        <v>1868</v>
      </c>
      <c r="D116" s="24" t="str">
        <f t="shared" si="1"/>
        <v>bossdb://lee2022/C2D_100nm_tile3_4_/C2D_100nm_tile3_4_/</v>
      </c>
      <c r="E116" s="24" t="s">
        <v>1752</v>
      </c>
      <c r="F116" s="32" t="s">
        <v>159</v>
      </c>
      <c r="G116" s="24" t="s">
        <v>1494</v>
      </c>
      <c r="H116" s="41" t="s">
        <v>858</v>
      </c>
      <c r="I116" s="24" t="s">
        <v>410</v>
      </c>
      <c r="J116" s="24" t="s">
        <v>411</v>
      </c>
      <c r="K116" s="14" t="b">
        <v>0</v>
      </c>
      <c r="L116" s="14" t="s">
        <v>2197</v>
      </c>
      <c r="M116" s="43" t="s">
        <v>413</v>
      </c>
      <c r="N116" s="14"/>
      <c r="O116" s="14"/>
      <c r="P116" s="14"/>
      <c r="Q116" s="14"/>
      <c r="R116" s="14"/>
      <c r="S116" s="14"/>
      <c r="T116" s="14"/>
      <c r="U116" s="14"/>
    </row>
    <row r="117" spans="1:21" ht="15.75" customHeight="1">
      <c r="A117" s="24" t="s">
        <v>160</v>
      </c>
      <c r="B117" s="25" t="str">
        <f t="shared" si="0"/>
        <v>C2D_100nm_tile4_</v>
      </c>
      <c r="C117" s="24" t="s">
        <v>1869</v>
      </c>
      <c r="D117" s="24" t="str">
        <f t="shared" si="1"/>
        <v>bossdb://lee2022/C2D_100nm_tile4_/C2D_100nm_tile4_/</v>
      </c>
      <c r="E117" s="24" t="s">
        <v>1752</v>
      </c>
      <c r="F117" s="32" t="s">
        <v>161</v>
      </c>
      <c r="G117" s="24" t="s">
        <v>1494</v>
      </c>
      <c r="H117" s="41" t="s">
        <v>858</v>
      </c>
      <c r="I117" s="24" t="s">
        <v>410</v>
      </c>
      <c r="J117" s="24" t="s">
        <v>411</v>
      </c>
      <c r="K117" s="14" t="b">
        <v>0</v>
      </c>
      <c r="L117" s="14" t="s">
        <v>2197</v>
      </c>
      <c r="M117" s="43" t="s">
        <v>413</v>
      </c>
      <c r="N117" s="14"/>
      <c r="O117" s="14"/>
      <c r="P117" s="14"/>
      <c r="Q117" s="14"/>
      <c r="R117" s="14"/>
      <c r="S117" s="14"/>
      <c r="T117" s="14"/>
      <c r="U117" s="14"/>
    </row>
    <row r="118" spans="1:21" ht="15.75" customHeight="1">
      <c r="A118" s="24" t="s">
        <v>162</v>
      </c>
      <c r="B118" s="25" t="str">
        <f t="shared" si="0"/>
        <v>C2D_100nm_tile4_1_</v>
      </c>
      <c r="C118" s="24" t="s">
        <v>1870</v>
      </c>
      <c r="D118" s="24" t="str">
        <f t="shared" si="1"/>
        <v>bossdb://lee2022/C2D_100nm_tile4_1_/C2D_100nm_tile4_1_/</v>
      </c>
      <c r="E118" s="24" t="s">
        <v>1752</v>
      </c>
      <c r="F118" s="32" t="s">
        <v>163</v>
      </c>
      <c r="G118" s="24" t="s">
        <v>1494</v>
      </c>
      <c r="H118" s="41" t="s">
        <v>858</v>
      </c>
      <c r="I118" s="24" t="s">
        <v>410</v>
      </c>
      <c r="J118" s="42" t="s">
        <v>411</v>
      </c>
      <c r="K118" s="14" t="b">
        <v>0</v>
      </c>
      <c r="L118" s="14" t="s">
        <v>2197</v>
      </c>
      <c r="M118" s="43" t="s">
        <v>413</v>
      </c>
      <c r="N118" s="14"/>
      <c r="O118" s="14"/>
      <c r="P118" s="14"/>
      <c r="Q118" s="14"/>
      <c r="R118" s="14"/>
      <c r="S118" s="14"/>
      <c r="T118" s="14"/>
      <c r="U118" s="14"/>
    </row>
    <row r="119" spans="1:21" ht="15.75" customHeight="1">
      <c r="A119" s="24" t="s">
        <v>164</v>
      </c>
      <c r="B119" s="25" t="str">
        <f t="shared" si="0"/>
        <v>C2D_100nm_tile4_2_</v>
      </c>
      <c r="C119" s="24" t="s">
        <v>1871</v>
      </c>
      <c r="D119" s="24" t="str">
        <f t="shared" si="1"/>
        <v>bossdb://lee2022/C2D_100nm_tile4_2_/C2D_100nm_tile4_2_/</v>
      </c>
      <c r="E119" s="24" t="s">
        <v>1752</v>
      </c>
      <c r="F119" s="32" t="s">
        <v>165</v>
      </c>
      <c r="G119" s="24" t="s">
        <v>1494</v>
      </c>
      <c r="H119" s="41" t="s">
        <v>858</v>
      </c>
      <c r="I119" s="24" t="s">
        <v>410</v>
      </c>
      <c r="J119" s="24" t="s">
        <v>411</v>
      </c>
      <c r="K119" s="14" t="b">
        <v>0</v>
      </c>
      <c r="L119" s="14" t="s">
        <v>2197</v>
      </c>
      <c r="M119" s="43" t="s">
        <v>413</v>
      </c>
      <c r="N119" s="14"/>
      <c r="O119" s="14"/>
      <c r="P119" s="14"/>
      <c r="Q119" s="14"/>
      <c r="R119" s="14"/>
      <c r="S119" s="14"/>
      <c r="T119" s="14"/>
      <c r="U119" s="14"/>
    </row>
    <row r="120" spans="1:21" ht="15.75" customHeight="1">
      <c r="A120" s="24" t="s">
        <v>166</v>
      </c>
      <c r="B120" s="25" t="str">
        <f t="shared" si="0"/>
        <v>C2D_100nm_tile4_3_</v>
      </c>
      <c r="C120" s="24" t="s">
        <v>1872</v>
      </c>
      <c r="D120" s="24" t="str">
        <f t="shared" si="1"/>
        <v>bossdb://lee2022/C2D_100nm_tile4_3_/C2D_100nm_tile4_3_/</v>
      </c>
      <c r="E120" s="24" t="s">
        <v>1752</v>
      </c>
      <c r="F120" s="32" t="s">
        <v>167</v>
      </c>
      <c r="G120" s="24" t="s">
        <v>1494</v>
      </c>
      <c r="H120" s="41" t="s">
        <v>858</v>
      </c>
      <c r="I120" s="24" t="s">
        <v>410</v>
      </c>
      <c r="J120" s="42" t="s">
        <v>411</v>
      </c>
      <c r="K120" s="14" t="b">
        <v>0</v>
      </c>
      <c r="L120" s="14" t="s">
        <v>2197</v>
      </c>
      <c r="M120" s="43" t="s">
        <v>413</v>
      </c>
      <c r="N120" s="14"/>
      <c r="O120" s="14"/>
      <c r="P120" s="14"/>
      <c r="Q120" s="14"/>
      <c r="R120" s="14"/>
      <c r="S120" s="14"/>
      <c r="T120" s="14"/>
      <c r="U120" s="14"/>
    </row>
    <row r="121" spans="1:21" ht="15.75" customHeight="1">
      <c r="A121" s="24" t="s">
        <v>168</v>
      </c>
      <c r="B121" s="25" t="str">
        <f t="shared" si="0"/>
        <v>C2D_ovw_160nm_sz1_</v>
      </c>
      <c r="C121" s="24" t="s">
        <v>1873</v>
      </c>
      <c r="D121" s="24" t="str">
        <f t="shared" si="1"/>
        <v>bossdb://lee2022/C2D_ovw_160nm_sz1_/C2D_ovw_160nm_sz1_/</v>
      </c>
      <c r="E121" s="24" t="s">
        <v>1752</v>
      </c>
      <c r="F121" s="32" t="s">
        <v>169</v>
      </c>
      <c r="G121" s="24" t="s">
        <v>1494</v>
      </c>
      <c r="H121" s="41" t="s">
        <v>858</v>
      </c>
      <c r="I121" s="24" t="s">
        <v>410</v>
      </c>
      <c r="J121" s="42" t="s">
        <v>411</v>
      </c>
      <c r="K121" s="14" t="b">
        <v>0</v>
      </c>
      <c r="L121" s="14" t="s">
        <v>2197</v>
      </c>
      <c r="M121" s="43" t="s">
        <v>413</v>
      </c>
      <c r="N121" s="14"/>
      <c r="O121" s="14"/>
      <c r="P121" s="14"/>
      <c r="Q121" s="14"/>
      <c r="R121" s="14"/>
      <c r="S121" s="14"/>
      <c r="T121" s="14"/>
      <c r="U121" s="14"/>
    </row>
    <row r="122" spans="1:21" ht="15.75" customHeight="1">
      <c r="A122" s="24" t="s">
        <v>170</v>
      </c>
      <c r="B122" s="25" t="str">
        <f t="shared" si="0"/>
        <v>C2D_ovw_160nm_sz1_1_</v>
      </c>
      <c r="C122" s="24" t="s">
        <v>1874</v>
      </c>
      <c r="D122" s="24" t="str">
        <f t="shared" si="1"/>
        <v>bossdb://lee2022/C2D_ovw_160nm_sz1_1_/C2D_ovw_160nm_sz1_1_/</v>
      </c>
      <c r="E122" s="24" t="s">
        <v>1752</v>
      </c>
      <c r="F122" s="32" t="s">
        <v>171</v>
      </c>
      <c r="G122" s="24" t="s">
        <v>1494</v>
      </c>
      <c r="H122" s="41" t="s">
        <v>858</v>
      </c>
      <c r="I122" s="24" t="s">
        <v>410</v>
      </c>
      <c r="J122" s="42" t="s">
        <v>411</v>
      </c>
      <c r="K122" s="14" t="b">
        <v>0</v>
      </c>
      <c r="L122" s="14" t="s">
        <v>2197</v>
      </c>
      <c r="M122" s="43" t="s">
        <v>413</v>
      </c>
      <c r="N122" s="14"/>
      <c r="O122" s="14"/>
      <c r="P122" s="14"/>
      <c r="Q122" s="14"/>
      <c r="R122" s="14"/>
      <c r="S122" s="14"/>
      <c r="T122" s="14"/>
      <c r="U122" s="14"/>
    </row>
    <row r="123" spans="1:21" ht="15.75" customHeight="1">
      <c r="A123" s="24" t="s">
        <v>172</v>
      </c>
      <c r="B123" s="25" t="str">
        <f t="shared" si="0"/>
        <v>pfinAaron</v>
      </c>
      <c r="C123" s="24" t="s">
        <v>1875</v>
      </c>
      <c r="D123" s="24" t="str">
        <f t="shared" si="1"/>
        <v>bossdb://lee2022/pfinAaron/pfinAaron/</v>
      </c>
      <c r="E123" s="24" t="s">
        <v>1752</v>
      </c>
      <c r="F123" s="32" t="s">
        <v>173</v>
      </c>
      <c r="G123" s="24" t="s">
        <v>1494</v>
      </c>
      <c r="H123" s="41" t="s">
        <v>858</v>
      </c>
      <c r="I123" s="24" t="s">
        <v>410</v>
      </c>
      <c r="J123" s="42" t="s">
        <v>411</v>
      </c>
      <c r="K123" s="14" t="b">
        <v>0</v>
      </c>
      <c r="L123" s="14" t="s">
        <v>2197</v>
      </c>
      <c r="M123" s="43" t="s">
        <v>413</v>
      </c>
      <c r="N123" s="14"/>
      <c r="O123" s="14"/>
      <c r="P123" s="14"/>
      <c r="Q123" s="14"/>
      <c r="R123" s="14"/>
      <c r="S123" s="14"/>
      <c r="T123" s="14"/>
      <c r="U123" s="14"/>
    </row>
    <row r="124" spans="1:21" ht="15.75" customHeight="1">
      <c r="A124" s="24" t="s">
        <v>174</v>
      </c>
      <c r="B124" s="25" t="str">
        <f t="shared" si="0"/>
        <v>pfinAaron_090nm_</v>
      </c>
      <c r="C124" s="24" t="s">
        <v>1876</v>
      </c>
      <c r="D124" s="24" t="str">
        <f t="shared" si="1"/>
        <v>bossdb://lee2022/pfinAaron_090nm_/pfinAaron_090nm_/</v>
      </c>
      <c r="E124" s="24" t="s">
        <v>1752</v>
      </c>
      <c r="F124" s="32" t="s">
        <v>175</v>
      </c>
      <c r="G124" s="24" t="s">
        <v>1494</v>
      </c>
      <c r="H124" s="41" t="s">
        <v>858</v>
      </c>
      <c r="I124" s="24" t="s">
        <v>410</v>
      </c>
      <c r="J124" s="42" t="s">
        <v>411</v>
      </c>
      <c r="K124" s="14" t="b">
        <v>0</v>
      </c>
      <c r="L124" s="14" t="s">
        <v>2197</v>
      </c>
      <c r="M124" s="43" t="s">
        <v>413</v>
      </c>
      <c r="N124" s="14"/>
      <c r="O124" s="14"/>
      <c r="P124" s="14"/>
      <c r="Q124" s="14"/>
      <c r="R124" s="14"/>
      <c r="S124" s="14"/>
      <c r="T124" s="14"/>
      <c r="U124" s="14"/>
    </row>
    <row r="125" spans="1:21" ht="15.75" customHeight="1">
      <c r="A125" s="24" t="s">
        <v>176</v>
      </c>
      <c r="B125" s="25" t="str">
        <f t="shared" si="0"/>
        <v>pfinAaron_090nm_1_</v>
      </c>
      <c r="C125" s="24" t="s">
        <v>1877</v>
      </c>
      <c r="D125" s="24" t="str">
        <f t="shared" si="1"/>
        <v>bossdb://lee2022/pfinAaron_090nm_1_/pfinAaron_090nm_1_/</v>
      </c>
      <c r="E125" s="24" t="s">
        <v>1752</v>
      </c>
      <c r="F125" s="32" t="s">
        <v>177</v>
      </c>
      <c r="G125" s="24" t="s">
        <v>1494</v>
      </c>
      <c r="H125" s="41" t="s">
        <v>858</v>
      </c>
      <c r="I125" s="24" t="s">
        <v>410</v>
      </c>
      <c r="J125" s="42" t="s">
        <v>411</v>
      </c>
      <c r="K125" s="14" t="b">
        <v>0</v>
      </c>
      <c r="L125" s="14" t="s">
        <v>2197</v>
      </c>
      <c r="M125" s="43" t="s">
        <v>413</v>
      </c>
      <c r="N125" s="14"/>
      <c r="O125" s="14"/>
      <c r="P125" s="14"/>
      <c r="Q125" s="14"/>
      <c r="R125" s="14"/>
      <c r="S125" s="14"/>
      <c r="T125" s="14"/>
      <c r="U125" s="14"/>
    </row>
    <row r="126" spans="1:21" ht="15.75" customHeight="1">
      <c r="A126" s="24" t="s">
        <v>178</v>
      </c>
      <c r="B126" s="25" t="str">
        <f t="shared" si="0"/>
        <v>pfinAaron_090nm_2_</v>
      </c>
      <c r="C126" s="24" t="s">
        <v>1878</v>
      </c>
      <c r="D126" s="24" t="str">
        <f t="shared" si="1"/>
        <v>bossdb://lee2022/pfinAaron_090nm_2_/pfinAaron_090nm_2_/</v>
      </c>
      <c r="E126" s="24" t="s">
        <v>1752</v>
      </c>
      <c r="F126" s="32" t="s">
        <v>179</v>
      </c>
      <c r="G126" s="24" t="s">
        <v>1494</v>
      </c>
      <c r="H126" s="41" t="s">
        <v>858</v>
      </c>
      <c r="I126" s="24" t="s">
        <v>410</v>
      </c>
      <c r="J126" s="42" t="s">
        <v>411</v>
      </c>
      <c r="K126" s="14" t="b">
        <v>0</v>
      </c>
      <c r="L126" s="14" t="s">
        <v>2197</v>
      </c>
      <c r="M126" s="43" t="s">
        <v>413</v>
      </c>
      <c r="N126" s="14"/>
      <c r="O126" s="14"/>
      <c r="P126" s="14"/>
      <c r="Q126" s="14"/>
      <c r="R126" s="14"/>
      <c r="S126" s="14"/>
      <c r="T126" s="14"/>
      <c r="U126" s="14"/>
    </row>
    <row r="127" spans="1:21" ht="15.75" customHeight="1">
      <c r="A127" s="24" t="s">
        <v>180</v>
      </c>
      <c r="B127" s="25" t="str">
        <f t="shared" si="0"/>
        <v>pfinAaron_090nm_3_</v>
      </c>
      <c r="C127" s="24" t="s">
        <v>1879</v>
      </c>
      <c r="D127" s="24" t="str">
        <f t="shared" si="1"/>
        <v>bossdb://lee2022/pfinAaron_090nm_3_/pfinAaron_090nm_3_/</v>
      </c>
      <c r="E127" s="24" t="s">
        <v>1752</v>
      </c>
      <c r="F127" s="32" t="s">
        <v>181</v>
      </c>
      <c r="G127" s="24" t="s">
        <v>1494</v>
      </c>
      <c r="H127" s="41" t="s">
        <v>858</v>
      </c>
      <c r="I127" s="24" t="s">
        <v>410</v>
      </c>
      <c r="J127" s="42" t="s">
        <v>411</v>
      </c>
      <c r="K127" s="14" t="b">
        <v>0</v>
      </c>
      <c r="L127" s="14" t="s">
        <v>2197</v>
      </c>
      <c r="M127" s="43" t="s">
        <v>413</v>
      </c>
      <c r="N127" s="14"/>
      <c r="O127" s="14"/>
      <c r="P127" s="14"/>
      <c r="Q127" s="14"/>
      <c r="R127" s="14"/>
      <c r="S127" s="14"/>
      <c r="T127" s="14"/>
      <c r="U127" s="14"/>
    </row>
    <row r="128" spans="1:21" ht="15.75" customHeight="1">
      <c r="A128" s="24" t="s">
        <v>182</v>
      </c>
      <c r="B128" s="25" t="str">
        <f t="shared" si="0"/>
        <v>pfinAaron_090nm_4_</v>
      </c>
      <c r="C128" s="24" t="s">
        <v>1880</v>
      </c>
      <c r="D128" s="24" t="str">
        <f t="shared" si="1"/>
        <v>bossdb://lee2022/pfinAaron_090nm_4_/pfinAaron_090nm_4_/</v>
      </c>
      <c r="E128" s="24" t="s">
        <v>1752</v>
      </c>
      <c r="F128" s="32" t="s">
        <v>183</v>
      </c>
      <c r="G128" s="24" t="s">
        <v>1494</v>
      </c>
      <c r="H128" s="41" t="s">
        <v>858</v>
      </c>
      <c r="I128" s="24" t="s">
        <v>410</v>
      </c>
      <c r="J128" s="42" t="s">
        <v>411</v>
      </c>
      <c r="K128" s="14" t="b">
        <v>0</v>
      </c>
      <c r="L128" s="14" t="s">
        <v>2197</v>
      </c>
      <c r="M128" s="43" t="s">
        <v>413</v>
      </c>
      <c r="N128" s="14"/>
      <c r="O128" s="14"/>
      <c r="P128" s="14"/>
      <c r="Q128" s="14"/>
      <c r="R128" s="14"/>
      <c r="S128" s="14"/>
      <c r="T128" s="14"/>
      <c r="U128" s="14"/>
    </row>
    <row r="129" spans="1:21" ht="15.75" customHeight="1">
      <c r="A129" s="24" t="s">
        <v>184</v>
      </c>
      <c r="B129" s="25" t="str">
        <f t="shared" si="0"/>
        <v>s21_WM_100nm_</v>
      </c>
      <c r="C129" s="24" t="s">
        <v>1881</v>
      </c>
      <c r="D129" s="24" t="str">
        <f t="shared" si="1"/>
        <v>bossdb://lee2022/s21_WM_100nm_/s21_WM_100nm_/</v>
      </c>
      <c r="E129" s="24" t="s">
        <v>1752</v>
      </c>
      <c r="F129" s="32" t="s">
        <v>185</v>
      </c>
      <c r="G129" s="24" t="s">
        <v>1494</v>
      </c>
      <c r="H129" s="41" t="s">
        <v>858</v>
      </c>
      <c r="I129" s="24" t="s">
        <v>410</v>
      </c>
      <c r="J129" s="42" t="s">
        <v>411</v>
      </c>
      <c r="K129" s="14" t="b">
        <v>0</v>
      </c>
      <c r="L129" s="14" t="s">
        <v>2197</v>
      </c>
      <c r="M129" s="43" t="s">
        <v>413</v>
      </c>
      <c r="N129" s="14"/>
      <c r="O129" s="14"/>
      <c r="P129" s="14"/>
      <c r="Q129" s="14"/>
      <c r="R129" s="14"/>
      <c r="S129" s="14"/>
      <c r="T129" s="14"/>
      <c r="U129" s="14"/>
    </row>
    <row r="130" spans="1:21" ht="15.75" customHeight="1">
      <c r="A130" s="24" t="s">
        <v>186</v>
      </c>
      <c r="B130" s="25" t="str">
        <f t="shared" si="0"/>
        <v>s21_WM_100nm_1_</v>
      </c>
      <c r="C130" s="24" t="s">
        <v>1882</v>
      </c>
      <c r="D130" s="24" t="str">
        <f t="shared" si="1"/>
        <v>bossdb://lee2022/s21_WM_100nm_1_/s21_WM_100nm_1_/</v>
      </c>
      <c r="E130" s="24" t="s">
        <v>1752</v>
      </c>
      <c r="F130" s="32" t="s">
        <v>187</v>
      </c>
      <c r="G130" s="24" t="s">
        <v>1494</v>
      </c>
      <c r="H130" s="41" t="s">
        <v>858</v>
      </c>
      <c r="I130" s="24" t="s">
        <v>410</v>
      </c>
      <c r="J130" s="42" t="s">
        <v>411</v>
      </c>
      <c r="K130" s="14" t="b">
        <v>0</v>
      </c>
      <c r="L130" s="14" t="s">
        <v>2197</v>
      </c>
      <c r="M130" s="43" t="s">
        <v>413</v>
      </c>
      <c r="N130" s="14"/>
      <c r="O130" s="14"/>
      <c r="P130" s="14"/>
      <c r="Q130" s="14"/>
      <c r="R130" s="14"/>
      <c r="S130" s="14"/>
      <c r="T130" s="14"/>
      <c r="U130" s="14"/>
    </row>
    <row r="131" spans="1:21" ht="15.75" customHeight="1">
      <c r="A131" s="24" t="s">
        <v>188</v>
      </c>
      <c r="B131" s="25" t="str">
        <f t="shared" si="0"/>
        <v>s21_WM_100nm_2_</v>
      </c>
      <c r="C131" s="24" t="s">
        <v>1883</v>
      </c>
      <c r="D131" s="24" t="str">
        <f t="shared" si="1"/>
        <v>bossdb://lee2022/s21_WM_100nm_2_/s21_WM_100nm_2_/</v>
      </c>
      <c r="E131" s="24" t="s">
        <v>1752</v>
      </c>
      <c r="F131" s="32" t="s">
        <v>189</v>
      </c>
      <c r="G131" s="24" t="s">
        <v>1494</v>
      </c>
      <c r="H131" s="41" t="s">
        <v>858</v>
      </c>
      <c r="I131" s="24" t="s">
        <v>410</v>
      </c>
      <c r="J131" s="42" t="s">
        <v>411</v>
      </c>
      <c r="K131" s="14" t="b">
        <v>0</v>
      </c>
      <c r="L131" s="14" t="s">
        <v>2197</v>
      </c>
      <c r="M131" s="43" t="s">
        <v>413</v>
      </c>
      <c r="N131" s="14"/>
      <c r="O131" s="14"/>
      <c r="P131" s="14"/>
      <c r="Q131" s="14"/>
      <c r="R131" s="14"/>
      <c r="S131" s="14"/>
      <c r="T131" s="14"/>
      <c r="U131" s="14"/>
    </row>
    <row r="132" spans="1:21" ht="15.75" customHeight="1">
      <c r="A132" s="24" t="s">
        <v>190</v>
      </c>
      <c r="B132" s="25" t="str">
        <f t="shared" si="0"/>
        <v>s21_WM_100nm_3_</v>
      </c>
      <c r="C132" s="24" t="s">
        <v>1884</v>
      </c>
      <c r="D132" s="24" t="str">
        <f t="shared" si="1"/>
        <v>bossdb://lee2022/s21_WM_100nm_3_/s21_WM_100nm_3_/</v>
      </c>
      <c r="E132" s="24" t="s">
        <v>1752</v>
      </c>
      <c r="F132" s="32" t="s">
        <v>191</v>
      </c>
      <c r="G132" s="24" t="s">
        <v>1494</v>
      </c>
      <c r="H132" s="41" t="s">
        <v>858</v>
      </c>
      <c r="I132" s="24" t="s">
        <v>410</v>
      </c>
      <c r="J132" s="42" t="s">
        <v>411</v>
      </c>
      <c r="K132" s="14" t="b">
        <v>0</v>
      </c>
      <c r="L132" s="14" t="s">
        <v>2197</v>
      </c>
      <c r="M132" s="43" t="s">
        <v>413</v>
      </c>
      <c r="N132" s="14"/>
      <c r="O132" s="14"/>
      <c r="P132" s="14"/>
      <c r="Q132" s="14"/>
      <c r="R132" s="14"/>
      <c r="S132" s="14"/>
      <c r="T132" s="14"/>
      <c r="U132" s="14"/>
    </row>
    <row r="133" spans="1:21" ht="15.75" customHeight="1">
      <c r="A133" s="24" t="s">
        <v>192</v>
      </c>
      <c r="B133" s="25" t="str">
        <f t="shared" si="0"/>
        <v>s21_WM_100nm_4_</v>
      </c>
      <c r="C133" s="24" t="s">
        <v>1885</v>
      </c>
      <c r="D133" s="24" t="str">
        <f t="shared" si="1"/>
        <v>bossdb://lee2022/s21_WM_100nm_4_/s21_WM_100nm_4_/</v>
      </c>
      <c r="E133" s="24" t="s">
        <v>1752</v>
      </c>
      <c r="F133" s="32" t="s">
        <v>193</v>
      </c>
      <c r="G133" s="24" t="s">
        <v>1494</v>
      </c>
      <c r="H133" s="41" t="s">
        <v>858</v>
      </c>
      <c r="I133" s="24" t="s">
        <v>410</v>
      </c>
      <c r="J133" s="42" t="s">
        <v>411</v>
      </c>
      <c r="K133" s="14" t="b">
        <v>0</v>
      </c>
      <c r="L133" s="14" t="s">
        <v>2197</v>
      </c>
      <c r="M133" s="43" t="s">
        <v>413</v>
      </c>
      <c r="N133" s="14"/>
      <c r="O133" s="14"/>
      <c r="P133" s="14"/>
      <c r="Q133" s="14"/>
      <c r="R133" s="14"/>
      <c r="S133" s="14"/>
      <c r="T133" s="14"/>
      <c r="U133" s="14"/>
    </row>
    <row r="134" spans="1:21" ht="15.75" customHeight="1">
      <c r="A134" s="24" t="s">
        <v>194</v>
      </c>
      <c r="B134" s="25" t="str">
        <f t="shared" si="0"/>
        <v>s21_fov4_hd_030nm_1_</v>
      </c>
      <c r="C134" s="24" t="s">
        <v>1886</v>
      </c>
      <c r="D134" s="24" t="str">
        <f t="shared" si="1"/>
        <v>bossdb://lee2022/s21_fov4_hd_030nm_1_/s21_fov4_hd_030nm_1_/</v>
      </c>
      <c r="E134" s="24" t="s">
        <v>1752</v>
      </c>
      <c r="F134" s="32" t="s">
        <v>195</v>
      </c>
      <c r="G134" s="24" t="s">
        <v>1494</v>
      </c>
      <c r="H134" s="41" t="s">
        <v>858</v>
      </c>
      <c r="I134" s="24" t="s">
        <v>410</v>
      </c>
      <c r="J134" s="42" t="s">
        <v>411</v>
      </c>
      <c r="K134" s="14" t="b">
        <v>0</v>
      </c>
      <c r="L134" s="14" t="s">
        <v>2197</v>
      </c>
      <c r="M134" s="43" t="s">
        <v>413</v>
      </c>
      <c r="N134" s="14"/>
      <c r="O134" s="14"/>
      <c r="P134" s="14"/>
      <c r="Q134" s="14"/>
      <c r="R134" s="14"/>
      <c r="S134" s="14"/>
      <c r="T134" s="14"/>
      <c r="U134" s="14"/>
    </row>
    <row r="135" spans="1:21" ht="15.75" customHeight="1">
      <c r="A135" s="24" t="s">
        <v>196</v>
      </c>
      <c r="B135" s="25" t="str">
        <f t="shared" si="0"/>
        <v>s21_fov4_hd_030nm_2_</v>
      </c>
      <c r="C135" s="24" t="s">
        <v>1887</v>
      </c>
      <c r="D135" s="24" t="str">
        <f t="shared" si="1"/>
        <v>bossdb://lee2022/s21_fov4_hd_030nm_2_/s21_fov4_hd_030nm_2_/</v>
      </c>
      <c r="E135" s="24" t="s">
        <v>1752</v>
      </c>
      <c r="F135" s="32" t="s">
        <v>197</v>
      </c>
      <c r="G135" s="24" t="s">
        <v>1494</v>
      </c>
      <c r="H135" s="41" t="s">
        <v>858</v>
      </c>
      <c r="I135" s="24" t="s">
        <v>410</v>
      </c>
      <c r="J135" s="42" t="s">
        <v>411</v>
      </c>
      <c r="K135" s="14" t="b">
        <v>0</v>
      </c>
      <c r="L135" s="14" t="s">
        <v>2197</v>
      </c>
      <c r="M135" s="43" t="s">
        <v>413</v>
      </c>
      <c r="N135" s="14"/>
      <c r="O135" s="14"/>
      <c r="P135" s="14"/>
      <c r="Q135" s="14"/>
      <c r="R135" s="14"/>
      <c r="S135" s="14"/>
      <c r="T135" s="14"/>
      <c r="U135" s="14"/>
    </row>
    <row r="136" spans="1:21" ht="15.75" customHeight="1">
      <c r="A136" s="24" t="s">
        <v>198</v>
      </c>
      <c r="B136" s="25" t="str">
        <f t="shared" si="0"/>
        <v>s21_fov4_hd_030nm_3_</v>
      </c>
      <c r="C136" s="24" t="s">
        <v>1888</v>
      </c>
      <c r="D136" s="24" t="str">
        <f t="shared" si="1"/>
        <v>bossdb://lee2022/s21_fov4_hd_030nm_3_/s21_fov4_hd_030nm_3_/</v>
      </c>
      <c r="E136" s="24" t="s">
        <v>1752</v>
      </c>
      <c r="F136" s="32" t="s">
        <v>199</v>
      </c>
      <c r="G136" s="24" t="s">
        <v>1494</v>
      </c>
      <c r="H136" s="41" t="s">
        <v>858</v>
      </c>
      <c r="I136" s="24" t="s">
        <v>410</v>
      </c>
      <c r="J136" s="42" t="s">
        <v>411</v>
      </c>
      <c r="K136" s="14" t="b">
        <v>0</v>
      </c>
      <c r="L136" s="14" t="s">
        <v>2197</v>
      </c>
      <c r="M136" s="43" t="s">
        <v>413</v>
      </c>
      <c r="N136" s="14"/>
      <c r="O136" s="14"/>
      <c r="P136" s="14"/>
      <c r="Q136" s="14"/>
      <c r="R136" s="14"/>
      <c r="S136" s="14"/>
      <c r="T136" s="14"/>
      <c r="U136" s="14"/>
    </row>
    <row r="137" spans="1:21" ht="15.75" customHeight="1">
      <c r="A137" s="24" t="s">
        <v>200</v>
      </c>
      <c r="B137" s="25" t="str">
        <f t="shared" si="0"/>
        <v>s21_fov4_hd_030nm_4_</v>
      </c>
      <c r="C137" s="24" t="s">
        <v>1889</v>
      </c>
      <c r="D137" s="24" t="str">
        <f t="shared" si="1"/>
        <v>bossdb://lee2022/s21_fov4_hd_030nm_4_/s21_fov4_hd_030nm_4_/</v>
      </c>
      <c r="E137" s="24" t="s">
        <v>1752</v>
      </c>
      <c r="F137" s="32" t="s">
        <v>201</v>
      </c>
      <c r="G137" s="24" t="s">
        <v>1494</v>
      </c>
      <c r="H137" s="41" t="s">
        <v>858</v>
      </c>
      <c r="I137" s="24" t="s">
        <v>410</v>
      </c>
      <c r="J137" s="42" t="s">
        <v>411</v>
      </c>
      <c r="K137" s="14" t="b">
        <v>0</v>
      </c>
      <c r="L137" s="14" t="s">
        <v>2197</v>
      </c>
      <c r="M137" s="43" t="s">
        <v>413</v>
      </c>
      <c r="N137" s="14"/>
      <c r="O137" s="14"/>
      <c r="P137" s="14"/>
      <c r="Q137" s="14"/>
      <c r="R137" s="14"/>
      <c r="S137" s="14"/>
      <c r="T137" s="14"/>
      <c r="U137" s="14"/>
    </row>
    <row r="138" spans="1:21" ht="15.75" customHeight="1">
      <c r="A138" s="24" t="s">
        <v>202</v>
      </c>
      <c r="B138" s="25" t="str">
        <f t="shared" si="0"/>
        <v>s21_l56_030nm_</v>
      </c>
      <c r="C138" s="24" t="s">
        <v>1890</v>
      </c>
      <c r="D138" s="24" t="str">
        <f t="shared" si="1"/>
        <v>bossdb://lee2022/s21_l56_030nm_/s21_l56_030nm_/</v>
      </c>
      <c r="E138" s="24" t="s">
        <v>1752</v>
      </c>
      <c r="F138" s="32" t="s">
        <v>203</v>
      </c>
      <c r="G138" s="24" t="s">
        <v>1494</v>
      </c>
      <c r="H138" s="41" t="s">
        <v>858</v>
      </c>
      <c r="I138" s="24" t="s">
        <v>410</v>
      </c>
      <c r="J138" s="42" t="s">
        <v>411</v>
      </c>
      <c r="K138" s="14" t="b">
        <v>0</v>
      </c>
      <c r="L138" s="14" t="s">
        <v>2197</v>
      </c>
      <c r="M138" s="43" t="s">
        <v>413</v>
      </c>
      <c r="N138" s="14"/>
      <c r="O138" s="14"/>
      <c r="P138" s="14"/>
      <c r="Q138" s="14"/>
      <c r="R138" s="14"/>
      <c r="S138" s="14"/>
      <c r="T138" s="14"/>
      <c r="U138" s="14"/>
    </row>
    <row r="139" spans="1:21" ht="15.75" customHeight="1">
      <c r="A139" s="24" t="s">
        <v>204</v>
      </c>
      <c r="B139" s="25" t="str">
        <f t="shared" si="0"/>
        <v>s21_l56_030nm_1_</v>
      </c>
      <c r="C139" s="24" t="s">
        <v>1891</v>
      </c>
      <c r="D139" s="24" t="str">
        <f t="shared" si="1"/>
        <v>bossdb://lee2022/s21_l56_030nm_1_/s21_l56_030nm_1_/</v>
      </c>
      <c r="E139" s="24" t="s">
        <v>1752</v>
      </c>
      <c r="F139" s="32" t="s">
        <v>205</v>
      </c>
      <c r="G139" s="24" t="s">
        <v>1494</v>
      </c>
      <c r="H139" s="41" t="s">
        <v>858</v>
      </c>
      <c r="I139" s="24" t="s">
        <v>410</v>
      </c>
      <c r="J139" s="42" t="s">
        <v>411</v>
      </c>
      <c r="K139" s="14" t="b">
        <v>0</v>
      </c>
      <c r="L139" s="14" t="s">
        <v>2197</v>
      </c>
      <c r="M139" s="43" t="s">
        <v>413</v>
      </c>
      <c r="N139" s="14"/>
      <c r="O139" s="14"/>
      <c r="P139" s="14"/>
      <c r="Q139" s="14"/>
      <c r="R139" s="14"/>
      <c r="S139" s="14"/>
      <c r="T139" s="14"/>
      <c r="U139" s="14"/>
    </row>
    <row r="140" spans="1:21" ht="15.75" customHeight="1">
      <c r="A140" s="24" t="s">
        <v>206</v>
      </c>
      <c r="B140" s="25" t="str">
        <f t="shared" si="0"/>
        <v>s21_l56_030nm_2_</v>
      </c>
      <c r="C140" s="24" t="s">
        <v>1892</v>
      </c>
      <c r="D140" s="24" t="str">
        <f t="shared" si="1"/>
        <v>bossdb://lee2022/s21_l56_030nm_2_/s21_l56_030nm_2_/</v>
      </c>
      <c r="E140" s="24" t="s">
        <v>1752</v>
      </c>
      <c r="F140" s="32" t="s">
        <v>207</v>
      </c>
      <c r="G140" s="24" t="s">
        <v>1494</v>
      </c>
      <c r="H140" s="41" t="s">
        <v>858</v>
      </c>
      <c r="I140" s="24" t="s">
        <v>410</v>
      </c>
      <c r="J140" s="42" t="s">
        <v>411</v>
      </c>
      <c r="K140" s="14" t="b">
        <v>0</v>
      </c>
      <c r="L140" s="14" t="s">
        <v>2197</v>
      </c>
      <c r="M140" s="43" t="s">
        <v>413</v>
      </c>
      <c r="N140" s="14"/>
      <c r="O140" s="14"/>
      <c r="P140" s="14"/>
      <c r="Q140" s="14"/>
      <c r="R140" s="14"/>
      <c r="S140" s="14"/>
      <c r="T140" s="14"/>
      <c r="U140" s="14"/>
    </row>
    <row r="141" spans="1:21" ht="15.75" customHeight="1">
      <c r="A141" s="24" t="s">
        <v>208</v>
      </c>
      <c r="B141" s="25" t="str">
        <f t="shared" si="0"/>
        <v>s21_l56_030nm_3_</v>
      </c>
      <c r="C141" s="24" t="s">
        <v>1893</v>
      </c>
      <c r="D141" s="24" t="str">
        <f t="shared" si="1"/>
        <v>bossdb://lee2022/s21_l56_030nm_3_/s21_l56_030nm_3_/</v>
      </c>
      <c r="E141" s="24" t="s">
        <v>1752</v>
      </c>
      <c r="F141" s="32" t="s">
        <v>209</v>
      </c>
      <c r="G141" s="24" t="s">
        <v>1494</v>
      </c>
      <c r="H141" s="41" t="s">
        <v>858</v>
      </c>
      <c r="I141" s="24" t="s">
        <v>410</v>
      </c>
      <c r="J141" s="42" t="s">
        <v>411</v>
      </c>
      <c r="K141" s="14" t="b">
        <v>0</v>
      </c>
      <c r="L141" s="14" t="s">
        <v>2197</v>
      </c>
      <c r="M141" s="43" t="s">
        <v>413</v>
      </c>
      <c r="N141" s="14"/>
      <c r="O141" s="14"/>
      <c r="P141" s="14"/>
      <c r="Q141" s="14"/>
      <c r="R141" s="14"/>
      <c r="S141" s="14"/>
      <c r="T141" s="14"/>
      <c r="U141" s="14"/>
    </row>
    <row r="142" spans="1:21" ht="15.75" customHeight="1">
      <c r="A142" s="24" t="s">
        <v>210</v>
      </c>
      <c r="B142" s="25" t="str">
        <f t="shared" si="0"/>
        <v>s21_l56_030nm_4_</v>
      </c>
      <c r="C142" s="24" t="s">
        <v>1894</v>
      </c>
      <c r="D142" s="24" t="str">
        <f t="shared" si="1"/>
        <v>bossdb://lee2022/s21_l56_030nm_4_/s21_l56_030nm_4_/</v>
      </c>
      <c r="E142" s="24" t="s">
        <v>1752</v>
      </c>
      <c r="F142" s="32" t="s">
        <v>211</v>
      </c>
      <c r="G142" s="24" t="s">
        <v>1494</v>
      </c>
      <c r="H142" s="41" t="s">
        <v>858</v>
      </c>
      <c r="I142" s="24" t="s">
        <v>410</v>
      </c>
      <c r="J142" s="42" t="s">
        <v>411</v>
      </c>
      <c r="K142" s="14" t="b">
        <v>0</v>
      </c>
      <c r="L142" s="14" t="s">
        <v>2197</v>
      </c>
      <c r="M142" s="43" t="s">
        <v>413</v>
      </c>
      <c r="N142" s="14"/>
      <c r="O142" s="14"/>
      <c r="P142" s="14"/>
      <c r="Q142" s="14"/>
      <c r="R142" s="14"/>
      <c r="S142" s="14"/>
      <c r="T142" s="14"/>
      <c r="U142" s="14"/>
    </row>
    <row r="143" spans="1:21" ht="15.75" customHeight="1">
      <c r="A143" s="24" t="s">
        <v>212</v>
      </c>
      <c r="B143" s="25" t="str">
        <f t="shared" si="0"/>
        <v>s21_l56_100nm_1_</v>
      </c>
      <c r="C143" s="24" t="s">
        <v>1895</v>
      </c>
      <c r="D143" s="24" t="str">
        <f t="shared" si="1"/>
        <v>bossdb://lee2022/s21_l56_100nm_1_/s21_l56_100nm_1_/</v>
      </c>
      <c r="E143" s="24" t="s">
        <v>1752</v>
      </c>
      <c r="F143" s="32" t="s">
        <v>213</v>
      </c>
      <c r="G143" s="24" t="s">
        <v>1494</v>
      </c>
      <c r="H143" s="41" t="s">
        <v>858</v>
      </c>
      <c r="I143" s="24" t="s">
        <v>410</v>
      </c>
      <c r="J143" s="42" t="s">
        <v>411</v>
      </c>
      <c r="K143" s="14" t="b">
        <v>0</v>
      </c>
      <c r="L143" s="14" t="s">
        <v>2197</v>
      </c>
      <c r="M143" s="43" t="s">
        <v>413</v>
      </c>
      <c r="N143" s="14"/>
      <c r="O143" s="14"/>
      <c r="P143" s="14"/>
      <c r="Q143" s="14"/>
      <c r="R143" s="14"/>
      <c r="S143" s="14"/>
      <c r="T143" s="14"/>
      <c r="U143" s="14"/>
    </row>
    <row r="144" spans="1:21" ht="15.75" customHeight="1">
      <c r="A144" s="24" t="s">
        <v>214</v>
      </c>
      <c r="B144" s="25" t="str">
        <f t="shared" si="0"/>
        <v>s21_l56_100nm_2_</v>
      </c>
      <c r="C144" s="24" t="s">
        <v>1896</v>
      </c>
      <c r="D144" s="24" t="str">
        <f t="shared" si="1"/>
        <v>bossdb://lee2022/s21_l56_100nm_2_/s21_l56_100nm_2_/</v>
      </c>
      <c r="E144" s="24" t="s">
        <v>1752</v>
      </c>
      <c r="F144" s="32" t="s">
        <v>215</v>
      </c>
      <c r="G144" s="24" t="s">
        <v>1494</v>
      </c>
      <c r="H144" s="41" t="s">
        <v>858</v>
      </c>
      <c r="I144" s="24" t="s">
        <v>410</v>
      </c>
      <c r="J144" s="42" t="s">
        <v>411</v>
      </c>
      <c r="K144" s="14" t="b">
        <v>0</v>
      </c>
      <c r="L144" s="14" t="s">
        <v>2197</v>
      </c>
      <c r="M144" s="43" t="s">
        <v>413</v>
      </c>
      <c r="N144" s="14"/>
      <c r="O144" s="14"/>
      <c r="P144" s="14"/>
      <c r="Q144" s="14"/>
      <c r="R144" s="14"/>
      <c r="S144" s="14"/>
      <c r="T144" s="14"/>
      <c r="U144" s="14"/>
    </row>
    <row r="145" spans="1:21" ht="15.75" customHeight="1">
      <c r="A145" s="24" t="s">
        <v>216</v>
      </c>
      <c r="B145" s="25" t="str">
        <f t="shared" si="0"/>
        <v>s21_l56_100nm_3_</v>
      </c>
      <c r="C145" s="24" t="s">
        <v>1897</v>
      </c>
      <c r="D145" s="24" t="str">
        <f t="shared" si="1"/>
        <v>bossdb://lee2022/s21_l56_100nm_3_/s21_l56_100nm_3_/</v>
      </c>
      <c r="E145" s="24" t="s">
        <v>1752</v>
      </c>
      <c r="F145" s="32" t="s">
        <v>217</v>
      </c>
      <c r="G145" s="24" t="s">
        <v>1494</v>
      </c>
      <c r="H145" s="41" t="s">
        <v>858</v>
      </c>
      <c r="I145" s="24" t="s">
        <v>410</v>
      </c>
      <c r="J145" s="42" t="s">
        <v>411</v>
      </c>
      <c r="K145" s="14" t="b">
        <v>0</v>
      </c>
      <c r="L145" s="14" t="s">
        <v>2197</v>
      </c>
      <c r="M145" s="43" t="s">
        <v>413</v>
      </c>
      <c r="N145" s="14"/>
      <c r="O145" s="14"/>
      <c r="P145" s="14"/>
      <c r="Q145" s="14"/>
      <c r="R145" s="14"/>
      <c r="S145" s="14"/>
      <c r="T145" s="14"/>
      <c r="U145" s="14"/>
    </row>
    <row r="146" spans="1:21" ht="15.75" customHeight="1">
      <c r="A146" s="24" t="s">
        <v>218</v>
      </c>
      <c r="B146" s="25" t="str">
        <f t="shared" si="0"/>
        <v>s21_l56_100nm_4_</v>
      </c>
      <c r="C146" s="24" t="s">
        <v>1898</v>
      </c>
      <c r="D146" s="24" t="str">
        <f t="shared" si="1"/>
        <v>bossdb://lee2022/s21_l56_100nm_4_/s21_l56_100nm_4_/</v>
      </c>
      <c r="E146" s="24" t="s">
        <v>1752</v>
      </c>
      <c r="F146" s="32" t="s">
        <v>219</v>
      </c>
      <c r="G146" s="24" t="s">
        <v>1494</v>
      </c>
      <c r="H146" s="41" t="s">
        <v>858</v>
      </c>
      <c r="I146" s="24" t="s">
        <v>410</v>
      </c>
      <c r="J146" s="42" t="s">
        <v>411</v>
      </c>
      <c r="K146" s="14" t="b">
        <v>0</v>
      </c>
      <c r="L146" s="14" t="s">
        <v>2197</v>
      </c>
      <c r="M146" s="43" t="s">
        <v>413</v>
      </c>
      <c r="N146" s="14"/>
      <c r="O146" s="14"/>
      <c r="P146" s="14"/>
      <c r="Q146" s="14"/>
      <c r="R146" s="14"/>
      <c r="S146" s="14"/>
      <c r="T146" s="14"/>
      <c r="U146" s="14"/>
    </row>
    <row r="147" spans="1:21" ht="15.75" customHeight="1">
      <c r="A147" s="24" t="s">
        <v>220</v>
      </c>
      <c r="B147" s="25" t="str">
        <f t="shared" si="0"/>
        <v>s22_WM_100nm_</v>
      </c>
      <c r="C147" s="24" t="s">
        <v>1899</v>
      </c>
      <c r="D147" s="24" t="str">
        <f t="shared" si="1"/>
        <v>bossdb://lee2022/s22_WM_100nm_/s22_WM_100nm_/</v>
      </c>
      <c r="E147" s="24" t="s">
        <v>1752</v>
      </c>
      <c r="F147" s="32" t="s">
        <v>221</v>
      </c>
      <c r="G147" s="24" t="s">
        <v>1494</v>
      </c>
      <c r="H147" s="41" t="s">
        <v>858</v>
      </c>
      <c r="I147" s="24" t="s">
        <v>410</v>
      </c>
      <c r="J147" s="42" t="s">
        <v>411</v>
      </c>
      <c r="K147" s="14" t="b">
        <v>0</v>
      </c>
      <c r="L147" s="14" t="s">
        <v>2197</v>
      </c>
      <c r="M147" s="43" t="s">
        <v>413</v>
      </c>
      <c r="N147" s="14"/>
      <c r="O147" s="14"/>
      <c r="P147" s="14"/>
      <c r="Q147" s="14"/>
      <c r="R147" s="14"/>
      <c r="S147" s="14"/>
      <c r="T147" s="14"/>
      <c r="U147" s="14"/>
    </row>
    <row r="148" spans="1:21" ht="15.75" customHeight="1">
      <c r="A148" s="24" t="s">
        <v>222</v>
      </c>
      <c r="B148" s="25" t="str">
        <f t="shared" si="0"/>
        <v>s22_WM_100nm_1_</v>
      </c>
      <c r="C148" s="24" t="s">
        <v>1900</v>
      </c>
      <c r="D148" s="24" t="str">
        <f t="shared" si="1"/>
        <v>bossdb://lee2022/s22_WM_100nm_1_/s22_WM_100nm_1_/</v>
      </c>
      <c r="E148" s="24" t="s">
        <v>1752</v>
      </c>
      <c r="F148" s="32" t="s">
        <v>223</v>
      </c>
      <c r="G148" s="24" t="s">
        <v>1494</v>
      </c>
      <c r="H148" s="41" t="s">
        <v>858</v>
      </c>
      <c r="I148" s="24" t="s">
        <v>410</v>
      </c>
      <c r="J148" s="42" t="s">
        <v>411</v>
      </c>
      <c r="K148" s="14" t="b">
        <v>0</v>
      </c>
      <c r="L148" s="14" t="s">
        <v>2197</v>
      </c>
      <c r="M148" s="43" t="s">
        <v>413</v>
      </c>
      <c r="N148" s="14"/>
      <c r="O148" s="14"/>
      <c r="P148" s="14"/>
      <c r="Q148" s="14"/>
      <c r="R148" s="14"/>
      <c r="S148" s="14"/>
      <c r="T148" s="14"/>
      <c r="U148" s="14"/>
    </row>
    <row r="149" spans="1:21" ht="15.75" customHeight="1">
      <c r="A149" s="24" t="s">
        <v>224</v>
      </c>
      <c r="B149" s="25" t="str">
        <f t="shared" si="0"/>
        <v>s22_WM_100nm_2_</v>
      </c>
      <c r="C149" s="24" t="s">
        <v>1901</v>
      </c>
      <c r="D149" s="24" t="str">
        <f t="shared" si="1"/>
        <v>bossdb://lee2022/s22_WM_100nm_2_/s22_WM_100nm_2_/</v>
      </c>
      <c r="E149" s="24" t="s">
        <v>1752</v>
      </c>
      <c r="F149" s="32" t="s">
        <v>225</v>
      </c>
      <c r="G149" s="24" t="s">
        <v>1494</v>
      </c>
      <c r="H149" s="41" t="s">
        <v>858</v>
      </c>
      <c r="I149" s="24" t="s">
        <v>410</v>
      </c>
      <c r="J149" s="42" t="s">
        <v>411</v>
      </c>
      <c r="K149" s="14" t="b">
        <v>0</v>
      </c>
      <c r="L149" s="14" t="s">
        <v>2197</v>
      </c>
      <c r="M149" s="43" t="s">
        <v>413</v>
      </c>
      <c r="N149" s="14"/>
      <c r="O149" s="14"/>
      <c r="P149" s="14"/>
      <c r="Q149" s="14"/>
      <c r="R149" s="14"/>
      <c r="S149" s="14"/>
      <c r="T149" s="14"/>
      <c r="U149" s="14"/>
    </row>
    <row r="150" spans="1:21" ht="15.75" customHeight="1">
      <c r="A150" s="24" t="s">
        <v>226</v>
      </c>
      <c r="B150" s="25" t="str">
        <f t="shared" si="0"/>
        <v>s22_WM_100nm_3_</v>
      </c>
      <c r="C150" s="24" t="s">
        <v>1902</v>
      </c>
      <c r="D150" s="24" t="str">
        <f t="shared" si="1"/>
        <v>bossdb://lee2022/s22_WM_100nm_3_/s22_WM_100nm_3_/</v>
      </c>
      <c r="E150" s="24" t="s">
        <v>1752</v>
      </c>
      <c r="F150" s="32" t="s">
        <v>227</v>
      </c>
      <c r="G150" s="24" t="s">
        <v>1494</v>
      </c>
      <c r="H150" s="41" t="s">
        <v>858</v>
      </c>
      <c r="I150" s="24" t="s">
        <v>410</v>
      </c>
      <c r="J150" s="42" t="s">
        <v>411</v>
      </c>
      <c r="K150" s="14" t="b">
        <v>0</v>
      </c>
      <c r="L150" s="14" t="s">
        <v>2197</v>
      </c>
      <c r="M150" s="43" t="s">
        <v>413</v>
      </c>
      <c r="N150" s="14"/>
      <c r="O150" s="14"/>
      <c r="P150" s="14"/>
      <c r="Q150" s="14"/>
      <c r="R150" s="14"/>
      <c r="S150" s="14"/>
      <c r="T150" s="14"/>
      <c r="U150" s="14"/>
    </row>
    <row r="151" spans="1:21" ht="15.75" customHeight="1">
      <c r="A151" s="24" t="s">
        <v>228</v>
      </c>
      <c r="B151" s="25" t="str">
        <f t="shared" si="0"/>
        <v>s22_WM_100nm_4_</v>
      </c>
      <c r="C151" s="24" t="s">
        <v>1903</v>
      </c>
      <c r="D151" s="24" t="str">
        <f t="shared" si="1"/>
        <v>bossdb://lee2022/s22_WM_100nm_4_/s22_WM_100nm_4_/</v>
      </c>
      <c r="E151" s="24" t="s">
        <v>1752</v>
      </c>
      <c r="F151" s="32" t="s">
        <v>229</v>
      </c>
      <c r="G151" s="24" t="s">
        <v>1494</v>
      </c>
      <c r="H151" s="41" t="s">
        <v>858</v>
      </c>
      <c r="I151" s="24" t="s">
        <v>410</v>
      </c>
      <c r="J151" s="42" t="s">
        <v>411</v>
      </c>
      <c r="K151" s="14" t="b">
        <v>0</v>
      </c>
      <c r="L151" s="14" t="s">
        <v>2197</v>
      </c>
      <c r="M151" s="43" t="s">
        <v>413</v>
      </c>
      <c r="N151" s="14"/>
      <c r="O151" s="14"/>
      <c r="P151" s="14"/>
      <c r="Q151" s="14"/>
      <c r="R151" s="14"/>
      <c r="S151" s="14"/>
      <c r="T151" s="14"/>
      <c r="U151" s="14"/>
    </row>
    <row r="152" spans="1:21" ht="15.75" customHeight="1">
      <c r="A152" s="24" t="s">
        <v>230</v>
      </c>
      <c r="B152" s="25" t="str">
        <f t="shared" si="0"/>
        <v>s22_fov52_030nm_</v>
      </c>
      <c r="C152" s="24" t="s">
        <v>1904</v>
      </c>
      <c r="D152" s="24" t="str">
        <f t="shared" si="1"/>
        <v>bossdb://lee2022/s22_fov52_030nm_/s22_fov52_030nm_/</v>
      </c>
      <c r="E152" s="24" t="s">
        <v>1752</v>
      </c>
      <c r="F152" s="32" t="s">
        <v>231</v>
      </c>
      <c r="G152" s="24" t="s">
        <v>1494</v>
      </c>
      <c r="H152" s="41" t="s">
        <v>858</v>
      </c>
      <c r="I152" s="24" t="s">
        <v>410</v>
      </c>
      <c r="J152" s="42" t="s">
        <v>411</v>
      </c>
      <c r="K152" s="14" t="b">
        <v>0</v>
      </c>
      <c r="L152" s="14" t="s">
        <v>2197</v>
      </c>
      <c r="M152" s="43" t="s">
        <v>413</v>
      </c>
      <c r="N152" s="14"/>
      <c r="O152" s="14"/>
      <c r="P152" s="14"/>
      <c r="Q152" s="14"/>
      <c r="R152" s="14"/>
      <c r="S152" s="14"/>
      <c r="T152" s="14"/>
      <c r="U152" s="14"/>
    </row>
    <row r="153" spans="1:21" ht="15.75" customHeight="1">
      <c r="A153" s="24" t="s">
        <v>232</v>
      </c>
      <c r="B153" s="25" t="str">
        <f t="shared" si="0"/>
        <v>s22_fov52_030nm_1_</v>
      </c>
      <c r="C153" s="24" t="s">
        <v>1905</v>
      </c>
      <c r="D153" s="24" t="str">
        <f t="shared" si="1"/>
        <v>bossdb://lee2022/s22_fov52_030nm_1_/s22_fov52_030nm_1_/</v>
      </c>
      <c r="E153" s="24" t="s">
        <v>1752</v>
      </c>
      <c r="F153" s="32" t="s">
        <v>233</v>
      </c>
      <c r="G153" s="24" t="s">
        <v>1494</v>
      </c>
      <c r="H153" s="41" t="s">
        <v>858</v>
      </c>
      <c r="I153" s="24" t="s">
        <v>410</v>
      </c>
      <c r="J153" s="42" t="s">
        <v>411</v>
      </c>
      <c r="K153" s="14" t="b">
        <v>0</v>
      </c>
      <c r="L153" s="14" t="s">
        <v>2197</v>
      </c>
      <c r="M153" s="43" t="s">
        <v>413</v>
      </c>
      <c r="N153" s="14"/>
      <c r="O153" s="14"/>
      <c r="P153" s="14"/>
      <c r="Q153" s="14"/>
      <c r="R153" s="14"/>
      <c r="S153" s="14"/>
      <c r="T153" s="14"/>
      <c r="U153" s="14"/>
    </row>
    <row r="154" spans="1:21" ht="15.75" customHeight="1">
      <c r="A154" s="24" t="s">
        <v>234</v>
      </c>
      <c r="B154" s="25" t="str">
        <f t="shared" si="0"/>
        <v>s22_fov52_030nm_2_</v>
      </c>
      <c r="C154" s="24" t="s">
        <v>1906</v>
      </c>
      <c r="D154" s="24" t="str">
        <f t="shared" si="1"/>
        <v>bossdb://lee2022/s22_fov52_030nm_2_/s22_fov52_030nm_2_/</v>
      </c>
      <c r="E154" s="24" t="s">
        <v>1752</v>
      </c>
      <c r="F154" s="32" t="s">
        <v>235</v>
      </c>
      <c r="G154" s="24" t="s">
        <v>1494</v>
      </c>
      <c r="H154" s="41" t="s">
        <v>858</v>
      </c>
      <c r="I154" s="24" t="s">
        <v>410</v>
      </c>
      <c r="J154" s="42" t="s">
        <v>411</v>
      </c>
      <c r="K154" s="14" t="b">
        <v>0</v>
      </c>
      <c r="L154" s="14" t="s">
        <v>2197</v>
      </c>
      <c r="M154" s="43" t="s">
        <v>413</v>
      </c>
      <c r="N154" s="14"/>
      <c r="O154" s="14"/>
      <c r="P154" s="14"/>
      <c r="Q154" s="14"/>
      <c r="R154" s="14"/>
      <c r="S154" s="14"/>
      <c r="T154" s="14"/>
      <c r="U154" s="14"/>
    </row>
    <row r="155" spans="1:21" ht="15.75" customHeight="1">
      <c r="A155" s="24" t="s">
        <v>236</v>
      </c>
      <c r="B155" s="25" t="str">
        <f t="shared" si="0"/>
        <v>s22_fov52_030nm_3_</v>
      </c>
      <c r="C155" s="24" t="s">
        <v>1907</v>
      </c>
      <c r="D155" s="24" t="str">
        <f t="shared" si="1"/>
        <v>bossdb://lee2022/s22_fov52_030nm_3_/s22_fov52_030nm_3_/</v>
      </c>
      <c r="E155" s="24" t="s">
        <v>1752</v>
      </c>
      <c r="F155" s="32" t="s">
        <v>237</v>
      </c>
      <c r="G155" s="24" t="s">
        <v>1494</v>
      </c>
      <c r="H155" s="41" t="s">
        <v>858</v>
      </c>
      <c r="I155" s="24" t="s">
        <v>410</v>
      </c>
      <c r="J155" s="42" t="s">
        <v>411</v>
      </c>
      <c r="K155" s="14" t="b">
        <v>0</v>
      </c>
      <c r="L155" s="14" t="s">
        <v>2197</v>
      </c>
      <c r="M155" s="43" t="s">
        <v>413</v>
      </c>
      <c r="N155" s="14"/>
      <c r="O155" s="14"/>
      <c r="P155" s="14"/>
      <c r="Q155" s="14"/>
      <c r="R155" s="14"/>
      <c r="S155" s="14"/>
      <c r="T155" s="14"/>
      <c r="U155" s="14"/>
    </row>
    <row r="156" spans="1:21" ht="15.75" customHeight="1">
      <c r="A156" s="24" t="s">
        <v>238</v>
      </c>
      <c r="B156" s="25" t="str">
        <f t="shared" si="0"/>
        <v>s22_fov52_030nm_4_</v>
      </c>
      <c r="C156" s="24" t="s">
        <v>1908</v>
      </c>
      <c r="D156" s="24" t="str">
        <f t="shared" si="1"/>
        <v>bossdb://lee2022/s22_fov52_030nm_4_/s22_fov52_030nm_4_/</v>
      </c>
      <c r="E156" s="24" t="s">
        <v>1752</v>
      </c>
      <c r="F156" s="32" t="s">
        <v>239</v>
      </c>
      <c r="G156" s="24" t="s">
        <v>1494</v>
      </c>
      <c r="H156" s="41" t="s">
        <v>858</v>
      </c>
      <c r="I156" s="24" t="s">
        <v>410</v>
      </c>
      <c r="J156" s="42" t="s">
        <v>411</v>
      </c>
      <c r="K156" s="14" t="b">
        <v>0</v>
      </c>
      <c r="L156" s="14" t="s">
        <v>2197</v>
      </c>
      <c r="M156" s="43" t="s">
        <v>413</v>
      </c>
      <c r="N156" s="14"/>
      <c r="O156" s="14"/>
      <c r="P156" s="14"/>
      <c r="Q156" s="14"/>
      <c r="R156" s="14"/>
      <c r="S156" s="14"/>
      <c r="T156" s="14"/>
      <c r="U156" s="14"/>
    </row>
    <row r="157" spans="1:21" ht="15.75" customHeight="1">
      <c r="A157" s="24" t="s">
        <v>240</v>
      </c>
      <c r="B157" s="25" t="str">
        <f t="shared" si="0"/>
        <v>s22_fov5_030nm_</v>
      </c>
      <c r="C157" s="24" t="s">
        <v>1909</v>
      </c>
      <c r="D157" s="24" t="str">
        <f t="shared" si="1"/>
        <v>bossdb://lee2022/s22_fov5_030nm_/s22_fov5_030nm_/</v>
      </c>
      <c r="E157" s="24" t="s">
        <v>1752</v>
      </c>
      <c r="F157" s="32" t="s">
        <v>241</v>
      </c>
      <c r="G157" s="24" t="s">
        <v>1494</v>
      </c>
      <c r="H157" s="41" t="s">
        <v>858</v>
      </c>
      <c r="I157" s="24" t="s">
        <v>410</v>
      </c>
      <c r="J157" s="42" t="s">
        <v>411</v>
      </c>
      <c r="K157" s="14" t="b">
        <v>0</v>
      </c>
      <c r="L157" s="14" t="s">
        <v>2197</v>
      </c>
      <c r="M157" s="43" t="s">
        <v>413</v>
      </c>
      <c r="N157" s="14"/>
      <c r="O157" s="14"/>
      <c r="P157" s="14"/>
      <c r="Q157" s="14"/>
      <c r="R157" s="14"/>
      <c r="S157" s="14"/>
      <c r="T157" s="14"/>
      <c r="U157" s="14"/>
    </row>
    <row r="158" spans="1:21" ht="15.75" customHeight="1">
      <c r="A158" s="24" t="s">
        <v>242</v>
      </c>
      <c r="B158" s="25" t="str">
        <f t="shared" si="0"/>
        <v>s22_fov5_030nm_1_</v>
      </c>
      <c r="C158" s="24" t="s">
        <v>1910</v>
      </c>
      <c r="D158" s="24" t="str">
        <f t="shared" si="1"/>
        <v>bossdb://lee2022/s22_fov5_030nm_1_/s22_fov5_030nm_1_/</v>
      </c>
      <c r="E158" s="24" t="s">
        <v>1752</v>
      </c>
      <c r="F158" s="32" t="s">
        <v>243</v>
      </c>
      <c r="G158" s="24" t="s">
        <v>1494</v>
      </c>
      <c r="H158" s="41" t="s">
        <v>858</v>
      </c>
      <c r="I158" s="24" t="s">
        <v>410</v>
      </c>
      <c r="J158" s="42" t="s">
        <v>411</v>
      </c>
      <c r="K158" s="14" t="b">
        <v>0</v>
      </c>
      <c r="L158" s="14" t="s">
        <v>2197</v>
      </c>
      <c r="M158" s="43" t="s">
        <v>413</v>
      </c>
      <c r="N158" s="14"/>
      <c r="O158" s="14"/>
      <c r="P158" s="14"/>
      <c r="Q158" s="14"/>
      <c r="R158" s="14"/>
      <c r="S158" s="14"/>
      <c r="T158" s="14"/>
      <c r="U158" s="14"/>
    </row>
    <row r="159" spans="1:21" ht="15.75" customHeight="1">
      <c r="A159" s="24" t="s">
        <v>244</v>
      </c>
      <c r="B159" s="25" t="str">
        <f t="shared" si="0"/>
        <v>s22_fov5_030nm_2_</v>
      </c>
      <c r="C159" s="24" t="s">
        <v>1911</v>
      </c>
      <c r="D159" s="24" t="str">
        <f t="shared" si="1"/>
        <v>bossdb://lee2022/s22_fov5_030nm_2_/s22_fov5_030nm_2_/</v>
      </c>
      <c r="E159" s="24" t="s">
        <v>1752</v>
      </c>
      <c r="F159" s="32" t="s">
        <v>245</v>
      </c>
      <c r="G159" s="24" t="s">
        <v>1494</v>
      </c>
      <c r="H159" s="41" t="s">
        <v>858</v>
      </c>
      <c r="I159" s="24" t="s">
        <v>410</v>
      </c>
      <c r="J159" s="42" t="s">
        <v>411</v>
      </c>
      <c r="K159" s="14" t="b">
        <v>0</v>
      </c>
      <c r="L159" s="14" t="s">
        <v>2197</v>
      </c>
      <c r="M159" s="43" t="s">
        <v>413</v>
      </c>
      <c r="N159" s="14"/>
      <c r="O159" s="14"/>
      <c r="P159" s="14"/>
      <c r="Q159" s="14"/>
      <c r="R159" s="14"/>
      <c r="S159" s="14"/>
      <c r="T159" s="14"/>
      <c r="U159" s="14"/>
    </row>
    <row r="160" spans="1:21" ht="15.75" customHeight="1">
      <c r="A160" s="24" t="s">
        <v>246</v>
      </c>
      <c r="B160" s="25" t="str">
        <f t="shared" si="0"/>
        <v>s22_fov5_030nm_3_</v>
      </c>
      <c r="C160" s="24" t="s">
        <v>1912</v>
      </c>
      <c r="D160" s="24" t="str">
        <f t="shared" si="1"/>
        <v>bossdb://lee2022/s22_fov5_030nm_3_/s22_fov5_030nm_3_/</v>
      </c>
      <c r="E160" s="24" t="s">
        <v>1752</v>
      </c>
      <c r="F160" s="32" t="s">
        <v>247</v>
      </c>
      <c r="G160" s="24" t="s">
        <v>1494</v>
      </c>
      <c r="H160" s="41" t="s">
        <v>858</v>
      </c>
      <c r="I160" s="24" t="s">
        <v>410</v>
      </c>
      <c r="J160" s="42" t="s">
        <v>411</v>
      </c>
      <c r="K160" s="14" t="b">
        <v>0</v>
      </c>
      <c r="L160" s="14" t="s">
        <v>2197</v>
      </c>
      <c r="M160" s="43" t="s">
        <v>413</v>
      </c>
      <c r="N160" s="14"/>
      <c r="O160" s="14"/>
      <c r="P160" s="14"/>
      <c r="Q160" s="14"/>
      <c r="R160" s="14"/>
      <c r="S160" s="14"/>
      <c r="T160" s="14"/>
      <c r="U160" s="14"/>
    </row>
    <row r="161" spans="1:21" ht="15.75" customHeight="1">
      <c r="A161" s="24" t="s">
        <v>248</v>
      </c>
      <c r="B161" s="25" t="str">
        <f t="shared" si="0"/>
        <v>s22_fov5_030nm_4_</v>
      </c>
      <c r="C161" s="24" t="s">
        <v>1913</v>
      </c>
      <c r="D161" s="24" t="str">
        <f t="shared" si="1"/>
        <v>bossdb://lee2022/s22_fov5_030nm_4_/s22_fov5_030nm_4_/</v>
      </c>
      <c r="E161" s="24" t="s">
        <v>1752</v>
      </c>
      <c r="F161" s="32" t="s">
        <v>249</v>
      </c>
      <c r="G161" s="24" t="s">
        <v>1494</v>
      </c>
      <c r="H161" s="41" t="s">
        <v>858</v>
      </c>
      <c r="I161" s="24" t="s">
        <v>410</v>
      </c>
      <c r="J161" s="42" t="s">
        <v>411</v>
      </c>
      <c r="K161" s="14" t="b">
        <v>0</v>
      </c>
      <c r="L161" s="14" t="s">
        <v>2197</v>
      </c>
      <c r="M161" s="43" t="s">
        <v>413</v>
      </c>
      <c r="N161" s="14"/>
      <c r="O161" s="14"/>
      <c r="P161" s="14"/>
      <c r="Q161" s="14"/>
      <c r="R161" s="14"/>
      <c r="S161" s="14"/>
      <c r="T161" s="14"/>
      <c r="U161" s="14"/>
    </row>
    <row r="162" spans="1:21" ht="15.75" customHeight="1">
      <c r="A162" s="24" t="s">
        <v>250</v>
      </c>
      <c r="B162" s="25" t="str">
        <f t="shared" si="0"/>
        <v>s22_fov5_080nm_</v>
      </c>
      <c r="C162" s="24" t="s">
        <v>1914</v>
      </c>
      <c r="D162" s="24" t="str">
        <f t="shared" si="1"/>
        <v>bossdb://lee2022/s22_fov5_080nm_/s22_fov5_080nm_/</v>
      </c>
      <c r="E162" s="24" t="s">
        <v>1752</v>
      </c>
      <c r="F162" s="32" t="s">
        <v>251</v>
      </c>
      <c r="G162" s="24" t="s">
        <v>1494</v>
      </c>
      <c r="H162" s="41" t="s">
        <v>858</v>
      </c>
      <c r="I162" s="24" t="s">
        <v>410</v>
      </c>
      <c r="J162" s="42" t="s">
        <v>411</v>
      </c>
      <c r="K162" s="14" t="b">
        <v>0</v>
      </c>
      <c r="L162" s="14" t="s">
        <v>2197</v>
      </c>
      <c r="M162" s="43" t="s">
        <v>413</v>
      </c>
      <c r="N162" s="14"/>
      <c r="O162" s="14"/>
      <c r="P162" s="14"/>
      <c r="Q162" s="14"/>
      <c r="R162" s="14"/>
      <c r="S162" s="14"/>
      <c r="T162" s="14"/>
      <c r="U162" s="14"/>
    </row>
    <row r="163" spans="1:21" ht="15.75" customHeight="1">
      <c r="A163" s="24" t="s">
        <v>252</v>
      </c>
      <c r="B163" s="25" t="str">
        <f t="shared" si="0"/>
        <v>s22_fov5_080nm_1_</v>
      </c>
      <c r="C163" s="24" t="s">
        <v>1915</v>
      </c>
      <c r="D163" s="24" t="str">
        <f t="shared" si="1"/>
        <v>bossdb://lee2022/s22_fov5_080nm_1_/s22_fov5_080nm_1_/</v>
      </c>
      <c r="E163" s="24" t="s">
        <v>1752</v>
      </c>
      <c r="F163" s="32" t="s">
        <v>253</v>
      </c>
      <c r="G163" s="24" t="s">
        <v>1494</v>
      </c>
      <c r="H163" s="41" t="s">
        <v>858</v>
      </c>
      <c r="I163" s="24" t="s">
        <v>410</v>
      </c>
      <c r="J163" s="42" t="s">
        <v>411</v>
      </c>
      <c r="K163" s="14" t="b">
        <v>0</v>
      </c>
      <c r="L163" s="14" t="s">
        <v>2197</v>
      </c>
      <c r="M163" s="43" t="s">
        <v>413</v>
      </c>
      <c r="N163" s="14"/>
      <c r="O163" s="14"/>
      <c r="P163" s="14"/>
      <c r="Q163" s="14"/>
      <c r="R163" s="14"/>
      <c r="S163" s="14"/>
      <c r="T163" s="14"/>
      <c r="U163" s="14"/>
    </row>
    <row r="164" spans="1:21" ht="15.75" customHeight="1">
      <c r="A164" s="24" t="s">
        <v>254</v>
      </c>
      <c r="B164" s="25" t="str">
        <f t="shared" si="0"/>
        <v>s22_fov5_080nm_2_</v>
      </c>
      <c r="C164" s="24" t="s">
        <v>1916</v>
      </c>
      <c r="D164" s="24" t="str">
        <f t="shared" si="1"/>
        <v>bossdb://lee2022/s22_fov5_080nm_2_/s22_fov5_080nm_2_/</v>
      </c>
      <c r="E164" s="24" t="s">
        <v>1752</v>
      </c>
      <c r="F164" s="32" t="s">
        <v>255</v>
      </c>
      <c r="G164" s="24" t="s">
        <v>1494</v>
      </c>
      <c r="H164" s="41" t="s">
        <v>858</v>
      </c>
      <c r="I164" s="24" t="s">
        <v>410</v>
      </c>
      <c r="J164" s="42" t="s">
        <v>411</v>
      </c>
      <c r="K164" s="14" t="b">
        <v>0</v>
      </c>
      <c r="L164" s="14" t="s">
        <v>2197</v>
      </c>
      <c r="M164" s="43" t="s">
        <v>413</v>
      </c>
      <c r="N164" s="14"/>
      <c r="O164" s="14"/>
      <c r="P164" s="14"/>
      <c r="Q164" s="14"/>
      <c r="R164" s="14"/>
      <c r="S164" s="14"/>
      <c r="T164" s="14"/>
      <c r="U164" s="14"/>
    </row>
    <row r="165" spans="1:21" ht="15.75" customHeight="1">
      <c r="A165" s="24" t="s">
        <v>256</v>
      </c>
      <c r="B165" s="25" t="str">
        <f t="shared" si="0"/>
        <v>s22_fov5_080nm_3_</v>
      </c>
      <c r="C165" s="24" t="s">
        <v>1917</v>
      </c>
      <c r="D165" s="24" t="str">
        <f t="shared" si="1"/>
        <v>bossdb://lee2022/s22_fov5_080nm_3_/s22_fov5_080nm_3_/</v>
      </c>
      <c r="E165" s="24" t="s">
        <v>1752</v>
      </c>
      <c r="F165" s="32" t="s">
        <v>257</v>
      </c>
      <c r="G165" s="24" t="s">
        <v>1494</v>
      </c>
      <c r="H165" s="41" t="s">
        <v>858</v>
      </c>
      <c r="I165" s="24" t="s">
        <v>410</v>
      </c>
      <c r="J165" s="42" t="s">
        <v>411</v>
      </c>
      <c r="K165" s="14" t="b">
        <v>0</v>
      </c>
      <c r="L165" s="14" t="s">
        <v>2197</v>
      </c>
      <c r="M165" s="43" t="s">
        <v>413</v>
      </c>
      <c r="N165" s="14"/>
      <c r="O165" s="14"/>
      <c r="P165" s="14"/>
      <c r="Q165" s="14"/>
      <c r="R165" s="14"/>
      <c r="S165" s="14"/>
      <c r="T165" s="14"/>
      <c r="U165" s="14"/>
    </row>
    <row r="166" spans="1:21" ht="15.75" customHeight="1">
      <c r="A166" s="24" t="s">
        <v>258</v>
      </c>
      <c r="B166" s="25" t="str">
        <f t="shared" si="0"/>
        <v>s22_fov5_080nm_4_</v>
      </c>
      <c r="C166" s="24" t="s">
        <v>1918</v>
      </c>
      <c r="D166" s="24" t="str">
        <f t="shared" si="1"/>
        <v>bossdb://lee2022/s22_fov5_080nm_4_/s22_fov5_080nm_4_/</v>
      </c>
      <c r="E166" s="24" t="s">
        <v>1752</v>
      </c>
      <c r="F166" s="32" t="s">
        <v>259</v>
      </c>
      <c r="G166" s="24" t="s">
        <v>1494</v>
      </c>
      <c r="H166" s="41" t="s">
        <v>858</v>
      </c>
      <c r="I166" s="24" t="s">
        <v>410</v>
      </c>
      <c r="J166" s="42" t="s">
        <v>411</v>
      </c>
      <c r="K166" s="14" t="b">
        <v>0</v>
      </c>
      <c r="L166" s="14" t="s">
        <v>2197</v>
      </c>
      <c r="M166" s="43" t="s">
        <v>413</v>
      </c>
      <c r="N166" s="14"/>
      <c r="O166" s="14"/>
      <c r="P166" s="14"/>
      <c r="Q166" s="14"/>
      <c r="R166" s="14"/>
      <c r="S166" s="14"/>
      <c r="T166" s="14"/>
      <c r="U166" s="14"/>
    </row>
    <row r="167" spans="1:21" ht="15.75" customHeight="1">
      <c r="A167" s="24" t="s">
        <v>260</v>
      </c>
      <c r="B167" s="25" t="str">
        <f t="shared" si="0"/>
        <v>s22_l3_md_025nm_1_</v>
      </c>
      <c r="C167" s="24" t="s">
        <v>1919</v>
      </c>
      <c r="D167" s="24" t="str">
        <f t="shared" si="1"/>
        <v>bossdb://lee2022/s22_l3_md_025nm_1_/s22_l3_md_025nm_1_/</v>
      </c>
      <c r="E167" s="24" t="s">
        <v>1752</v>
      </c>
      <c r="F167" s="32" t="s">
        <v>261</v>
      </c>
      <c r="G167" s="24" t="s">
        <v>1494</v>
      </c>
      <c r="H167" s="41" t="s">
        <v>858</v>
      </c>
      <c r="I167" s="24" t="s">
        <v>410</v>
      </c>
      <c r="J167" s="42" t="s">
        <v>411</v>
      </c>
      <c r="K167" s="14" t="b">
        <v>0</v>
      </c>
      <c r="L167" s="14" t="s">
        <v>2197</v>
      </c>
      <c r="M167" s="43" t="s">
        <v>413</v>
      </c>
      <c r="N167" s="14"/>
      <c r="O167" s="14"/>
      <c r="P167" s="14"/>
      <c r="Q167" s="14"/>
      <c r="R167" s="14"/>
      <c r="S167" s="14"/>
      <c r="T167" s="14"/>
      <c r="U167" s="14"/>
    </row>
    <row r="168" spans="1:21" ht="15.75" customHeight="1">
      <c r="A168" s="24" t="s">
        <v>262</v>
      </c>
      <c r="B168" s="25" t="str">
        <f t="shared" si="0"/>
        <v>s22_l3_md_025nm_2_</v>
      </c>
      <c r="C168" s="24" t="s">
        <v>1920</v>
      </c>
      <c r="D168" s="24" t="str">
        <f t="shared" si="1"/>
        <v>bossdb://lee2022/s22_l3_md_025nm_2_/s22_l3_md_025nm_2_/</v>
      </c>
      <c r="E168" s="24" t="s">
        <v>1752</v>
      </c>
      <c r="F168" s="32" t="s">
        <v>263</v>
      </c>
      <c r="G168" s="24" t="s">
        <v>1494</v>
      </c>
      <c r="H168" s="41" t="s">
        <v>858</v>
      </c>
      <c r="I168" s="24" t="s">
        <v>410</v>
      </c>
      <c r="J168" s="42" t="s">
        <v>411</v>
      </c>
      <c r="K168" s="14" t="b">
        <v>0</v>
      </c>
      <c r="L168" s="14" t="s">
        <v>2197</v>
      </c>
      <c r="M168" s="43" t="s">
        <v>413</v>
      </c>
      <c r="N168" s="14"/>
      <c r="O168" s="14"/>
      <c r="P168" s="14"/>
      <c r="Q168" s="14"/>
      <c r="R168" s="14"/>
      <c r="S168" s="14"/>
      <c r="T168" s="14"/>
      <c r="U168" s="14"/>
    </row>
    <row r="169" spans="1:21" ht="15.75" customHeight="1">
      <c r="A169" s="24" t="s">
        <v>264</v>
      </c>
      <c r="B169" s="25" t="str">
        <f t="shared" si="0"/>
        <v>s22_l3_md_025nm_3_</v>
      </c>
      <c r="C169" s="24" t="s">
        <v>1921</v>
      </c>
      <c r="D169" s="24" t="str">
        <f t="shared" si="1"/>
        <v>bossdb://lee2022/s22_l3_md_025nm_3_/s22_l3_md_025nm_3_/</v>
      </c>
      <c r="E169" s="24" t="s">
        <v>1752</v>
      </c>
      <c r="F169" s="32" t="s">
        <v>265</v>
      </c>
      <c r="G169" s="24" t="s">
        <v>1494</v>
      </c>
      <c r="H169" s="41" t="s">
        <v>858</v>
      </c>
      <c r="I169" s="24" t="s">
        <v>410</v>
      </c>
      <c r="J169" s="42" t="s">
        <v>411</v>
      </c>
      <c r="K169" s="14" t="b">
        <v>0</v>
      </c>
      <c r="L169" s="14" t="s">
        <v>2197</v>
      </c>
      <c r="M169" s="43" t="s">
        <v>413</v>
      </c>
      <c r="N169" s="14"/>
      <c r="O169" s="14"/>
      <c r="P169" s="14"/>
      <c r="Q169" s="14"/>
      <c r="R169" s="14"/>
      <c r="S169" s="14"/>
      <c r="T169" s="14"/>
      <c r="U169" s="14"/>
    </row>
    <row r="170" spans="1:21" ht="15.75" customHeight="1">
      <c r="A170" s="24" t="s">
        <v>266</v>
      </c>
      <c r="B170" s="25" t="str">
        <f t="shared" si="0"/>
        <v>s22_l3_md_025nm_4_</v>
      </c>
      <c r="C170" s="24" t="s">
        <v>1922</v>
      </c>
      <c r="D170" s="24" t="str">
        <f t="shared" si="1"/>
        <v>bossdb://lee2022/s22_l3_md_025nm_4_/s22_l3_md_025nm_4_/</v>
      </c>
      <c r="E170" s="24" t="s">
        <v>1752</v>
      </c>
      <c r="F170" s="32" t="s">
        <v>267</v>
      </c>
      <c r="G170" s="24" t="s">
        <v>1494</v>
      </c>
      <c r="H170" s="41" t="s">
        <v>858</v>
      </c>
      <c r="I170" s="24" t="s">
        <v>410</v>
      </c>
      <c r="J170" s="42" t="s">
        <v>411</v>
      </c>
      <c r="K170" s="14" t="b">
        <v>0</v>
      </c>
      <c r="L170" s="14" t="s">
        <v>2197</v>
      </c>
      <c r="M170" s="43" t="s">
        <v>413</v>
      </c>
      <c r="N170" s="14"/>
      <c r="O170" s="14"/>
      <c r="P170" s="14"/>
      <c r="Q170" s="14"/>
      <c r="R170" s="14"/>
      <c r="S170" s="14"/>
      <c r="T170" s="14"/>
      <c r="U170" s="14"/>
    </row>
    <row r="171" spans="1:21" ht="15.75" customHeight="1">
      <c r="A171" s="24" t="s">
        <v>268</v>
      </c>
      <c r="B171" s="25" t="str">
        <f t="shared" si="0"/>
        <v>s22_l5_025nm_</v>
      </c>
      <c r="C171" s="24" t="s">
        <v>1923</v>
      </c>
      <c r="D171" s="24" t="str">
        <f t="shared" si="1"/>
        <v>bossdb://lee2022/s22_l5_025nm_/s22_l5_025nm_/</v>
      </c>
      <c r="E171" s="24" t="s">
        <v>1752</v>
      </c>
      <c r="F171" s="32" t="s">
        <v>269</v>
      </c>
      <c r="G171" s="24" t="s">
        <v>1494</v>
      </c>
      <c r="H171" s="41" t="s">
        <v>858</v>
      </c>
      <c r="I171" s="24" t="s">
        <v>410</v>
      </c>
      <c r="J171" s="42" t="s">
        <v>411</v>
      </c>
      <c r="K171" s="14" t="b">
        <v>0</v>
      </c>
      <c r="L171" s="14" t="s">
        <v>2197</v>
      </c>
      <c r="M171" s="43" t="s">
        <v>413</v>
      </c>
      <c r="N171" s="14"/>
      <c r="O171" s="14"/>
      <c r="P171" s="14"/>
      <c r="Q171" s="14"/>
      <c r="R171" s="14"/>
      <c r="S171" s="14"/>
      <c r="T171" s="14"/>
      <c r="U171" s="14"/>
    </row>
    <row r="172" spans="1:21" ht="15.75" customHeight="1">
      <c r="A172" s="24" t="s">
        <v>270</v>
      </c>
      <c r="B172" s="25" t="str">
        <f t="shared" si="0"/>
        <v>s22_l5_025nm_1_</v>
      </c>
      <c r="C172" s="24" t="s">
        <v>1924</v>
      </c>
      <c r="D172" s="24" t="str">
        <f t="shared" si="1"/>
        <v>bossdb://lee2022/s22_l5_025nm_1_/s22_l5_025nm_1_/</v>
      </c>
      <c r="E172" s="24" t="s">
        <v>1752</v>
      </c>
      <c r="F172" s="32" t="s">
        <v>271</v>
      </c>
      <c r="G172" s="24" t="s">
        <v>1494</v>
      </c>
      <c r="H172" s="41" t="s">
        <v>858</v>
      </c>
      <c r="I172" s="24" t="s">
        <v>410</v>
      </c>
      <c r="J172" s="42" t="s">
        <v>411</v>
      </c>
      <c r="K172" s="14" t="b">
        <v>0</v>
      </c>
      <c r="L172" s="14" t="s">
        <v>2197</v>
      </c>
      <c r="M172" s="43" t="s">
        <v>413</v>
      </c>
      <c r="N172" s="14"/>
      <c r="O172" s="14"/>
      <c r="P172" s="14"/>
      <c r="Q172" s="14"/>
      <c r="R172" s="14"/>
      <c r="S172" s="14"/>
      <c r="T172" s="14"/>
      <c r="U172" s="14"/>
    </row>
    <row r="173" spans="1:21" ht="15.75" customHeight="1">
      <c r="A173" s="24" t="s">
        <v>272</v>
      </c>
      <c r="B173" s="25" t="str">
        <f t="shared" si="0"/>
        <v>s22_l5_025nm_2_</v>
      </c>
      <c r="C173" s="24" t="s">
        <v>1925</v>
      </c>
      <c r="D173" s="24" t="str">
        <f t="shared" si="1"/>
        <v>bossdb://lee2022/s22_l5_025nm_2_/s22_l5_025nm_2_/</v>
      </c>
      <c r="E173" s="24" t="s">
        <v>1752</v>
      </c>
      <c r="F173" s="32" t="s">
        <v>273</v>
      </c>
      <c r="G173" s="24" t="s">
        <v>1494</v>
      </c>
      <c r="H173" s="41" t="s">
        <v>858</v>
      </c>
      <c r="I173" s="24" t="s">
        <v>410</v>
      </c>
      <c r="J173" s="42" t="s">
        <v>411</v>
      </c>
      <c r="K173" s="14" t="b">
        <v>0</v>
      </c>
      <c r="L173" s="14" t="s">
        <v>2197</v>
      </c>
      <c r="M173" s="43" t="s">
        <v>413</v>
      </c>
      <c r="N173" s="14"/>
      <c r="O173" s="14"/>
      <c r="P173" s="14"/>
      <c r="Q173" s="14"/>
      <c r="R173" s="14"/>
      <c r="S173" s="14"/>
      <c r="T173" s="14"/>
      <c r="U173" s="14"/>
    </row>
    <row r="174" spans="1:21" ht="15.75" customHeight="1">
      <c r="A174" s="24" t="s">
        <v>274</v>
      </c>
      <c r="B174" s="25" t="str">
        <f t="shared" si="0"/>
        <v>s22_l5_025nm_3_</v>
      </c>
      <c r="C174" s="24" t="s">
        <v>1926</v>
      </c>
      <c r="D174" s="24" t="str">
        <f t="shared" si="1"/>
        <v>bossdb://lee2022/s22_l5_025nm_3_/s22_l5_025nm_3_/</v>
      </c>
      <c r="E174" s="24" t="s">
        <v>1752</v>
      </c>
      <c r="F174" s="32" t="s">
        <v>275</v>
      </c>
      <c r="G174" s="24" t="s">
        <v>1494</v>
      </c>
      <c r="H174" s="41" t="s">
        <v>858</v>
      </c>
      <c r="I174" s="24" t="s">
        <v>410</v>
      </c>
      <c r="J174" s="42" t="s">
        <v>411</v>
      </c>
      <c r="K174" s="14" t="b">
        <v>0</v>
      </c>
      <c r="L174" s="14" t="s">
        <v>2197</v>
      </c>
      <c r="M174" s="43" t="s">
        <v>413</v>
      </c>
      <c r="N174" s="14"/>
      <c r="O174" s="14"/>
      <c r="P174" s="14"/>
      <c r="Q174" s="14"/>
      <c r="R174" s="14"/>
      <c r="S174" s="14"/>
      <c r="T174" s="14"/>
      <c r="U174" s="14"/>
    </row>
    <row r="175" spans="1:21" ht="15.75" customHeight="1">
      <c r="A175" s="24" t="s">
        <v>276</v>
      </c>
      <c r="B175" s="25" t="str">
        <f t="shared" si="0"/>
        <v>s22_l5_025nm_4_</v>
      </c>
      <c r="C175" s="24" t="s">
        <v>1927</v>
      </c>
      <c r="D175" s="24" t="str">
        <f t="shared" si="1"/>
        <v>bossdb://lee2022/s22_l5_025nm_4_/s22_l5_025nm_4_/</v>
      </c>
      <c r="E175" s="24" t="s">
        <v>1752</v>
      </c>
      <c r="F175" s="32" t="s">
        <v>277</v>
      </c>
      <c r="G175" s="24" t="s">
        <v>1494</v>
      </c>
      <c r="H175" s="41" t="s">
        <v>858</v>
      </c>
      <c r="I175" s="24" t="s">
        <v>410</v>
      </c>
      <c r="J175" s="42" t="s">
        <v>411</v>
      </c>
      <c r="K175" s="14" t="b">
        <v>0</v>
      </c>
      <c r="L175" s="14" t="s">
        <v>2197</v>
      </c>
      <c r="M175" s="43" t="s">
        <v>413</v>
      </c>
      <c r="N175" s="14"/>
      <c r="O175" s="14"/>
      <c r="P175" s="14"/>
      <c r="Q175" s="14"/>
      <c r="R175" s="14"/>
      <c r="S175" s="14"/>
      <c r="T175" s="14"/>
      <c r="U175" s="14"/>
    </row>
    <row r="176" spans="1:21" ht="15.75" customHeight="1">
      <c r="A176" s="24" t="s">
        <v>278</v>
      </c>
      <c r="B176" s="25" t="str">
        <f t="shared" si="0"/>
        <v>s24_hico_md1_030nm_</v>
      </c>
      <c r="C176" s="24" t="s">
        <v>1928</v>
      </c>
      <c r="D176" s="24" t="str">
        <f t="shared" si="1"/>
        <v>bossdb://lee2022/s24_hico_md1_030nm_/s24_hico_md1_030nm_/</v>
      </c>
      <c r="E176" s="24" t="s">
        <v>1752</v>
      </c>
      <c r="F176" s="32" t="s">
        <v>279</v>
      </c>
      <c r="G176" s="24" t="s">
        <v>1494</v>
      </c>
      <c r="H176" s="41" t="s">
        <v>858</v>
      </c>
      <c r="I176" s="24" t="s">
        <v>410</v>
      </c>
      <c r="J176" s="42" t="s">
        <v>411</v>
      </c>
      <c r="K176" s="14" t="b">
        <v>0</v>
      </c>
      <c r="L176" s="14" t="s">
        <v>2197</v>
      </c>
      <c r="M176" s="43" t="s">
        <v>413</v>
      </c>
      <c r="N176" s="14"/>
      <c r="O176" s="14"/>
      <c r="P176" s="14"/>
      <c r="Q176" s="14"/>
      <c r="R176" s="14"/>
      <c r="S176" s="14"/>
      <c r="T176" s="14"/>
      <c r="U176" s="14"/>
    </row>
    <row r="177" spans="1:21" ht="15.75" customHeight="1">
      <c r="A177" s="24" t="s">
        <v>280</v>
      </c>
      <c r="B177" s="25" t="str">
        <f t="shared" si="0"/>
        <v>s24_hico_md1_030nm_1_</v>
      </c>
      <c r="C177" s="24" t="s">
        <v>1929</v>
      </c>
      <c r="D177" s="24" t="str">
        <f t="shared" si="1"/>
        <v>bossdb://lee2022/s24_hico_md1_030nm_1_/s24_hico_md1_030nm_1_/</v>
      </c>
      <c r="E177" s="24" t="s">
        <v>1752</v>
      </c>
      <c r="F177" s="32" t="s">
        <v>281</v>
      </c>
      <c r="G177" s="24" t="s">
        <v>1494</v>
      </c>
      <c r="H177" s="41" t="s">
        <v>858</v>
      </c>
      <c r="I177" s="24" t="s">
        <v>410</v>
      </c>
      <c r="J177" s="42" t="s">
        <v>411</v>
      </c>
      <c r="K177" s="14" t="b">
        <v>0</v>
      </c>
      <c r="L177" s="14" t="s">
        <v>2197</v>
      </c>
      <c r="M177" s="43" t="s">
        <v>413</v>
      </c>
      <c r="N177" s="14"/>
      <c r="O177" s="14"/>
      <c r="P177" s="14"/>
      <c r="Q177" s="14"/>
      <c r="R177" s="14"/>
      <c r="S177" s="14"/>
      <c r="T177" s="14"/>
      <c r="U177" s="14"/>
    </row>
    <row r="178" spans="1:21" ht="15.75" customHeight="1">
      <c r="A178" s="24" t="s">
        <v>282</v>
      </c>
      <c r="B178" s="25" t="str">
        <f t="shared" si="0"/>
        <v>s24_hico_md1_030nm_2_</v>
      </c>
      <c r="C178" s="24" t="s">
        <v>1930</v>
      </c>
      <c r="D178" s="24" t="str">
        <f t="shared" si="1"/>
        <v>bossdb://lee2022/s24_hico_md1_030nm_2_/s24_hico_md1_030nm_2_/</v>
      </c>
      <c r="E178" s="24" t="s">
        <v>1752</v>
      </c>
      <c r="F178" s="32" t="s">
        <v>283</v>
      </c>
      <c r="G178" s="24" t="s">
        <v>1494</v>
      </c>
      <c r="H178" s="41" t="s">
        <v>858</v>
      </c>
      <c r="I178" s="24" t="s">
        <v>410</v>
      </c>
      <c r="J178" s="42" t="s">
        <v>411</v>
      </c>
      <c r="K178" s="14" t="b">
        <v>0</v>
      </c>
      <c r="L178" s="14" t="s">
        <v>2197</v>
      </c>
      <c r="M178" s="43" t="s">
        <v>413</v>
      </c>
      <c r="N178" s="14"/>
      <c r="O178" s="14"/>
      <c r="P178" s="14"/>
      <c r="Q178" s="14"/>
      <c r="R178" s="14"/>
      <c r="S178" s="14"/>
      <c r="T178" s="14"/>
      <c r="U178" s="14"/>
    </row>
    <row r="179" spans="1:21" ht="15.75" customHeight="1">
      <c r="A179" s="24" t="s">
        <v>284</v>
      </c>
      <c r="B179" s="25" t="str">
        <f t="shared" si="0"/>
        <v>s24_hico_md1_030nm_3_</v>
      </c>
      <c r="C179" s="24" t="s">
        <v>1931</v>
      </c>
      <c r="D179" s="24" t="str">
        <f t="shared" si="1"/>
        <v>bossdb://lee2022/s24_hico_md1_030nm_3_/s24_hico_md1_030nm_3_/</v>
      </c>
      <c r="E179" s="24" t="s">
        <v>1752</v>
      </c>
      <c r="F179" s="32" t="s">
        <v>285</v>
      </c>
      <c r="G179" s="24" t="s">
        <v>1494</v>
      </c>
      <c r="H179" s="41" t="s">
        <v>858</v>
      </c>
      <c r="I179" s="24" t="s">
        <v>410</v>
      </c>
      <c r="J179" s="42" t="s">
        <v>411</v>
      </c>
      <c r="K179" s="14" t="b">
        <v>0</v>
      </c>
      <c r="L179" s="14" t="s">
        <v>2197</v>
      </c>
      <c r="M179" s="43" t="s">
        <v>413</v>
      </c>
      <c r="N179" s="14"/>
      <c r="O179" s="14"/>
      <c r="P179" s="14"/>
      <c r="Q179" s="14"/>
      <c r="R179" s="14"/>
      <c r="S179" s="14"/>
      <c r="T179" s="14"/>
      <c r="U179" s="14"/>
    </row>
    <row r="180" spans="1:21" ht="15.75" customHeight="1">
      <c r="A180" s="24" t="s">
        <v>286</v>
      </c>
      <c r="B180" s="25" t="str">
        <f t="shared" si="0"/>
        <v>s24_hico_md1_030nm_4_</v>
      </c>
      <c r="C180" s="24" t="s">
        <v>1932</v>
      </c>
      <c r="D180" s="24" t="str">
        <f t="shared" si="1"/>
        <v>bossdb://lee2022/s24_hico_md1_030nm_4_/s24_hico_md1_030nm_4_/</v>
      </c>
      <c r="E180" s="24" t="s">
        <v>1752</v>
      </c>
      <c r="F180" s="32" t="s">
        <v>287</v>
      </c>
      <c r="G180" s="24" t="s">
        <v>1494</v>
      </c>
      <c r="H180" s="41" t="s">
        <v>858</v>
      </c>
      <c r="I180" s="24" t="s">
        <v>410</v>
      </c>
      <c r="J180" s="42" t="s">
        <v>411</v>
      </c>
      <c r="K180" s="14" t="b">
        <v>0</v>
      </c>
      <c r="L180" s="14" t="s">
        <v>2197</v>
      </c>
      <c r="M180" s="43" t="s">
        <v>413</v>
      </c>
      <c r="N180" s="14"/>
      <c r="O180" s="14"/>
      <c r="P180" s="14"/>
      <c r="Q180" s="14"/>
      <c r="R180" s="14"/>
      <c r="S180" s="14"/>
      <c r="T180" s="14"/>
      <c r="U180" s="14"/>
    </row>
    <row r="181" spans="1:21" ht="15.75" customHeight="1">
      <c r="A181" s="24" t="s">
        <v>288</v>
      </c>
      <c r="B181" s="25" t="str">
        <f t="shared" si="0"/>
        <v>s24_hico_md2_030nm_</v>
      </c>
      <c r="C181" s="24" t="s">
        <v>1933</v>
      </c>
      <c r="D181" s="24" t="str">
        <f t="shared" si="1"/>
        <v>bossdb://lee2022/s24_hico_md2_030nm_/s24_hico_md2_030nm_/</v>
      </c>
      <c r="E181" s="24" t="s">
        <v>1752</v>
      </c>
      <c r="F181" s="32" t="s">
        <v>289</v>
      </c>
      <c r="G181" s="24" t="s">
        <v>1494</v>
      </c>
      <c r="H181" s="41" t="s">
        <v>858</v>
      </c>
      <c r="I181" s="24" t="s">
        <v>410</v>
      </c>
      <c r="J181" s="42" t="s">
        <v>411</v>
      </c>
      <c r="K181" s="14" t="b">
        <v>0</v>
      </c>
      <c r="L181" s="14" t="s">
        <v>2197</v>
      </c>
      <c r="M181" s="43" t="s">
        <v>413</v>
      </c>
      <c r="N181" s="14"/>
      <c r="O181" s="14"/>
      <c r="P181" s="14"/>
      <c r="Q181" s="14"/>
      <c r="R181" s="14"/>
      <c r="S181" s="14"/>
      <c r="T181" s="14"/>
      <c r="U181" s="14"/>
    </row>
    <row r="182" spans="1:21" ht="15.75" customHeight="1">
      <c r="A182" s="24" t="s">
        <v>290</v>
      </c>
      <c r="B182" s="25" t="str">
        <f t="shared" si="0"/>
        <v>s24_hico_md2_030nm_1_</v>
      </c>
      <c r="C182" s="24" t="s">
        <v>1934</v>
      </c>
      <c r="D182" s="24" t="str">
        <f t="shared" si="1"/>
        <v>bossdb://lee2022/s24_hico_md2_030nm_1_/s24_hico_md2_030nm_1_/</v>
      </c>
      <c r="E182" s="24" t="s">
        <v>1752</v>
      </c>
      <c r="F182" s="32" t="s">
        <v>291</v>
      </c>
      <c r="G182" s="24" t="s">
        <v>1494</v>
      </c>
      <c r="H182" s="41" t="s">
        <v>858</v>
      </c>
      <c r="I182" s="24" t="s">
        <v>410</v>
      </c>
      <c r="J182" s="42" t="s">
        <v>411</v>
      </c>
      <c r="K182" s="14" t="b">
        <v>0</v>
      </c>
      <c r="L182" s="14" t="s">
        <v>2197</v>
      </c>
      <c r="M182" s="43" t="s">
        <v>413</v>
      </c>
      <c r="N182" s="14"/>
      <c r="O182" s="14"/>
      <c r="P182" s="14"/>
      <c r="Q182" s="14"/>
      <c r="R182" s="14"/>
      <c r="S182" s="14"/>
      <c r="T182" s="14"/>
      <c r="U182" s="14"/>
    </row>
    <row r="183" spans="1:21" ht="15.75" customHeight="1">
      <c r="A183" s="24" t="s">
        <v>292</v>
      </c>
      <c r="B183" s="25" t="str">
        <f t="shared" si="0"/>
        <v>s24_hico_md2_030nm_2_</v>
      </c>
      <c r="C183" s="24" t="s">
        <v>1935</v>
      </c>
      <c r="D183" s="24" t="str">
        <f t="shared" si="1"/>
        <v>bossdb://lee2022/s24_hico_md2_030nm_2_/s24_hico_md2_030nm_2_/</v>
      </c>
      <c r="E183" s="24" t="s">
        <v>1752</v>
      </c>
      <c r="F183" s="32" t="s">
        <v>293</v>
      </c>
      <c r="G183" s="24" t="s">
        <v>1494</v>
      </c>
      <c r="H183" s="41" t="s">
        <v>858</v>
      </c>
      <c r="I183" s="24" t="s">
        <v>410</v>
      </c>
      <c r="J183" s="42" t="s">
        <v>411</v>
      </c>
      <c r="K183" s="14" t="b">
        <v>0</v>
      </c>
      <c r="L183" s="14" t="s">
        <v>2197</v>
      </c>
      <c r="M183" s="43" t="s">
        <v>413</v>
      </c>
      <c r="N183" s="14"/>
      <c r="O183" s="14"/>
      <c r="P183" s="14"/>
      <c r="Q183" s="14"/>
      <c r="R183" s="14"/>
      <c r="S183" s="14"/>
      <c r="T183" s="14"/>
      <c r="U183" s="14"/>
    </row>
    <row r="184" spans="1:21" ht="15.75" customHeight="1">
      <c r="A184" s="24" t="s">
        <v>294</v>
      </c>
      <c r="B184" s="25" t="str">
        <f t="shared" si="0"/>
        <v>s24_hico_md2_030nm_3_</v>
      </c>
      <c r="C184" s="24" t="s">
        <v>1936</v>
      </c>
      <c r="D184" s="24" t="str">
        <f t="shared" si="1"/>
        <v>bossdb://lee2022/s24_hico_md2_030nm_3_/s24_hico_md2_030nm_3_/</v>
      </c>
      <c r="E184" s="24" t="s">
        <v>1752</v>
      </c>
      <c r="F184" s="32" t="s">
        <v>295</v>
      </c>
      <c r="G184" s="24" t="s">
        <v>1494</v>
      </c>
      <c r="H184" s="41" t="s">
        <v>858</v>
      </c>
      <c r="I184" s="24" t="s">
        <v>410</v>
      </c>
      <c r="J184" s="42" t="s">
        <v>411</v>
      </c>
      <c r="K184" s="14" t="b">
        <v>0</v>
      </c>
      <c r="L184" s="14" t="s">
        <v>2197</v>
      </c>
      <c r="M184" s="43" t="s">
        <v>413</v>
      </c>
      <c r="N184" s="14"/>
      <c r="O184" s="14"/>
      <c r="P184" s="14"/>
      <c r="Q184" s="14"/>
      <c r="R184" s="14"/>
      <c r="S184" s="14"/>
      <c r="T184" s="14"/>
      <c r="U184" s="14"/>
    </row>
    <row r="185" spans="1:21" ht="15.75" customHeight="1">
      <c r="A185" s="24" t="s">
        <v>296</v>
      </c>
      <c r="B185" s="25" t="str">
        <f t="shared" si="0"/>
        <v>s24_hico_md2_030nm_4_</v>
      </c>
      <c r="C185" s="24" t="s">
        <v>1937</v>
      </c>
      <c r="D185" s="24" t="str">
        <f t="shared" si="1"/>
        <v>bossdb://lee2022/s24_hico_md2_030nm_4_/s24_hico_md2_030nm_4_/</v>
      </c>
      <c r="E185" s="24" t="s">
        <v>1752</v>
      </c>
      <c r="F185" s="32" t="s">
        <v>297</v>
      </c>
      <c r="G185" s="24" t="s">
        <v>1494</v>
      </c>
      <c r="H185" s="41" t="s">
        <v>858</v>
      </c>
      <c r="I185" s="24" t="s">
        <v>410</v>
      </c>
      <c r="J185" s="42" t="s">
        <v>411</v>
      </c>
      <c r="K185" s="14" t="b">
        <v>0</v>
      </c>
      <c r="L185" s="14" t="s">
        <v>2197</v>
      </c>
      <c r="M185" s="43" t="s">
        <v>413</v>
      </c>
      <c r="N185" s="14"/>
      <c r="O185" s="14"/>
      <c r="P185" s="14"/>
      <c r="Q185" s="14"/>
      <c r="R185" s="14"/>
      <c r="S185" s="14"/>
      <c r="T185" s="14"/>
      <c r="U185" s="14"/>
    </row>
    <row r="186" spans="1:21" ht="15.75" customHeight="1">
      <c r="A186" s="24" t="s">
        <v>298</v>
      </c>
      <c r="B186" s="25" t="str">
        <f t="shared" si="0"/>
        <v>s24_hico_md3_030nmm_1_</v>
      </c>
      <c r="C186" s="24" t="s">
        <v>1938</v>
      </c>
      <c r="D186" s="24" t="str">
        <f t="shared" si="1"/>
        <v>bossdb://lee2022/s24_hico_md3_030nmm_1_/s24_hico_md3_030nmm_1_/</v>
      </c>
      <c r="E186" s="24" t="s">
        <v>1752</v>
      </c>
      <c r="F186" s="32" t="s">
        <v>299</v>
      </c>
      <c r="G186" s="24" t="s">
        <v>1494</v>
      </c>
      <c r="H186" s="41" t="s">
        <v>858</v>
      </c>
      <c r="I186" s="24" t="s">
        <v>410</v>
      </c>
      <c r="J186" s="42" t="s">
        <v>411</v>
      </c>
      <c r="K186" s="14" t="b">
        <v>0</v>
      </c>
      <c r="L186" s="14" t="s">
        <v>2197</v>
      </c>
      <c r="M186" s="43" t="s">
        <v>413</v>
      </c>
      <c r="N186" s="14"/>
      <c r="O186" s="14"/>
      <c r="P186" s="14"/>
      <c r="Q186" s="14"/>
      <c r="R186" s="14"/>
      <c r="S186" s="14"/>
      <c r="T186" s="14"/>
      <c r="U186" s="14"/>
    </row>
    <row r="187" spans="1:21" ht="15.75" customHeight="1">
      <c r="A187" s="24" t="s">
        <v>300</v>
      </c>
      <c r="B187" s="25" t="str">
        <f t="shared" si="0"/>
        <v>s24_hico_md3_030nmm_2_</v>
      </c>
      <c r="C187" s="24" t="s">
        <v>1939</v>
      </c>
      <c r="D187" s="24" t="str">
        <f t="shared" si="1"/>
        <v>bossdb://lee2022/s24_hico_md3_030nmm_2_/s24_hico_md3_030nmm_2_/</v>
      </c>
      <c r="E187" s="24" t="s">
        <v>1752</v>
      </c>
      <c r="F187" s="32" t="s">
        <v>301</v>
      </c>
      <c r="G187" s="24" t="s">
        <v>1494</v>
      </c>
      <c r="H187" s="41" t="s">
        <v>858</v>
      </c>
      <c r="I187" s="24" t="s">
        <v>410</v>
      </c>
      <c r="J187" s="42" t="s">
        <v>411</v>
      </c>
      <c r="K187" s="14" t="b">
        <v>0</v>
      </c>
      <c r="L187" s="14" t="s">
        <v>2197</v>
      </c>
      <c r="M187" s="43" t="s">
        <v>413</v>
      </c>
      <c r="N187" s="14"/>
      <c r="O187" s="14"/>
      <c r="P187" s="14"/>
      <c r="Q187" s="14"/>
      <c r="R187" s="14"/>
      <c r="S187" s="14"/>
      <c r="T187" s="14"/>
      <c r="U187" s="14"/>
    </row>
    <row r="188" spans="1:21" ht="15.75" customHeight="1">
      <c r="A188" s="24" t="s">
        <v>302</v>
      </c>
      <c r="B188" s="25" t="str">
        <f t="shared" si="0"/>
        <v>s24_hico_md3_030nmm_3_</v>
      </c>
      <c r="C188" s="24" t="s">
        <v>1940</v>
      </c>
      <c r="D188" s="24" t="str">
        <f t="shared" si="1"/>
        <v>bossdb://lee2022/s24_hico_md3_030nmm_3_/s24_hico_md3_030nmm_3_/</v>
      </c>
      <c r="E188" s="24" t="s">
        <v>1752</v>
      </c>
      <c r="F188" s="32" t="s">
        <v>303</v>
      </c>
      <c r="G188" s="24" t="s">
        <v>1494</v>
      </c>
      <c r="H188" s="41" t="s">
        <v>858</v>
      </c>
      <c r="I188" s="24" t="s">
        <v>410</v>
      </c>
      <c r="J188" s="42" t="s">
        <v>411</v>
      </c>
      <c r="K188" s="14" t="b">
        <v>0</v>
      </c>
      <c r="L188" s="14" t="s">
        <v>2197</v>
      </c>
      <c r="M188" s="43" t="s">
        <v>413</v>
      </c>
      <c r="N188" s="14"/>
      <c r="O188" s="14"/>
      <c r="P188" s="14"/>
      <c r="Q188" s="14"/>
      <c r="R188" s="14"/>
      <c r="S188" s="14"/>
      <c r="T188" s="14"/>
      <c r="U188" s="14"/>
    </row>
    <row r="189" spans="1:21" ht="15.75" customHeight="1">
      <c r="A189" s="24" t="s">
        <v>304</v>
      </c>
      <c r="B189" s="25" t="str">
        <f t="shared" si="0"/>
        <v>s24_hico_md3_030nmm_4_</v>
      </c>
      <c r="C189" s="24" t="s">
        <v>1941</v>
      </c>
      <c r="D189" s="24" t="str">
        <f t="shared" si="1"/>
        <v>bossdb://lee2022/s24_hico_md3_030nmm_4_/s24_hico_md3_030nmm_4_/</v>
      </c>
      <c r="E189" s="24" t="s">
        <v>1752</v>
      </c>
      <c r="F189" s="32" t="s">
        <v>305</v>
      </c>
      <c r="G189" s="24" t="s">
        <v>1494</v>
      </c>
      <c r="H189" s="41" t="s">
        <v>858</v>
      </c>
      <c r="I189" s="24" t="s">
        <v>410</v>
      </c>
      <c r="J189" s="42" t="s">
        <v>411</v>
      </c>
      <c r="K189" s="14" t="b">
        <v>0</v>
      </c>
      <c r="L189" s="14" t="s">
        <v>2197</v>
      </c>
      <c r="M189" s="43" t="s">
        <v>413</v>
      </c>
      <c r="N189" s="14"/>
      <c r="O189" s="14"/>
      <c r="P189" s="14"/>
      <c r="Q189" s="14"/>
      <c r="R189" s="14"/>
      <c r="S189" s="14"/>
      <c r="T189" s="14"/>
      <c r="U189" s="14"/>
    </row>
    <row r="190" spans="1:21" ht="15.75" customHeight="1">
      <c r="A190" s="24" t="s">
        <v>306</v>
      </c>
      <c r="B190" s="25" t="str">
        <f t="shared" si="0"/>
        <v>s24_hippo_050nm_</v>
      </c>
      <c r="C190" s="24" t="s">
        <v>1942</v>
      </c>
      <c r="D190" s="24" t="str">
        <f t="shared" si="1"/>
        <v>bossdb://lee2022/s24_hippo_050nm_/s24_hippo_050nm_/</v>
      </c>
      <c r="E190" s="24" t="s">
        <v>1752</v>
      </c>
      <c r="F190" s="32" t="s">
        <v>307</v>
      </c>
      <c r="G190" s="24" t="s">
        <v>1494</v>
      </c>
      <c r="H190" s="41" t="s">
        <v>858</v>
      </c>
      <c r="I190" s="24" t="s">
        <v>410</v>
      </c>
      <c r="J190" s="42" t="s">
        <v>411</v>
      </c>
      <c r="K190" s="14" t="b">
        <v>0</v>
      </c>
      <c r="L190" s="14" t="s">
        <v>2197</v>
      </c>
      <c r="M190" s="43" t="s">
        <v>413</v>
      </c>
      <c r="N190" s="14"/>
      <c r="O190" s="14"/>
      <c r="P190" s="14"/>
      <c r="Q190" s="14"/>
      <c r="R190" s="14"/>
      <c r="S190" s="14"/>
      <c r="T190" s="14"/>
      <c r="U190" s="14"/>
    </row>
    <row r="191" spans="1:21" ht="15.75" customHeight="1">
      <c r="A191" s="24" t="s">
        <v>308</v>
      </c>
      <c r="B191" s="25" t="str">
        <f t="shared" si="0"/>
        <v>s24_hippo_050nm_1_</v>
      </c>
      <c r="C191" s="24" t="s">
        <v>1943</v>
      </c>
      <c r="D191" s="24" t="str">
        <f t="shared" si="1"/>
        <v>bossdb://lee2022/s24_hippo_050nm_1_/s24_hippo_050nm_1_/</v>
      </c>
      <c r="E191" s="24" t="s">
        <v>1752</v>
      </c>
      <c r="F191" s="32" t="s">
        <v>309</v>
      </c>
      <c r="G191" s="24" t="s">
        <v>1494</v>
      </c>
      <c r="H191" s="41" t="s">
        <v>858</v>
      </c>
      <c r="I191" s="24" t="s">
        <v>410</v>
      </c>
      <c r="J191" s="42" t="s">
        <v>411</v>
      </c>
      <c r="K191" s="14" t="b">
        <v>0</v>
      </c>
      <c r="L191" s="14" t="s">
        <v>2197</v>
      </c>
      <c r="M191" s="43" t="s">
        <v>413</v>
      </c>
      <c r="N191" s="14"/>
      <c r="O191" s="14"/>
      <c r="P191" s="14"/>
      <c r="Q191" s="14"/>
      <c r="R191" s="14"/>
      <c r="S191" s="14"/>
      <c r="T191" s="14"/>
      <c r="U191" s="14"/>
    </row>
    <row r="192" spans="1:21" ht="15.75" customHeight="1">
      <c r="A192" s="24" t="s">
        <v>310</v>
      </c>
      <c r="B192" s="25" t="str">
        <f t="shared" si="0"/>
        <v>s24_hippo_050nm_2_</v>
      </c>
      <c r="C192" s="24" t="s">
        <v>1944</v>
      </c>
      <c r="D192" s="24" t="str">
        <f t="shared" si="1"/>
        <v>bossdb://lee2022/s24_hippo_050nm_2_/s24_hippo_050nm_2_/</v>
      </c>
      <c r="E192" s="24" t="s">
        <v>1752</v>
      </c>
      <c r="F192" s="32" t="s">
        <v>311</v>
      </c>
      <c r="G192" s="24" t="s">
        <v>1494</v>
      </c>
      <c r="H192" s="41" t="s">
        <v>858</v>
      </c>
      <c r="I192" s="24" t="s">
        <v>410</v>
      </c>
      <c r="J192" s="42" t="s">
        <v>411</v>
      </c>
      <c r="K192" s="14" t="b">
        <v>0</v>
      </c>
      <c r="L192" s="14" t="s">
        <v>2197</v>
      </c>
      <c r="M192" s="43" t="s">
        <v>413</v>
      </c>
      <c r="N192" s="14"/>
      <c r="O192" s="14"/>
      <c r="P192" s="14"/>
      <c r="Q192" s="14"/>
      <c r="R192" s="14"/>
      <c r="S192" s="14"/>
      <c r="T192" s="14"/>
      <c r="U192" s="14"/>
    </row>
    <row r="193" spans="1:21" ht="15.75" customHeight="1">
      <c r="A193" s="24" t="s">
        <v>312</v>
      </c>
      <c r="B193" s="25" t="str">
        <f t="shared" si="0"/>
        <v>s24_hippo_050nm_3_</v>
      </c>
      <c r="C193" s="24" t="s">
        <v>1945</v>
      </c>
      <c r="D193" s="24" t="str">
        <f t="shared" si="1"/>
        <v>bossdb://lee2022/s24_hippo_050nm_3_/s24_hippo_050nm_3_/</v>
      </c>
      <c r="E193" s="24" t="s">
        <v>1752</v>
      </c>
      <c r="F193" s="32" t="s">
        <v>313</v>
      </c>
      <c r="G193" s="24" t="s">
        <v>1494</v>
      </c>
      <c r="H193" s="41" t="s">
        <v>858</v>
      </c>
      <c r="I193" s="24" t="s">
        <v>410</v>
      </c>
      <c r="J193" s="42" t="s">
        <v>411</v>
      </c>
      <c r="K193" s="14" t="b">
        <v>0</v>
      </c>
      <c r="L193" s="14" t="s">
        <v>2197</v>
      </c>
      <c r="M193" s="43" t="s">
        <v>413</v>
      </c>
      <c r="N193" s="14"/>
      <c r="O193" s="14"/>
      <c r="P193" s="14"/>
      <c r="Q193" s="14"/>
      <c r="R193" s="14"/>
      <c r="S193" s="14"/>
      <c r="T193" s="14"/>
      <c r="U193" s="14"/>
    </row>
    <row r="194" spans="1:21" ht="15.75" customHeight="1">
      <c r="A194" s="24" t="s">
        <v>314</v>
      </c>
      <c r="B194" s="25" t="str">
        <f t="shared" si="0"/>
        <v>s24_hippo_050nm_4_</v>
      </c>
      <c r="C194" s="24" t="s">
        <v>1946</v>
      </c>
      <c r="D194" s="24" t="str">
        <f t="shared" si="1"/>
        <v>bossdb://lee2022/s24_hippo_050nm_4_/s24_hippo_050nm_4_/</v>
      </c>
      <c r="E194" s="24" t="s">
        <v>1752</v>
      </c>
      <c r="F194" s="32" t="s">
        <v>315</v>
      </c>
      <c r="G194" s="24" t="s">
        <v>1494</v>
      </c>
      <c r="H194" s="41" t="s">
        <v>858</v>
      </c>
      <c r="I194" s="24" t="s">
        <v>410</v>
      </c>
      <c r="J194" s="42" t="s">
        <v>411</v>
      </c>
      <c r="K194" s="14" t="b">
        <v>0</v>
      </c>
      <c r="L194" s="14" t="s">
        <v>2197</v>
      </c>
      <c r="M194" s="43" t="s">
        <v>413</v>
      </c>
      <c r="N194" s="14"/>
      <c r="O194" s="14"/>
      <c r="P194" s="14"/>
      <c r="Q194" s="14"/>
      <c r="R194" s="14"/>
      <c r="S194" s="14"/>
      <c r="T194" s="14"/>
      <c r="U194" s="14"/>
    </row>
    <row r="195" spans="1:21" ht="15.75" customHeight="1">
      <c r="A195" s="24" t="s">
        <v>316</v>
      </c>
      <c r="B195" s="25" t="str">
        <f t="shared" si="0"/>
        <v>s24_hippo_halfDose_050nm_1_</v>
      </c>
      <c r="C195" s="24" t="s">
        <v>1947</v>
      </c>
      <c r="D195" s="24" t="str">
        <f t="shared" si="1"/>
        <v>bossdb://lee2022/s24_hippo_halfDose_050nm_1_/s24_hippo_halfDose_050nm_1_/</v>
      </c>
      <c r="E195" s="24" t="s">
        <v>1752</v>
      </c>
      <c r="F195" s="32" t="s">
        <v>317</v>
      </c>
      <c r="G195" s="24" t="s">
        <v>1494</v>
      </c>
      <c r="H195" s="41" t="s">
        <v>858</v>
      </c>
      <c r="I195" s="24" t="s">
        <v>410</v>
      </c>
      <c r="J195" s="42" t="s">
        <v>411</v>
      </c>
      <c r="K195" s="14" t="b">
        <v>0</v>
      </c>
      <c r="L195" s="14" t="s">
        <v>2197</v>
      </c>
      <c r="M195" s="43" t="s">
        <v>413</v>
      </c>
      <c r="N195" s="14"/>
      <c r="O195" s="14"/>
      <c r="P195" s="14"/>
      <c r="Q195" s="14"/>
      <c r="R195" s="14"/>
      <c r="S195" s="14"/>
      <c r="T195" s="14"/>
      <c r="U195" s="14"/>
    </row>
    <row r="196" spans="1:21" ht="15.75" customHeight="1">
      <c r="A196" s="24" t="s">
        <v>318</v>
      </c>
      <c r="B196" s="25" t="str">
        <f t="shared" si="0"/>
        <v>s24_hippo_halfDosec_050nm_1_</v>
      </c>
      <c r="C196" s="24" t="s">
        <v>1948</v>
      </c>
      <c r="D196" s="24" t="str">
        <f t="shared" si="1"/>
        <v>bossdb://lee2022/s24_hippo_halfDosec_050nm_1_/s24_hippo_halfDosec_050nm_1_/</v>
      </c>
      <c r="E196" s="24" t="s">
        <v>1752</v>
      </c>
      <c r="F196" s="32" t="s">
        <v>319</v>
      </c>
      <c r="G196" s="24" t="s">
        <v>1494</v>
      </c>
      <c r="H196" s="41" t="s">
        <v>858</v>
      </c>
      <c r="I196" s="24" t="s">
        <v>410</v>
      </c>
      <c r="J196" s="42" t="s">
        <v>411</v>
      </c>
      <c r="K196" s="14" t="b">
        <v>0</v>
      </c>
      <c r="L196" s="14" t="s">
        <v>2197</v>
      </c>
      <c r="M196" s="43" t="s">
        <v>413</v>
      </c>
      <c r="N196" s="14"/>
      <c r="O196" s="14"/>
      <c r="P196" s="14"/>
      <c r="Q196" s="14"/>
      <c r="R196" s="14"/>
      <c r="S196" s="14"/>
      <c r="T196" s="14"/>
      <c r="U196" s="14"/>
    </row>
    <row r="197" spans="1:21" ht="15.75" customHeight="1">
      <c r="A197" s="24" t="s">
        <v>320</v>
      </c>
      <c r="B197" s="25" t="str">
        <f t="shared" si="0"/>
        <v>s24_hippo_halfDosed_050nm_</v>
      </c>
      <c r="C197" s="24" t="s">
        <v>1949</v>
      </c>
      <c r="D197" s="24" t="str">
        <f t="shared" si="1"/>
        <v>bossdb://lee2022/s24_hippo_halfDosed_050nm_/s24_hippo_halfDosed_050nm_/</v>
      </c>
      <c r="E197" s="24" t="s">
        <v>1752</v>
      </c>
      <c r="F197" s="32" t="s">
        <v>321</v>
      </c>
      <c r="G197" s="24" t="s">
        <v>1494</v>
      </c>
      <c r="H197" s="41" t="s">
        <v>858</v>
      </c>
      <c r="I197" s="24" t="s">
        <v>410</v>
      </c>
      <c r="J197" s="42" t="s">
        <v>411</v>
      </c>
      <c r="K197" s="14" t="b">
        <v>0</v>
      </c>
      <c r="L197" s="14" t="s">
        <v>2197</v>
      </c>
      <c r="M197" s="43" t="s">
        <v>413</v>
      </c>
      <c r="N197" s="14"/>
      <c r="O197" s="14"/>
      <c r="P197" s="14"/>
      <c r="Q197" s="14"/>
      <c r="R197" s="14"/>
      <c r="S197" s="14"/>
      <c r="T197" s="14"/>
      <c r="U197" s="14"/>
    </row>
    <row r="198" spans="1:21" ht="15.75" customHeight="1">
      <c r="A198" s="24" t="s">
        <v>322</v>
      </c>
      <c r="B198" s="25" t="str">
        <f t="shared" si="0"/>
        <v>s24_hippo_halfDosed_050nm_1_</v>
      </c>
      <c r="C198" s="24" t="s">
        <v>1950</v>
      </c>
      <c r="D198" s="24" t="str">
        <f t="shared" si="1"/>
        <v>bossdb://lee2022/s24_hippo_halfDosed_050nm_1_/s24_hippo_halfDosed_050nm_1_/</v>
      </c>
      <c r="E198" s="24" t="s">
        <v>1752</v>
      </c>
      <c r="F198" s="32" t="s">
        <v>323</v>
      </c>
      <c r="G198" s="24" t="s">
        <v>1494</v>
      </c>
      <c r="H198" s="41" t="s">
        <v>858</v>
      </c>
      <c r="I198" s="24" t="s">
        <v>410</v>
      </c>
      <c r="J198" s="42" t="s">
        <v>411</v>
      </c>
      <c r="K198" s="14" t="b">
        <v>0</v>
      </c>
      <c r="L198" s="14" t="s">
        <v>2197</v>
      </c>
      <c r="M198" s="43" t="s">
        <v>413</v>
      </c>
      <c r="N198" s="14"/>
      <c r="O198" s="14"/>
      <c r="P198" s="14"/>
      <c r="Q198" s="14"/>
      <c r="R198" s="14"/>
      <c r="S198" s="14"/>
      <c r="T198" s="14"/>
      <c r="U198" s="14"/>
    </row>
    <row r="199" spans="1:21" ht="15.75" customHeight="1">
      <c r="A199" s="24" t="s">
        <v>324</v>
      </c>
      <c r="B199" s="25" t="str">
        <f t="shared" si="0"/>
        <v>s24_hippo_halfDosed_050nm_2_</v>
      </c>
      <c r="C199" s="24" t="s">
        <v>1951</v>
      </c>
      <c r="D199" s="24" t="str">
        <f t="shared" si="1"/>
        <v>bossdb://lee2022/s24_hippo_halfDosed_050nm_2_/s24_hippo_halfDosed_050nm_2_/</v>
      </c>
      <c r="E199" s="24" t="s">
        <v>1752</v>
      </c>
      <c r="F199" s="32" t="s">
        <v>325</v>
      </c>
      <c r="G199" s="24" t="s">
        <v>1494</v>
      </c>
      <c r="H199" s="41" t="s">
        <v>858</v>
      </c>
      <c r="I199" s="24" t="s">
        <v>410</v>
      </c>
      <c r="J199" s="42" t="s">
        <v>411</v>
      </c>
      <c r="K199" s="14" t="b">
        <v>0</v>
      </c>
      <c r="L199" s="14" t="s">
        <v>2197</v>
      </c>
      <c r="M199" s="43" t="s">
        <v>413</v>
      </c>
      <c r="N199" s="14"/>
      <c r="O199" s="14"/>
      <c r="P199" s="14"/>
      <c r="Q199" s="14"/>
      <c r="R199" s="14"/>
      <c r="S199" s="14"/>
      <c r="T199" s="14"/>
      <c r="U199" s="14"/>
    </row>
    <row r="200" spans="1:21" ht="15.75" customHeight="1">
      <c r="A200" s="24" t="s">
        <v>326</v>
      </c>
      <c r="B200" s="25" t="str">
        <f t="shared" si="0"/>
        <v>s24_hippo_halfDosed_050nm_3_</v>
      </c>
      <c r="C200" s="24" t="s">
        <v>1952</v>
      </c>
      <c r="D200" s="24" t="str">
        <f t="shared" si="1"/>
        <v>bossdb://lee2022/s24_hippo_halfDosed_050nm_3_/s24_hippo_halfDosed_050nm_3_/</v>
      </c>
      <c r="E200" s="24" t="s">
        <v>1752</v>
      </c>
      <c r="F200" s="32" t="s">
        <v>327</v>
      </c>
      <c r="G200" s="24" t="s">
        <v>1494</v>
      </c>
      <c r="H200" s="41" t="s">
        <v>858</v>
      </c>
      <c r="I200" s="24" t="s">
        <v>410</v>
      </c>
      <c r="J200" s="42" t="s">
        <v>411</v>
      </c>
      <c r="K200" s="14" t="b">
        <v>0</v>
      </c>
      <c r="L200" s="14" t="s">
        <v>2197</v>
      </c>
      <c r="M200" s="43" t="s">
        <v>413</v>
      </c>
      <c r="N200" s="14"/>
      <c r="O200" s="14"/>
      <c r="P200" s="14"/>
      <c r="Q200" s="14"/>
      <c r="R200" s="14"/>
      <c r="S200" s="14"/>
      <c r="T200" s="14"/>
      <c r="U200" s="14"/>
    </row>
    <row r="201" spans="1:21" ht="15.75" customHeight="1">
      <c r="A201" s="24" t="s">
        <v>328</v>
      </c>
      <c r="B201" s="25" t="str">
        <f t="shared" si="0"/>
        <v>s24_hippo_halfDosed_050nm_4_</v>
      </c>
      <c r="C201" s="24" t="s">
        <v>1953</v>
      </c>
      <c r="D201" s="24" t="str">
        <f t="shared" si="1"/>
        <v>bossdb://lee2022/s24_hippo_halfDosed_050nm_4_/s24_hippo_halfDosed_050nm_4_/</v>
      </c>
      <c r="E201" s="24" t="s">
        <v>1752</v>
      </c>
      <c r="F201" s="32" t="s">
        <v>329</v>
      </c>
      <c r="G201" s="24" t="s">
        <v>1494</v>
      </c>
      <c r="H201" s="41" t="s">
        <v>858</v>
      </c>
      <c r="I201" s="24" t="s">
        <v>410</v>
      </c>
      <c r="J201" s="42" t="s">
        <v>411</v>
      </c>
      <c r="K201" s="14" t="b">
        <v>0</v>
      </c>
      <c r="L201" s="14" t="s">
        <v>2197</v>
      </c>
      <c r="M201" s="43" t="s">
        <v>413</v>
      </c>
      <c r="N201" s="14"/>
      <c r="O201" s="14"/>
      <c r="P201" s="14"/>
      <c r="Q201" s="14"/>
      <c r="R201" s="14"/>
      <c r="S201" s="14"/>
      <c r="T201" s="14"/>
      <c r="U201" s="14"/>
    </row>
    <row r="202" spans="1:21" ht="15.75" customHeight="1">
      <c r="A202" s="24" t="s">
        <v>330</v>
      </c>
      <c r="B202" s="25" t="str">
        <f t="shared" si="0"/>
        <v>s24_top_hd_030nm_</v>
      </c>
      <c r="C202" s="24" t="s">
        <v>1954</v>
      </c>
      <c r="D202" s="24" t="str">
        <f t="shared" si="1"/>
        <v>bossdb://lee2022/s24_top_hd_030nm_/s24_top_hd_030nm_/</v>
      </c>
      <c r="E202" s="24" t="s">
        <v>1752</v>
      </c>
      <c r="F202" s="32" t="s">
        <v>331</v>
      </c>
      <c r="G202" s="24" t="s">
        <v>1494</v>
      </c>
      <c r="H202" s="41" t="s">
        <v>858</v>
      </c>
      <c r="I202" s="24" t="s">
        <v>410</v>
      </c>
      <c r="J202" s="42" t="s">
        <v>411</v>
      </c>
      <c r="K202" s="14" t="b">
        <v>0</v>
      </c>
      <c r="L202" s="14" t="s">
        <v>2197</v>
      </c>
      <c r="M202" s="43" t="s">
        <v>413</v>
      </c>
      <c r="N202" s="14"/>
      <c r="O202" s="14"/>
      <c r="P202" s="14"/>
      <c r="Q202" s="14"/>
      <c r="R202" s="14"/>
      <c r="S202" s="14"/>
      <c r="T202" s="14"/>
      <c r="U202" s="14"/>
    </row>
    <row r="203" spans="1:21" ht="15.75" customHeight="1">
      <c r="A203" s="24" t="s">
        <v>332</v>
      </c>
      <c r="B203" s="25" t="str">
        <f t="shared" si="0"/>
        <v>s24_top_hd_030nm_1_</v>
      </c>
      <c r="C203" s="24" t="s">
        <v>1955</v>
      </c>
      <c r="D203" s="24" t="str">
        <f t="shared" si="1"/>
        <v>bossdb://lee2022/s24_top_hd_030nm_1_/s24_top_hd_030nm_1_/</v>
      </c>
      <c r="E203" s="24" t="s">
        <v>1752</v>
      </c>
      <c r="F203" s="32" t="s">
        <v>333</v>
      </c>
      <c r="G203" s="24" t="s">
        <v>1494</v>
      </c>
      <c r="H203" s="41" t="s">
        <v>858</v>
      </c>
      <c r="I203" s="24" t="s">
        <v>410</v>
      </c>
      <c r="J203" s="42" t="s">
        <v>411</v>
      </c>
      <c r="K203" s="14" t="b">
        <v>0</v>
      </c>
      <c r="L203" s="14" t="s">
        <v>2197</v>
      </c>
      <c r="M203" s="43" t="s">
        <v>413</v>
      </c>
      <c r="N203" s="14"/>
      <c r="O203" s="14"/>
      <c r="P203" s="14"/>
      <c r="Q203" s="14"/>
      <c r="R203" s="14"/>
      <c r="S203" s="14"/>
      <c r="T203" s="14"/>
      <c r="U203" s="14"/>
    </row>
    <row r="204" spans="1:21" ht="15.75" customHeight="1">
      <c r="A204" s="24" t="s">
        <v>334</v>
      </c>
      <c r="B204" s="25" t="str">
        <f t="shared" si="0"/>
        <v>s24_top_hd_030nm_2_</v>
      </c>
      <c r="C204" s="24" t="s">
        <v>1956</v>
      </c>
      <c r="D204" s="24" t="str">
        <f t="shared" si="1"/>
        <v>bossdb://lee2022/s24_top_hd_030nm_2_/s24_top_hd_030nm_2_/</v>
      </c>
      <c r="E204" s="24" t="s">
        <v>1752</v>
      </c>
      <c r="F204" s="32" t="s">
        <v>335</v>
      </c>
      <c r="G204" s="24" t="s">
        <v>1494</v>
      </c>
      <c r="H204" s="41" t="s">
        <v>858</v>
      </c>
      <c r="I204" s="24" t="s">
        <v>410</v>
      </c>
      <c r="J204" s="42" t="s">
        <v>411</v>
      </c>
      <c r="K204" s="14" t="b">
        <v>0</v>
      </c>
      <c r="L204" s="14" t="s">
        <v>2197</v>
      </c>
      <c r="M204" s="43" t="s">
        <v>413</v>
      </c>
      <c r="N204" s="14"/>
      <c r="O204" s="14"/>
      <c r="P204" s="14"/>
      <c r="Q204" s="14"/>
      <c r="R204" s="14"/>
      <c r="S204" s="14"/>
      <c r="T204" s="14"/>
      <c r="U204" s="14"/>
    </row>
    <row r="205" spans="1:21" ht="15.75" customHeight="1">
      <c r="A205" s="24" t="s">
        <v>336</v>
      </c>
      <c r="B205" s="25" t="str">
        <f t="shared" si="0"/>
        <v>s24_top_hd_030nm_3_</v>
      </c>
      <c r="C205" s="24" t="s">
        <v>1957</v>
      </c>
      <c r="D205" s="24" t="str">
        <f t="shared" si="1"/>
        <v>bossdb://lee2022/s24_top_hd_030nm_3_/s24_top_hd_030nm_3_/</v>
      </c>
      <c r="E205" s="24" t="s">
        <v>1752</v>
      </c>
      <c r="F205" s="32" t="s">
        <v>337</v>
      </c>
      <c r="G205" s="24" t="s">
        <v>1494</v>
      </c>
      <c r="H205" s="41" t="s">
        <v>858</v>
      </c>
      <c r="I205" s="24" t="s">
        <v>410</v>
      </c>
      <c r="J205" s="42" t="s">
        <v>411</v>
      </c>
      <c r="K205" s="14" t="b">
        <v>0</v>
      </c>
      <c r="L205" s="14" t="s">
        <v>2197</v>
      </c>
      <c r="M205" s="43" t="s">
        <v>413</v>
      </c>
      <c r="N205" s="14"/>
      <c r="O205" s="14"/>
      <c r="P205" s="14"/>
      <c r="Q205" s="14"/>
      <c r="R205" s="14"/>
      <c r="S205" s="14"/>
      <c r="T205" s="14"/>
      <c r="U205" s="14"/>
    </row>
    <row r="206" spans="1:21" ht="15.75" customHeight="1">
      <c r="A206" s="24" t="s">
        <v>338</v>
      </c>
      <c r="B206" s="25" t="str">
        <f t="shared" si="0"/>
        <v>s24_top_hd_030nm_4_</v>
      </c>
      <c r="C206" s="24" t="s">
        <v>1958</v>
      </c>
      <c r="D206" s="24" t="str">
        <f t="shared" si="1"/>
        <v>bossdb://lee2022/s24_top_hd_030nm_4_/s24_top_hd_030nm_4_/</v>
      </c>
      <c r="E206" s="24" t="s">
        <v>1752</v>
      </c>
      <c r="F206" s="32" t="s">
        <v>339</v>
      </c>
      <c r="G206" s="24" t="s">
        <v>1494</v>
      </c>
      <c r="H206" s="41" t="s">
        <v>858</v>
      </c>
      <c r="I206" s="24" t="s">
        <v>410</v>
      </c>
      <c r="J206" s="42" t="s">
        <v>411</v>
      </c>
      <c r="K206" s="14" t="b">
        <v>0</v>
      </c>
      <c r="L206" s="14" t="s">
        <v>2197</v>
      </c>
      <c r="M206" s="43" t="s">
        <v>413</v>
      </c>
      <c r="N206" s="14"/>
      <c r="O206" s="14"/>
      <c r="P206" s="14"/>
      <c r="Q206" s="14"/>
      <c r="R206" s="14"/>
      <c r="S206" s="14"/>
      <c r="T206" s="14"/>
      <c r="U206" s="14"/>
    </row>
    <row r="207" spans="1:21" ht="15.75" customHeight="1">
      <c r="A207" s="24" t="s">
        <v>340</v>
      </c>
      <c r="B207" s="25" t="str">
        <f t="shared" si="0"/>
        <v>s24_top_md1_030nm_</v>
      </c>
      <c r="C207" s="24" t="s">
        <v>1959</v>
      </c>
      <c r="D207" s="24" t="str">
        <f t="shared" si="1"/>
        <v>bossdb://lee2022/s24_top_md1_030nm_/s24_top_md1_030nm_/</v>
      </c>
      <c r="E207" s="24" t="s">
        <v>1752</v>
      </c>
      <c r="F207" s="32" t="s">
        <v>341</v>
      </c>
      <c r="G207" s="24" t="s">
        <v>1494</v>
      </c>
      <c r="H207" s="41" t="s">
        <v>858</v>
      </c>
      <c r="I207" s="24" t="s">
        <v>410</v>
      </c>
      <c r="J207" s="42" t="s">
        <v>411</v>
      </c>
      <c r="K207" s="14" t="b">
        <v>0</v>
      </c>
      <c r="L207" s="14" t="s">
        <v>2197</v>
      </c>
      <c r="M207" s="43" t="s">
        <v>413</v>
      </c>
      <c r="N207" s="14"/>
      <c r="O207" s="14"/>
      <c r="P207" s="14"/>
      <c r="Q207" s="14"/>
      <c r="R207" s="14"/>
      <c r="S207" s="14"/>
      <c r="T207" s="14"/>
      <c r="U207" s="14"/>
    </row>
    <row r="208" spans="1:21" ht="15.75" customHeight="1">
      <c r="A208" s="24" t="s">
        <v>342</v>
      </c>
      <c r="B208" s="25" t="str">
        <f t="shared" si="0"/>
        <v>s24_top_md1_030nm_1_</v>
      </c>
      <c r="C208" s="24" t="s">
        <v>1960</v>
      </c>
      <c r="D208" s="24" t="str">
        <f t="shared" si="1"/>
        <v>bossdb://lee2022/s24_top_md1_030nm_1_/s24_top_md1_030nm_1_/</v>
      </c>
      <c r="E208" s="24" t="s">
        <v>1752</v>
      </c>
      <c r="F208" s="32" t="s">
        <v>343</v>
      </c>
      <c r="G208" s="24" t="s">
        <v>1494</v>
      </c>
      <c r="H208" s="41" t="s">
        <v>858</v>
      </c>
      <c r="I208" s="24" t="s">
        <v>410</v>
      </c>
      <c r="J208" s="42" t="s">
        <v>411</v>
      </c>
      <c r="K208" s="14" t="b">
        <v>0</v>
      </c>
      <c r="L208" s="14" t="s">
        <v>2197</v>
      </c>
      <c r="M208" s="43" t="s">
        <v>413</v>
      </c>
      <c r="N208" s="14"/>
      <c r="O208" s="14"/>
      <c r="P208" s="14"/>
      <c r="Q208" s="14"/>
      <c r="R208" s="14"/>
      <c r="S208" s="14"/>
      <c r="T208" s="14"/>
      <c r="U208" s="14"/>
    </row>
    <row r="209" spans="1:21" ht="15.75" customHeight="1">
      <c r="A209" s="24" t="s">
        <v>344</v>
      </c>
      <c r="B209" s="25" t="str">
        <f t="shared" si="0"/>
        <v>s24_top_md1_030nm_2_</v>
      </c>
      <c r="C209" s="24" t="s">
        <v>1961</v>
      </c>
      <c r="D209" s="24" t="str">
        <f t="shared" si="1"/>
        <v>bossdb://lee2022/s24_top_md1_030nm_2_/s24_top_md1_030nm_2_/</v>
      </c>
      <c r="E209" s="24" t="s">
        <v>1752</v>
      </c>
      <c r="F209" s="32" t="s">
        <v>345</v>
      </c>
      <c r="G209" s="24" t="s">
        <v>1494</v>
      </c>
      <c r="H209" s="41" t="s">
        <v>858</v>
      </c>
      <c r="I209" s="24" t="s">
        <v>410</v>
      </c>
      <c r="J209" s="42" t="s">
        <v>411</v>
      </c>
      <c r="K209" s="14" t="b">
        <v>0</v>
      </c>
      <c r="L209" s="14" t="s">
        <v>2197</v>
      </c>
      <c r="M209" s="43" t="s">
        <v>413</v>
      </c>
      <c r="N209" s="14"/>
      <c r="O209" s="14"/>
      <c r="P209" s="14"/>
      <c r="Q209" s="14"/>
      <c r="R209" s="14"/>
      <c r="S209" s="14"/>
      <c r="T209" s="14"/>
      <c r="U209" s="14"/>
    </row>
    <row r="210" spans="1:21" ht="15.75" customHeight="1">
      <c r="A210" s="24" t="s">
        <v>346</v>
      </c>
      <c r="B210" s="25" t="str">
        <f t="shared" si="0"/>
        <v>s24_top_md1_030nm_3_</v>
      </c>
      <c r="C210" s="24" t="s">
        <v>1962</v>
      </c>
      <c r="D210" s="24" t="str">
        <f t="shared" si="1"/>
        <v>bossdb://lee2022/s24_top_md1_030nm_3_/s24_top_md1_030nm_3_/</v>
      </c>
      <c r="E210" s="24" t="s">
        <v>1752</v>
      </c>
      <c r="F210" s="32" t="s">
        <v>347</v>
      </c>
      <c r="G210" s="24" t="s">
        <v>1494</v>
      </c>
      <c r="H210" s="41" t="s">
        <v>858</v>
      </c>
      <c r="I210" s="24" t="s">
        <v>410</v>
      </c>
      <c r="J210" s="42" t="s">
        <v>411</v>
      </c>
      <c r="K210" s="14" t="b">
        <v>0</v>
      </c>
      <c r="L210" s="14" t="s">
        <v>2197</v>
      </c>
      <c r="M210" s="43" t="s">
        <v>413</v>
      </c>
      <c r="N210" s="14"/>
      <c r="O210" s="14"/>
      <c r="P210" s="14"/>
      <c r="Q210" s="14"/>
      <c r="R210" s="14"/>
      <c r="S210" s="14"/>
      <c r="T210" s="14"/>
      <c r="U210" s="14"/>
    </row>
    <row r="211" spans="1:21" ht="15.75" customHeight="1">
      <c r="A211" s="24" t="s">
        <v>348</v>
      </c>
      <c r="B211" s="25" t="str">
        <f t="shared" si="0"/>
        <v>s24_top_md1_030nm_4_</v>
      </c>
      <c r="C211" s="24" t="s">
        <v>1963</v>
      </c>
      <c r="D211" s="24" t="str">
        <f t="shared" si="1"/>
        <v>bossdb://lee2022/s24_top_md1_030nm_4_/s24_top_md1_030nm_4_/</v>
      </c>
      <c r="E211" s="24" t="s">
        <v>1752</v>
      </c>
      <c r="F211" s="32" t="s">
        <v>349</v>
      </c>
      <c r="G211" s="24" t="s">
        <v>1494</v>
      </c>
      <c r="H211" s="41" t="s">
        <v>858</v>
      </c>
      <c r="I211" s="24" t="s">
        <v>410</v>
      </c>
      <c r="J211" s="42" t="s">
        <v>411</v>
      </c>
      <c r="K211" s="14" t="b">
        <v>0</v>
      </c>
      <c r="L211" s="14" t="s">
        <v>2197</v>
      </c>
      <c r="M211" s="43" t="s">
        <v>413</v>
      </c>
      <c r="N211" s="14"/>
      <c r="O211" s="14"/>
      <c r="P211" s="14"/>
      <c r="Q211" s="14"/>
      <c r="R211" s="14"/>
      <c r="S211" s="14"/>
      <c r="T211" s="14"/>
      <c r="U211" s="14"/>
    </row>
    <row r="212" spans="1:21" ht="15.75" customHeight="1">
      <c r="A212" s="24" t="s">
        <v>82</v>
      </c>
      <c r="B212" s="25" t="str">
        <f t="shared" si="0"/>
        <v>C2C_100nm_tile1_</v>
      </c>
      <c r="C212" s="24" t="s">
        <v>1964</v>
      </c>
      <c r="D212" s="24" t="str">
        <f t="shared" si="1"/>
        <v>bossdb://lee2022/C2C_100nm_tile1_/C2C_100nm_tile1_/</v>
      </c>
      <c r="E212" s="24" t="s">
        <v>1752</v>
      </c>
      <c r="F212" s="32" t="s">
        <v>350</v>
      </c>
      <c r="G212" s="24" t="s">
        <v>1494</v>
      </c>
      <c r="H212" s="41" t="s">
        <v>858</v>
      </c>
      <c r="I212" s="24" t="s">
        <v>410</v>
      </c>
      <c r="J212" s="42" t="s">
        <v>411</v>
      </c>
      <c r="K212" s="14" t="b">
        <v>0</v>
      </c>
      <c r="L212" s="14" t="s">
        <v>2197</v>
      </c>
      <c r="M212" s="43" t="s">
        <v>413</v>
      </c>
      <c r="N212" s="14"/>
      <c r="O212" s="14"/>
      <c r="P212" s="14"/>
      <c r="Q212" s="14"/>
      <c r="R212" s="14"/>
      <c r="S212" s="14"/>
      <c r="T212" s="14"/>
      <c r="U212" s="14"/>
    </row>
    <row r="213" spans="1:21" ht="15.75" customHeight="1">
      <c r="A213" s="24" t="s">
        <v>84</v>
      </c>
      <c r="B213" s="25" t="str">
        <f t="shared" si="0"/>
        <v>C2C_100nm_tile1_1_</v>
      </c>
      <c r="C213" s="24" t="s">
        <v>1965</v>
      </c>
      <c r="D213" s="24" t="str">
        <f t="shared" si="1"/>
        <v>bossdb://lee2022/C2C_100nm_tile1_1_/C2C_100nm_tile1_1_/</v>
      </c>
      <c r="E213" s="24" t="s">
        <v>1752</v>
      </c>
      <c r="F213" s="32" t="s">
        <v>351</v>
      </c>
      <c r="G213" s="24" t="s">
        <v>1494</v>
      </c>
      <c r="H213" s="41" t="s">
        <v>858</v>
      </c>
      <c r="I213" s="24" t="s">
        <v>410</v>
      </c>
      <c r="J213" s="42" t="s">
        <v>411</v>
      </c>
      <c r="K213" s="14" t="b">
        <v>0</v>
      </c>
      <c r="L213" s="14" t="s">
        <v>2197</v>
      </c>
      <c r="M213" s="43" t="s">
        <v>413</v>
      </c>
      <c r="N213" s="14"/>
      <c r="O213" s="14"/>
      <c r="P213" s="14"/>
      <c r="Q213" s="14"/>
      <c r="R213" s="14"/>
      <c r="S213" s="14"/>
      <c r="T213" s="14"/>
      <c r="U213" s="14"/>
    </row>
    <row r="214" spans="1:21" ht="15.75" customHeight="1">
      <c r="A214" s="24" t="s">
        <v>86</v>
      </c>
      <c r="B214" s="25" t="str">
        <f t="shared" si="0"/>
        <v>C2C_100nm_tile1_2_</v>
      </c>
      <c r="C214" s="24" t="s">
        <v>1966</v>
      </c>
      <c r="D214" s="24" t="str">
        <f t="shared" si="1"/>
        <v>bossdb://lee2022/C2C_100nm_tile1_2_/C2C_100nm_tile1_2_/</v>
      </c>
      <c r="E214" s="24" t="s">
        <v>1752</v>
      </c>
      <c r="F214" s="32" t="s">
        <v>352</v>
      </c>
      <c r="G214" s="24" t="s">
        <v>1494</v>
      </c>
      <c r="H214" s="41" t="s">
        <v>858</v>
      </c>
      <c r="I214" s="24" t="s">
        <v>410</v>
      </c>
      <c r="J214" s="42" t="s">
        <v>411</v>
      </c>
      <c r="K214" s="14" t="b">
        <v>0</v>
      </c>
      <c r="L214" s="14" t="s">
        <v>2197</v>
      </c>
      <c r="M214" s="43" t="s">
        <v>413</v>
      </c>
      <c r="N214" s="14"/>
      <c r="O214" s="14"/>
      <c r="P214" s="14"/>
      <c r="Q214" s="14"/>
      <c r="R214" s="14"/>
      <c r="S214" s="14"/>
      <c r="T214" s="14"/>
      <c r="U214" s="14"/>
    </row>
    <row r="215" spans="1:21" ht="15.75" customHeight="1">
      <c r="A215" s="24" t="s">
        <v>88</v>
      </c>
      <c r="B215" s="25" t="str">
        <f t="shared" si="0"/>
        <v>C2C_100nm_tile1_3_</v>
      </c>
      <c r="C215" s="24" t="s">
        <v>1967</v>
      </c>
      <c r="D215" s="24" t="str">
        <f t="shared" si="1"/>
        <v>bossdb://lee2022/C2C_100nm_tile1_3_/C2C_100nm_tile1_3_/</v>
      </c>
      <c r="E215" s="24" t="s">
        <v>1752</v>
      </c>
      <c r="F215" s="32" t="s">
        <v>353</v>
      </c>
      <c r="G215" s="24" t="s">
        <v>1494</v>
      </c>
      <c r="H215" s="41" t="s">
        <v>858</v>
      </c>
      <c r="I215" s="24" t="s">
        <v>410</v>
      </c>
      <c r="J215" s="42" t="s">
        <v>411</v>
      </c>
      <c r="K215" s="14" t="b">
        <v>0</v>
      </c>
      <c r="L215" s="14" t="s">
        <v>2197</v>
      </c>
      <c r="M215" s="43" t="s">
        <v>413</v>
      </c>
      <c r="N215" s="14"/>
      <c r="O215" s="14"/>
      <c r="P215" s="14"/>
      <c r="Q215" s="14"/>
      <c r="R215" s="14"/>
      <c r="S215" s="14"/>
      <c r="T215" s="14"/>
      <c r="U215" s="14"/>
    </row>
    <row r="216" spans="1:21" ht="15.75" customHeight="1">
      <c r="A216" s="24" t="s">
        <v>90</v>
      </c>
      <c r="B216" s="25" t="str">
        <f t="shared" si="0"/>
        <v>C2C_100nm_tile1_4_</v>
      </c>
      <c r="C216" s="24" t="s">
        <v>1968</v>
      </c>
      <c r="D216" s="24" t="str">
        <f t="shared" si="1"/>
        <v>bossdb://lee2022/C2C_100nm_tile1_4_/C2C_100nm_tile1_4_/</v>
      </c>
      <c r="E216" s="24" t="s">
        <v>1752</v>
      </c>
      <c r="F216" s="32" t="s">
        <v>354</v>
      </c>
      <c r="G216" s="24" t="s">
        <v>1494</v>
      </c>
      <c r="H216" s="41" t="s">
        <v>858</v>
      </c>
      <c r="I216" s="24" t="s">
        <v>410</v>
      </c>
      <c r="J216" s="42" t="s">
        <v>411</v>
      </c>
      <c r="K216" s="14" t="b">
        <v>0</v>
      </c>
      <c r="L216" s="14" t="s">
        <v>2197</v>
      </c>
      <c r="M216" s="43" t="s">
        <v>413</v>
      </c>
      <c r="N216" s="14"/>
      <c r="O216" s="14"/>
      <c r="P216" s="14"/>
      <c r="Q216" s="14"/>
      <c r="R216" s="14"/>
      <c r="S216" s="14"/>
      <c r="T216" s="14"/>
      <c r="U216" s="14"/>
    </row>
    <row r="217" spans="1:21" ht="15.75" customHeight="1">
      <c r="A217" s="24" t="s">
        <v>92</v>
      </c>
      <c r="B217" s="25" t="str">
        <f t="shared" si="0"/>
        <v>C2C_100nm_tile2_</v>
      </c>
      <c r="C217" s="24" t="s">
        <v>1969</v>
      </c>
      <c r="D217" s="24" t="str">
        <f t="shared" si="1"/>
        <v>bossdb://lee2022/C2C_100nm_tile2_/C2C_100nm_tile2_/</v>
      </c>
      <c r="E217" s="24" t="s">
        <v>1752</v>
      </c>
      <c r="F217" s="32" t="s">
        <v>355</v>
      </c>
      <c r="G217" s="24" t="s">
        <v>1494</v>
      </c>
      <c r="H217" s="41" t="s">
        <v>858</v>
      </c>
      <c r="I217" s="24" t="s">
        <v>410</v>
      </c>
      <c r="J217" s="42" t="s">
        <v>411</v>
      </c>
      <c r="K217" s="14" t="b">
        <v>0</v>
      </c>
      <c r="L217" s="14" t="s">
        <v>2197</v>
      </c>
      <c r="M217" s="43" t="s">
        <v>413</v>
      </c>
      <c r="N217" s="14"/>
      <c r="O217" s="14"/>
      <c r="P217" s="14"/>
      <c r="Q217" s="14"/>
      <c r="R217" s="14"/>
      <c r="S217" s="14"/>
      <c r="T217" s="14"/>
      <c r="U217" s="14"/>
    </row>
    <row r="218" spans="1:21" ht="15.75" customHeight="1">
      <c r="A218" s="24" t="s">
        <v>94</v>
      </c>
      <c r="B218" s="25" t="str">
        <f t="shared" si="0"/>
        <v>C2C_100nm_tile2_1_</v>
      </c>
      <c r="C218" s="24" t="s">
        <v>1970</v>
      </c>
      <c r="D218" s="24" t="str">
        <f t="shared" si="1"/>
        <v>bossdb://lee2022/C2C_100nm_tile2_1_/C2C_100nm_tile2_1_/</v>
      </c>
      <c r="E218" s="24" t="s">
        <v>1752</v>
      </c>
      <c r="F218" s="32" t="s">
        <v>356</v>
      </c>
      <c r="G218" s="24" t="s">
        <v>1494</v>
      </c>
      <c r="H218" s="41" t="s">
        <v>858</v>
      </c>
      <c r="I218" s="24" t="s">
        <v>410</v>
      </c>
      <c r="J218" s="42" t="s">
        <v>411</v>
      </c>
      <c r="K218" s="14" t="b">
        <v>0</v>
      </c>
      <c r="L218" s="14" t="s">
        <v>2197</v>
      </c>
      <c r="M218" s="43" t="s">
        <v>413</v>
      </c>
      <c r="N218" s="14"/>
      <c r="O218" s="14"/>
      <c r="P218" s="14"/>
      <c r="Q218" s="14"/>
      <c r="R218" s="14"/>
      <c r="S218" s="14"/>
      <c r="T218" s="14"/>
      <c r="U218" s="14"/>
    </row>
    <row r="219" spans="1:21" ht="15.75" customHeight="1">
      <c r="A219" s="24" t="s">
        <v>96</v>
      </c>
      <c r="B219" s="25" t="str">
        <f t="shared" si="0"/>
        <v>C2C_100nm_tile2_2_</v>
      </c>
      <c r="C219" s="24" t="s">
        <v>1971</v>
      </c>
      <c r="D219" s="24" t="str">
        <f t="shared" si="1"/>
        <v>bossdb://lee2022/C2C_100nm_tile2_2_/C2C_100nm_tile2_2_/</v>
      </c>
      <c r="E219" s="24" t="s">
        <v>1752</v>
      </c>
      <c r="F219" s="32" t="s">
        <v>357</v>
      </c>
      <c r="G219" s="24" t="s">
        <v>1494</v>
      </c>
      <c r="H219" s="41" t="s">
        <v>858</v>
      </c>
      <c r="I219" s="24" t="s">
        <v>410</v>
      </c>
      <c r="J219" s="42" t="s">
        <v>411</v>
      </c>
      <c r="K219" s="14" t="b">
        <v>0</v>
      </c>
      <c r="L219" s="14" t="s">
        <v>2197</v>
      </c>
      <c r="M219" s="43" t="s">
        <v>413</v>
      </c>
      <c r="N219" s="14"/>
      <c r="O219" s="14"/>
      <c r="P219" s="14"/>
      <c r="Q219" s="14"/>
      <c r="R219" s="14"/>
      <c r="S219" s="14"/>
      <c r="T219" s="14"/>
      <c r="U219" s="14"/>
    </row>
    <row r="220" spans="1:21" ht="15.75" customHeight="1">
      <c r="A220" s="24" t="s">
        <v>98</v>
      </c>
      <c r="B220" s="25" t="str">
        <f t="shared" si="0"/>
        <v>C2C_100nm_tile2_3_</v>
      </c>
      <c r="C220" s="24" t="s">
        <v>1972</v>
      </c>
      <c r="D220" s="24" t="str">
        <f t="shared" si="1"/>
        <v>bossdb://lee2022/C2C_100nm_tile2_3_/C2C_100nm_tile2_3_/</v>
      </c>
      <c r="E220" s="24" t="s">
        <v>1752</v>
      </c>
      <c r="F220" s="32" t="s">
        <v>358</v>
      </c>
      <c r="G220" s="24" t="s">
        <v>1494</v>
      </c>
      <c r="H220" s="41" t="s">
        <v>858</v>
      </c>
      <c r="I220" s="24" t="s">
        <v>410</v>
      </c>
      <c r="J220" s="42" t="s">
        <v>411</v>
      </c>
      <c r="K220" s="14" t="b">
        <v>0</v>
      </c>
      <c r="L220" s="14" t="s">
        <v>2197</v>
      </c>
      <c r="M220" s="43" t="s">
        <v>413</v>
      </c>
      <c r="N220" s="14"/>
      <c r="O220" s="14"/>
      <c r="P220" s="14"/>
      <c r="Q220" s="14"/>
      <c r="R220" s="14"/>
      <c r="S220" s="14"/>
      <c r="T220" s="14"/>
      <c r="U220" s="14"/>
    </row>
    <row r="221" spans="1:21" ht="15.75" customHeight="1">
      <c r="A221" s="24" t="s">
        <v>100</v>
      </c>
      <c r="B221" s="25" t="str">
        <f t="shared" si="0"/>
        <v>C2C_100nm_tile2_4_</v>
      </c>
      <c r="C221" s="24" t="s">
        <v>1973</v>
      </c>
      <c r="D221" s="24" t="str">
        <f t="shared" si="1"/>
        <v>bossdb://lee2022/C2C_100nm_tile2_4_/C2C_100nm_tile2_4_/</v>
      </c>
      <c r="E221" s="24" t="s">
        <v>1752</v>
      </c>
      <c r="F221" s="32" t="s">
        <v>359</v>
      </c>
      <c r="G221" s="24" t="s">
        <v>1494</v>
      </c>
      <c r="H221" s="41" t="s">
        <v>858</v>
      </c>
      <c r="I221" s="24" t="s">
        <v>410</v>
      </c>
      <c r="J221" s="42" t="s">
        <v>411</v>
      </c>
      <c r="K221" s="14" t="b">
        <v>0</v>
      </c>
      <c r="L221" s="14" t="s">
        <v>2197</v>
      </c>
      <c r="M221" s="43" t="s">
        <v>413</v>
      </c>
      <c r="N221" s="14"/>
      <c r="O221" s="14"/>
      <c r="P221" s="14"/>
      <c r="Q221" s="14"/>
      <c r="R221" s="14"/>
      <c r="S221" s="14"/>
      <c r="T221" s="14"/>
      <c r="U221" s="14"/>
    </row>
    <row r="222" spans="1:21" ht="15.75" customHeight="1">
      <c r="A222" s="24" t="s">
        <v>102</v>
      </c>
      <c r="B222" s="25" t="str">
        <f t="shared" si="0"/>
        <v>C2C_100nm_tile3_</v>
      </c>
      <c r="C222" s="24" t="s">
        <v>1974</v>
      </c>
      <c r="D222" s="24" t="str">
        <f t="shared" si="1"/>
        <v>bossdb://lee2022/C2C_100nm_tile3_/C2C_100nm_tile3_/</v>
      </c>
      <c r="E222" s="24" t="s">
        <v>1752</v>
      </c>
      <c r="F222" s="32" t="s">
        <v>360</v>
      </c>
      <c r="G222" s="24" t="s">
        <v>1494</v>
      </c>
      <c r="H222" s="41" t="s">
        <v>858</v>
      </c>
      <c r="I222" s="24" t="s">
        <v>410</v>
      </c>
      <c r="J222" s="42" t="s">
        <v>411</v>
      </c>
      <c r="K222" s="14" t="b">
        <v>0</v>
      </c>
      <c r="L222" s="14" t="s">
        <v>2197</v>
      </c>
      <c r="M222" s="43" t="s">
        <v>413</v>
      </c>
      <c r="N222" s="14"/>
      <c r="O222" s="14"/>
      <c r="P222" s="14"/>
      <c r="Q222" s="14"/>
      <c r="R222" s="14"/>
      <c r="S222" s="14"/>
      <c r="T222" s="14"/>
      <c r="U222" s="14"/>
    </row>
    <row r="223" spans="1:21" ht="15.75" customHeight="1">
      <c r="A223" s="24" t="s">
        <v>104</v>
      </c>
      <c r="B223" s="25" t="str">
        <f t="shared" si="0"/>
        <v>C2C_100nm_tile3_1_</v>
      </c>
      <c r="C223" s="24" t="s">
        <v>1975</v>
      </c>
      <c r="D223" s="24" t="str">
        <f t="shared" si="1"/>
        <v>bossdb://lee2022/C2C_100nm_tile3_1_/C2C_100nm_tile3_1_/</v>
      </c>
      <c r="E223" s="24" t="s">
        <v>1752</v>
      </c>
      <c r="F223" s="32" t="s">
        <v>361</v>
      </c>
      <c r="G223" s="24" t="s">
        <v>1494</v>
      </c>
      <c r="H223" s="41" t="s">
        <v>858</v>
      </c>
      <c r="I223" s="24" t="s">
        <v>410</v>
      </c>
      <c r="J223" s="42" t="s">
        <v>411</v>
      </c>
      <c r="K223" s="14" t="b">
        <v>0</v>
      </c>
      <c r="L223" s="14" t="s">
        <v>2197</v>
      </c>
      <c r="M223" s="43" t="s">
        <v>413</v>
      </c>
      <c r="N223" s="14"/>
      <c r="O223" s="14"/>
      <c r="P223" s="14"/>
      <c r="Q223" s="14"/>
      <c r="R223" s="14"/>
      <c r="S223" s="14"/>
      <c r="T223" s="14"/>
      <c r="U223" s="14"/>
    </row>
    <row r="224" spans="1:21" ht="15.75" customHeight="1">
      <c r="A224" s="24" t="s">
        <v>106</v>
      </c>
      <c r="B224" s="25" t="str">
        <f t="shared" si="0"/>
        <v>C2C_100nm_tile3_2_</v>
      </c>
      <c r="C224" s="24" t="s">
        <v>1976</v>
      </c>
      <c r="D224" s="24" t="str">
        <f t="shared" si="1"/>
        <v>bossdb://lee2022/C2C_100nm_tile3_2_/C2C_100nm_tile3_2_/</v>
      </c>
      <c r="E224" s="24" t="s">
        <v>1752</v>
      </c>
      <c r="F224" s="32" t="s">
        <v>362</v>
      </c>
      <c r="G224" s="24" t="s">
        <v>1494</v>
      </c>
      <c r="H224" s="41" t="s">
        <v>858</v>
      </c>
      <c r="I224" s="24" t="s">
        <v>410</v>
      </c>
      <c r="J224" s="42" t="s">
        <v>411</v>
      </c>
      <c r="K224" s="14" t="b">
        <v>0</v>
      </c>
      <c r="L224" s="14" t="s">
        <v>2197</v>
      </c>
      <c r="M224" s="43" t="s">
        <v>413</v>
      </c>
      <c r="N224" s="14"/>
      <c r="O224" s="14"/>
      <c r="P224" s="14"/>
      <c r="Q224" s="14"/>
      <c r="R224" s="14"/>
      <c r="S224" s="14"/>
      <c r="T224" s="14"/>
      <c r="U224" s="14"/>
    </row>
    <row r="225" spans="1:21" ht="15.75" customHeight="1">
      <c r="A225" s="24" t="s">
        <v>108</v>
      </c>
      <c r="B225" s="25" t="str">
        <f t="shared" si="0"/>
        <v>C2C_100nm_tile3_3_</v>
      </c>
      <c r="C225" s="24" t="s">
        <v>1977</v>
      </c>
      <c r="D225" s="24" t="str">
        <f t="shared" si="1"/>
        <v>bossdb://lee2022/C2C_100nm_tile3_3_/C2C_100nm_tile3_3_/</v>
      </c>
      <c r="E225" s="24" t="s">
        <v>1752</v>
      </c>
      <c r="F225" s="32" t="s">
        <v>363</v>
      </c>
      <c r="G225" s="24" t="s">
        <v>1494</v>
      </c>
      <c r="H225" s="41" t="s">
        <v>858</v>
      </c>
      <c r="I225" s="24" t="s">
        <v>410</v>
      </c>
      <c r="J225" s="42" t="s">
        <v>411</v>
      </c>
      <c r="K225" s="14" t="b">
        <v>0</v>
      </c>
      <c r="L225" s="14" t="s">
        <v>2197</v>
      </c>
      <c r="M225" s="43" t="s">
        <v>413</v>
      </c>
      <c r="N225" s="14"/>
      <c r="O225" s="14"/>
      <c r="P225" s="14"/>
      <c r="Q225" s="14"/>
      <c r="R225" s="14"/>
      <c r="S225" s="14"/>
      <c r="T225" s="14"/>
      <c r="U225" s="14"/>
    </row>
    <row r="226" spans="1:21" ht="15.75" customHeight="1">
      <c r="A226" s="24" t="s">
        <v>110</v>
      </c>
      <c r="B226" s="25" t="str">
        <f t="shared" si="0"/>
        <v>C2C_100nm_tile3_4_</v>
      </c>
      <c r="C226" s="24" t="s">
        <v>1978</v>
      </c>
      <c r="D226" s="24" t="str">
        <f t="shared" si="1"/>
        <v>bossdb://lee2022/C2C_100nm_tile3_4_/C2C_100nm_tile3_4_/</v>
      </c>
      <c r="E226" s="24" t="s">
        <v>1752</v>
      </c>
      <c r="F226" s="32" t="s">
        <v>364</v>
      </c>
      <c r="G226" s="24" t="s">
        <v>1494</v>
      </c>
      <c r="H226" s="41" t="s">
        <v>858</v>
      </c>
      <c r="I226" s="24" t="s">
        <v>410</v>
      </c>
      <c r="J226" s="24" t="s">
        <v>411</v>
      </c>
      <c r="K226" s="14" t="b">
        <v>0</v>
      </c>
      <c r="L226" s="14" t="s">
        <v>2197</v>
      </c>
      <c r="M226" s="43" t="s">
        <v>413</v>
      </c>
      <c r="N226" s="14"/>
      <c r="O226" s="14"/>
      <c r="P226" s="14"/>
      <c r="Q226" s="14"/>
      <c r="R226" s="14"/>
      <c r="S226" s="14"/>
      <c r="T226" s="14"/>
      <c r="U226" s="14"/>
    </row>
    <row r="227" spans="1:21" ht="15.75" customHeight="1">
      <c r="A227" s="24" t="s">
        <v>112</v>
      </c>
      <c r="B227" s="25" t="str">
        <f t="shared" si="0"/>
        <v>C2C_ovw_150nm_sz1p1_</v>
      </c>
      <c r="C227" s="24" t="s">
        <v>1979</v>
      </c>
      <c r="D227" s="24" t="str">
        <f t="shared" si="1"/>
        <v>bossdb://lee2022/C2C_ovw_150nm_sz1p1_/C2C_ovw_150nm_sz1p1_/</v>
      </c>
      <c r="E227" s="24" t="s">
        <v>1752</v>
      </c>
      <c r="F227" s="32" t="s">
        <v>365</v>
      </c>
      <c r="G227" s="24" t="s">
        <v>1494</v>
      </c>
      <c r="H227" s="41" t="s">
        <v>858</v>
      </c>
      <c r="I227" s="24" t="s">
        <v>410</v>
      </c>
      <c r="J227" s="24" t="s">
        <v>411</v>
      </c>
      <c r="K227" s="14" t="b">
        <v>0</v>
      </c>
      <c r="L227" s="14" t="s">
        <v>2197</v>
      </c>
      <c r="M227" s="43" t="s">
        <v>413</v>
      </c>
      <c r="N227" s="14"/>
      <c r="O227" s="14"/>
      <c r="P227" s="14"/>
      <c r="Q227" s="14"/>
      <c r="R227" s="14"/>
      <c r="S227" s="14"/>
      <c r="T227" s="14"/>
      <c r="U227" s="14"/>
    </row>
    <row r="228" spans="1:21" ht="15.75" customHeight="1">
      <c r="A228" s="24" t="s">
        <v>114</v>
      </c>
      <c r="B228" s="25" t="str">
        <f t="shared" si="0"/>
        <v>C2C_ovw_150nm_sz1p1_1_</v>
      </c>
      <c r="C228" s="24" t="s">
        <v>1980</v>
      </c>
      <c r="D228" s="24" t="str">
        <f t="shared" si="1"/>
        <v>bossdb://lee2022/C2C_ovw_150nm_sz1p1_1_/C2C_ovw_150nm_sz1p1_1_/</v>
      </c>
      <c r="E228" s="24" t="s">
        <v>1752</v>
      </c>
      <c r="F228" s="32" t="s">
        <v>366</v>
      </c>
      <c r="G228" s="24" t="s">
        <v>1494</v>
      </c>
      <c r="H228" s="41" t="s">
        <v>858</v>
      </c>
      <c r="I228" s="24" t="s">
        <v>410</v>
      </c>
      <c r="J228" s="24" t="s">
        <v>411</v>
      </c>
      <c r="K228" s="14" t="b">
        <v>0</v>
      </c>
      <c r="L228" s="14" t="s">
        <v>2197</v>
      </c>
      <c r="M228" s="43" t="s">
        <v>413</v>
      </c>
      <c r="N228" s="14"/>
      <c r="O228" s="14"/>
      <c r="P228" s="14"/>
      <c r="Q228" s="14"/>
      <c r="R228" s="14"/>
      <c r="S228" s="14"/>
      <c r="T228" s="14"/>
      <c r="U228" s="14"/>
    </row>
    <row r="229" spans="1:21" ht="15.75" customHeight="1">
      <c r="A229" s="24" t="s">
        <v>116</v>
      </c>
      <c r="B229" s="25" t="str">
        <f t="shared" si="0"/>
        <v>C2C_ovw_150nm_sz1p4_</v>
      </c>
      <c r="C229" s="24" t="s">
        <v>1981</v>
      </c>
      <c r="D229" s="24" t="str">
        <f t="shared" si="1"/>
        <v>bossdb://lee2022/C2C_ovw_150nm_sz1p4_/C2C_ovw_150nm_sz1p4_/</v>
      </c>
      <c r="E229" s="24" t="s">
        <v>1752</v>
      </c>
      <c r="F229" s="32" t="s">
        <v>367</v>
      </c>
      <c r="G229" s="24" t="s">
        <v>1494</v>
      </c>
      <c r="H229" s="41" t="s">
        <v>858</v>
      </c>
      <c r="I229" s="24" t="s">
        <v>410</v>
      </c>
      <c r="J229" s="24" t="s">
        <v>411</v>
      </c>
      <c r="K229" s="14" t="b">
        <v>0</v>
      </c>
      <c r="L229" s="14" t="s">
        <v>2197</v>
      </c>
      <c r="M229" s="43" t="s">
        <v>413</v>
      </c>
      <c r="N229" s="14"/>
      <c r="O229" s="14"/>
      <c r="P229" s="14"/>
      <c r="Q229" s="14"/>
      <c r="R229" s="14"/>
      <c r="S229" s="14"/>
      <c r="T229" s="14"/>
      <c r="U229" s="14"/>
    </row>
    <row r="230" spans="1:21" ht="15.75" customHeight="1">
      <c r="A230" s="24" t="s">
        <v>118</v>
      </c>
      <c r="B230" s="25" t="str">
        <f t="shared" si="0"/>
        <v>C2C_ovw_150nm_sz1p4_1_</v>
      </c>
      <c r="C230" s="24" t="s">
        <v>1982</v>
      </c>
      <c r="D230" s="24" t="str">
        <f t="shared" si="1"/>
        <v>bossdb://lee2022/C2C_ovw_150nm_sz1p4_1_/C2C_ovw_150nm_sz1p4_1_/</v>
      </c>
      <c r="E230" s="24" t="s">
        <v>1752</v>
      </c>
      <c r="F230" s="32" t="s">
        <v>368</v>
      </c>
      <c r="G230" s="24" t="s">
        <v>1494</v>
      </c>
      <c r="H230" s="41" t="s">
        <v>858</v>
      </c>
      <c r="I230" s="24" t="s">
        <v>410</v>
      </c>
      <c r="J230" s="24" t="s">
        <v>411</v>
      </c>
      <c r="K230" s="14" t="b">
        <v>0</v>
      </c>
      <c r="L230" s="14" t="s">
        <v>2197</v>
      </c>
      <c r="M230" s="43" t="s">
        <v>413</v>
      </c>
      <c r="N230" s="14"/>
      <c r="O230" s="14"/>
      <c r="P230" s="14"/>
      <c r="Q230" s="14"/>
      <c r="R230" s="14"/>
      <c r="S230" s="14"/>
      <c r="T230" s="14"/>
      <c r="U230" s="14"/>
    </row>
    <row r="231" spans="1:21" ht="15.75" customHeight="1">
      <c r="A231" s="24" t="s">
        <v>120</v>
      </c>
      <c r="B231" s="25" t="str">
        <f t="shared" si="0"/>
        <v>C2D_060nm_tile1_</v>
      </c>
      <c r="C231" s="24" t="s">
        <v>1983</v>
      </c>
      <c r="D231" s="24" t="str">
        <f t="shared" si="1"/>
        <v>bossdb://lee2022/C2D_060nm_tile1_/C2D_060nm_tile1_/</v>
      </c>
      <c r="E231" s="24" t="s">
        <v>1752</v>
      </c>
      <c r="F231" s="32" t="s">
        <v>369</v>
      </c>
      <c r="G231" s="24" t="s">
        <v>1494</v>
      </c>
      <c r="H231" s="41" t="s">
        <v>858</v>
      </c>
      <c r="I231" s="24" t="s">
        <v>410</v>
      </c>
      <c r="J231" s="24" t="s">
        <v>411</v>
      </c>
      <c r="K231" s="14" t="b">
        <v>0</v>
      </c>
      <c r="L231" s="14" t="s">
        <v>2197</v>
      </c>
      <c r="M231" s="43" t="s">
        <v>413</v>
      </c>
      <c r="N231" s="14"/>
      <c r="O231" s="14"/>
      <c r="P231" s="14"/>
      <c r="Q231" s="14"/>
      <c r="R231" s="14"/>
      <c r="S231" s="14"/>
      <c r="T231" s="14"/>
      <c r="U231" s="14"/>
    </row>
    <row r="232" spans="1:21" ht="15.75" customHeight="1">
      <c r="A232" s="24" t="s">
        <v>122</v>
      </c>
      <c r="B232" s="25" t="str">
        <f t="shared" si="0"/>
        <v>C2D_060nm_tile1_1_</v>
      </c>
      <c r="C232" s="24" t="s">
        <v>1984</v>
      </c>
      <c r="D232" s="24" t="str">
        <f t="shared" si="1"/>
        <v>bossdb://lee2022/C2D_060nm_tile1_1_/C2D_060nm_tile1_1_/</v>
      </c>
      <c r="E232" s="24" t="s">
        <v>1752</v>
      </c>
      <c r="F232" s="32" t="s">
        <v>370</v>
      </c>
      <c r="G232" s="24" t="s">
        <v>1494</v>
      </c>
      <c r="H232" s="41" t="s">
        <v>858</v>
      </c>
      <c r="I232" s="24" t="s">
        <v>410</v>
      </c>
      <c r="J232" s="24" t="s">
        <v>411</v>
      </c>
      <c r="K232" s="14" t="b">
        <v>0</v>
      </c>
      <c r="L232" s="14" t="s">
        <v>2197</v>
      </c>
      <c r="M232" s="43" t="s">
        <v>413</v>
      </c>
      <c r="N232" s="14"/>
      <c r="O232" s="14"/>
      <c r="P232" s="14"/>
      <c r="Q232" s="14"/>
      <c r="R232" s="14"/>
      <c r="S232" s="14"/>
      <c r="T232" s="14"/>
      <c r="U232" s="14"/>
    </row>
    <row r="233" spans="1:21" ht="15.75" customHeight="1">
      <c r="A233" s="24" t="s">
        <v>124</v>
      </c>
      <c r="B233" s="25" t="str">
        <f t="shared" si="0"/>
        <v>C2D_060nm_tile1_2_</v>
      </c>
      <c r="C233" s="24" t="s">
        <v>1985</v>
      </c>
      <c r="D233" s="24" t="str">
        <f t="shared" si="1"/>
        <v>bossdb://lee2022/C2D_060nm_tile1_2_/C2D_060nm_tile1_2_/</v>
      </c>
      <c r="E233" s="24" t="s">
        <v>1752</v>
      </c>
      <c r="F233" s="32" t="s">
        <v>371</v>
      </c>
      <c r="G233" s="24" t="s">
        <v>1494</v>
      </c>
      <c r="H233" s="41" t="s">
        <v>858</v>
      </c>
      <c r="I233" s="24" t="s">
        <v>410</v>
      </c>
      <c r="J233" s="24" t="s">
        <v>411</v>
      </c>
      <c r="K233" s="14" t="b">
        <v>0</v>
      </c>
      <c r="L233" s="14" t="s">
        <v>2197</v>
      </c>
      <c r="M233" s="43" t="s">
        <v>413</v>
      </c>
      <c r="N233" s="14"/>
      <c r="O233" s="14"/>
      <c r="P233" s="14"/>
      <c r="Q233" s="14"/>
      <c r="R233" s="14"/>
      <c r="S233" s="14"/>
      <c r="T233" s="14"/>
      <c r="U233" s="14"/>
    </row>
    <row r="234" spans="1:21" ht="15.75" customHeight="1">
      <c r="A234" s="24" t="s">
        <v>126</v>
      </c>
      <c r="B234" s="25" t="str">
        <f t="shared" si="0"/>
        <v>C2D_060nm_tile1_3_</v>
      </c>
      <c r="C234" s="24" t="s">
        <v>1986</v>
      </c>
      <c r="D234" s="24" t="str">
        <f t="shared" si="1"/>
        <v>bossdb://lee2022/C2D_060nm_tile1_3_/C2D_060nm_tile1_3_/</v>
      </c>
      <c r="E234" s="24" t="s">
        <v>1752</v>
      </c>
      <c r="F234" s="32" t="s">
        <v>372</v>
      </c>
      <c r="G234" s="24" t="s">
        <v>1494</v>
      </c>
      <c r="H234" s="41" t="s">
        <v>858</v>
      </c>
      <c r="I234" s="24" t="s">
        <v>410</v>
      </c>
      <c r="J234" s="24" t="s">
        <v>411</v>
      </c>
      <c r="K234" s="14" t="b">
        <v>0</v>
      </c>
      <c r="L234" s="14" t="s">
        <v>2197</v>
      </c>
      <c r="M234" s="43" t="s">
        <v>413</v>
      </c>
      <c r="N234" s="14"/>
      <c r="O234" s="14"/>
      <c r="P234" s="14"/>
      <c r="Q234" s="14"/>
      <c r="R234" s="14"/>
      <c r="S234" s="14"/>
      <c r="T234" s="14"/>
      <c r="U234" s="14"/>
    </row>
    <row r="235" spans="1:21" ht="15.75" customHeight="1">
      <c r="A235" s="24" t="s">
        <v>128</v>
      </c>
      <c r="B235" s="25" t="str">
        <f t="shared" si="0"/>
        <v>C2D_060nm_tile1_4_</v>
      </c>
      <c r="C235" s="24" t="s">
        <v>1987</v>
      </c>
      <c r="D235" s="24" t="str">
        <f t="shared" si="1"/>
        <v>bossdb://lee2022/C2D_060nm_tile1_4_/C2D_060nm_tile1_4_/</v>
      </c>
      <c r="E235" s="24" t="s">
        <v>1752</v>
      </c>
      <c r="F235" s="32" t="s">
        <v>373</v>
      </c>
      <c r="G235" s="24" t="s">
        <v>1494</v>
      </c>
      <c r="H235" s="41" t="s">
        <v>858</v>
      </c>
      <c r="I235" s="24" t="s">
        <v>410</v>
      </c>
      <c r="J235" s="24" t="s">
        <v>411</v>
      </c>
      <c r="K235" s="14" t="b">
        <v>0</v>
      </c>
      <c r="L235" s="14" t="s">
        <v>2197</v>
      </c>
      <c r="M235" s="43" t="s">
        <v>413</v>
      </c>
      <c r="N235" s="14"/>
      <c r="O235" s="14"/>
      <c r="P235" s="14"/>
      <c r="Q235" s="14"/>
      <c r="R235" s="14"/>
      <c r="S235" s="14"/>
      <c r="T235" s="14"/>
      <c r="U235" s="14"/>
    </row>
    <row r="236" spans="1:21" ht="15.75" customHeight="1">
      <c r="A236" s="24" t="s">
        <v>130</v>
      </c>
      <c r="B236" s="25" t="str">
        <f t="shared" si="0"/>
        <v>C2D_100nm_tile1_</v>
      </c>
      <c r="C236" s="24" t="s">
        <v>1988</v>
      </c>
      <c r="D236" s="24" t="str">
        <f t="shared" si="1"/>
        <v>bossdb://lee2022/C2D_100nm_tile1_/C2D_100nm_tile1_/</v>
      </c>
      <c r="E236" s="24" t="s">
        <v>1752</v>
      </c>
      <c r="F236" s="32" t="s">
        <v>374</v>
      </c>
      <c r="G236" s="24" t="s">
        <v>1494</v>
      </c>
      <c r="H236" s="41" t="s">
        <v>858</v>
      </c>
      <c r="I236" s="24" t="s">
        <v>410</v>
      </c>
      <c r="J236" s="24" t="s">
        <v>411</v>
      </c>
      <c r="K236" s="14" t="b">
        <v>0</v>
      </c>
      <c r="L236" s="14" t="s">
        <v>2197</v>
      </c>
      <c r="M236" s="43" t="s">
        <v>413</v>
      </c>
      <c r="N236" s="14"/>
      <c r="O236" s="14"/>
      <c r="P236" s="14"/>
      <c r="Q236" s="14"/>
      <c r="R236" s="14"/>
      <c r="S236" s="14"/>
      <c r="T236" s="14"/>
      <c r="U236" s="14"/>
    </row>
    <row r="237" spans="1:21" ht="15.75" customHeight="1">
      <c r="A237" s="24" t="s">
        <v>132</v>
      </c>
      <c r="B237" s="25" t="str">
        <f t="shared" si="0"/>
        <v>C2D_100nm_tile1_1_</v>
      </c>
      <c r="C237" s="24" t="s">
        <v>1989</v>
      </c>
      <c r="D237" s="24" t="str">
        <f t="shared" si="1"/>
        <v>bossdb://lee2022/C2D_100nm_tile1_1_/C2D_100nm_tile1_1_/</v>
      </c>
      <c r="E237" s="24" t="s">
        <v>1752</v>
      </c>
      <c r="F237" s="32" t="s">
        <v>375</v>
      </c>
      <c r="G237" s="24" t="s">
        <v>1494</v>
      </c>
      <c r="H237" s="41" t="s">
        <v>858</v>
      </c>
      <c r="I237" s="24" t="s">
        <v>410</v>
      </c>
      <c r="J237" s="24" t="s">
        <v>411</v>
      </c>
      <c r="K237" s="14" t="b">
        <v>0</v>
      </c>
      <c r="L237" s="14" t="s">
        <v>2197</v>
      </c>
      <c r="M237" s="43" t="s">
        <v>413</v>
      </c>
      <c r="N237" s="14"/>
      <c r="O237" s="14"/>
      <c r="P237" s="14"/>
      <c r="Q237" s="14"/>
      <c r="R237" s="14"/>
      <c r="S237" s="14"/>
      <c r="T237" s="14"/>
      <c r="U237" s="14"/>
    </row>
    <row r="238" spans="1:21" ht="15.75" customHeight="1">
      <c r="A238" s="24" t="s">
        <v>134</v>
      </c>
      <c r="B238" s="25" t="str">
        <f t="shared" si="0"/>
        <v>C2D_100nm_tile1_2_</v>
      </c>
      <c r="C238" s="24" t="s">
        <v>1990</v>
      </c>
      <c r="D238" s="24" t="str">
        <f t="shared" si="1"/>
        <v>bossdb://lee2022/C2D_100nm_tile1_2_/C2D_100nm_tile1_2_/</v>
      </c>
      <c r="E238" s="24" t="s">
        <v>1752</v>
      </c>
      <c r="F238" s="32" t="s">
        <v>376</v>
      </c>
      <c r="G238" s="24" t="s">
        <v>1494</v>
      </c>
      <c r="H238" s="41" t="s">
        <v>858</v>
      </c>
      <c r="I238" s="24" t="s">
        <v>410</v>
      </c>
      <c r="J238" s="24" t="s">
        <v>411</v>
      </c>
      <c r="K238" s="14" t="b">
        <v>0</v>
      </c>
      <c r="L238" s="14" t="s">
        <v>2197</v>
      </c>
      <c r="M238" s="43" t="s">
        <v>413</v>
      </c>
      <c r="N238" s="14"/>
      <c r="O238" s="14"/>
      <c r="P238" s="14"/>
      <c r="Q238" s="14"/>
      <c r="R238" s="14"/>
      <c r="S238" s="14"/>
      <c r="T238" s="14"/>
      <c r="U238" s="14"/>
    </row>
    <row r="239" spans="1:21" ht="15.75" customHeight="1">
      <c r="A239" s="24" t="s">
        <v>136</v>
      </c>
      <c r="B239" s="25" t="str">
        <f t="shared" si="0"/>
        <v>C2D_100nm_tile1_3_</v>
      </c>
      <c r="C239" s="24" t="s">
        <v>1991</v>
      </c>
      <c r="D239" s="24" t="str">
        <f t="shared" si="1"/>
        <v>bossdb://lee2022/C2D_100nm_tile1_3_/C2D_100nm_tile1_3_/</v>
      </c>
      <c r="E239" s="24" t="s">
        <v>1752</v>
      </c>
      <c r="F239" s="32" t="s">
        <v>377</v>
      </c>
      <c r="G239" s="24" t="s">
        <v>1494</v>
      </c>
      <c r="H239" s="41" t="s">
        <v>858</v>
      </c>
      <c r="I239" s="24" t="s">
        <v>410</v>
      </c>
      <c r="J239" s="24" t="s">
        <v>411</v>
      </c>
      <c r="K239" s="14" t="b">
        <v>0</v>
      </c>
      <c r="L239" s="14" t="s">
        <v>2197</v>
      </c>
      <c r="M239" s="43" t="s">
        <v>413</v>
      </c>
      <c r="N239" s="14"/>
      <c r="O239" s="14"/>
      <c r="P239" s="14"/>
      <c r="Q239" s="14"/>
      <c r="R239" s="14"/>
      <c r="S239" s="14"/>
      <c r="T239" s="14"/>
      <c r="U239" s="14"/>
    </row>
    <row r="240" spans="1:21" ht="15.75" customHeight="1">
      <c r="A240" s="24" t="s">
        <v>138</v>
      </c>
      <c r="B240" s="25" t="str">
        <f t="shared" si="0"/>
        <v>C2D_100nm_tile1_4_</v>
      </c>
      <c r="C240" s="24" t="s">
        <v>1992</v>
      </c>
      <c r="D240" s="24" t="str">
        <f t="shared" si="1"/>
        <v>bossdb://lee2022/C2D_100nm_tile1_4_/C2D_100nm_tile1_4_/</v>
      </c>
      <c r="E240" s="24" t="s">
        <v>1752</v>
      </c>
      <c r="F240" s="32" t="s">
        <v>378</v>
      </c>
      <c r="G240" s="24" t="s">
        <v>1494</v>
      </c>
      <c r="H240" s="41" t="s">
        <v>858</v>
      </c>
      <c r="I240" s="24" t="s">
        <v>410</v>
      </c>
      <c r="J240" s="24" t="s">
        <v>411</v>
      </c>
      <c r="K240" s="14" t="b">
        <v>0</v>
      </c>
      <c r="L240" s="14" t="s">
        <v>2197</v>
      </c>
      <c r="M240" s="43" t="s">
        <v>413</v>
      </c>
      <c r="N240" s="14"/>
      <c r="O240" s="14"/>
      <c r="P240" s="14"/>
      <c r="Q240" s="14"/>
      <c r="R240" s="14"/>
      <c r="S240" s="14"/>
      <c r="T240" s="14"/>
      <c r="U240" s="14"/>
    </row>
    <row r="241" spans="1:21" ht="15.75" customHeight="1">
      <c r="A241" s="24" t="s">
        <v>140</v>
      </c>
      <c r="B241" s="25" t="str">
        <f t="shared" si="0"/>
        <v>C2D_100nm_tile2_</v>
      </c>
      <c r="C241" s="24" t="s">
        <v>1993</v>
      </c>
      <c r="D241" s="24" t="str">
        <f t="shared" si="1"/>
        <v>bossdb://lee2022/C2D_100nm_tile2_/C2D_100nm_tile2_/</v>
      </c>
      <c r="E241" s="24" t="s">
        <v>1752</v>
      </c>
      <c r="F241" s="32" t="s">
        <v>379</v>
      </c>
      <c r="G241" s="24" t="s">
        <v>1494</v>
      </c>
      <c r="H241" s="41" t="s">
        <v>858</v>
      </c>
      <c r="I241" s="24" t="s">
        <v>410</v>
      </c>
      <c r="J241" s="24" t="s">
        <v>411</v>
      </c>
      <c r="K241" s="14" t="b">
        <v>0</v>
      </c>
      <c r="L241" s="14" t="s">
        <v>2197</v>
      </c>
      <c r="M241" s="43" t="s">
        <v>413</v>
      </c>
      <c r="N241" s="14"/>
      <c r="O241" s="14"/>
      <c r="P241" s="14"/>
      <c r="Q241" s="14"/>
      <c r="R241" s="14"/>
      <c r="S241" s="14"/>
      <c r="T241" s="14"/>
      <c r="U241" s="14"/>
    </row>
    <row r="242" spans="1:21" ht="15.75" customHeight="1">
      <c r="A242" s="24" t="s">
        <v>142</v>
      </c>
      <c r="B242" s="25" t="str">
        <f t="shared" si="0"/>
        <v>C2D_100nm_tile2_1_</v>
      </c>
      <c r="C242" s="24" t="s">
        <v>1994</v>
      </c>
      <c r="D242" s="24" t="str">
        <f t="shared" si="1"/>
        <v>bossdb://lee2022/C2D_100nm_tile2_1_/C2D_100nm_tile2_1_/</v>
      </c>
      <c r="E242" s="24" t="s">
        <v>1752</v>
      </c>
      <c r="F242" s="32" t="s">
        <v>380</v>
      </c>
      <c r="G242" s="24" t="s">
        <v>1494</v>
      </c>
      <c r="H242" s="41" t="s">
        <v>858</v>
      </c>
      <c r="I242" s="24" t="s">
        <v>410</v>
      </c>
      <c r="J242" s="24" t="s">
        <v>411</v>
      </c>
      <c r="K242" s="14" t="b">
        <v>0</v>
      </c>
      <c r="L242" s="14" t="s">
        <v>2197</v>
      </c>
      <c r="M242" s="43" t="s">
        <v>413</v>
      </c>
      <c r="N242" s="14"/>
      <c r="O242" s="14"/>
      <c r="P242" s="14"/>
      <c r="Q242" s="14"/>
      <c r="R242" s="14"/>
      <c r="S242" s="14"/>
      <c r="T242" s="14"/>
      <c r="U242" s="14"/>
    </row>
    <row r="243" spans="1:21" ht="15.75" customHeight="1">
      <c r="A243" s="24" t="s">
        <v>144</v>
      </c>
      <c r="B243" s="25" t="str">
        <f t="shared" si="0"/>
        <v>C2D_100nm_tile2_2_</v>
      </c>
      <c r="C243" s="24" t="s">
        <v>1995</v>
      </c>
      <c r="D243" s="24" t="str">
        <f t="shared" si="1"/>
        <v>bossdb://lee2022/C2D_100nm_tile2_2_/C2D_100nm_tile2_2_/</v>
      </c>
      <c r="E243" s="24" t="s">
        <v>1752</v>
      </c>
      <c r="F243" s="32" t="s">
        <v>381</v>
      </c>
      <c r="G243" s="24" t="s">
        <v>1494</v>
      </c>
      <c r="H243" s="41" t="s">
        <v>858</v>
      </c>
      <c r="I243" s="24" t="s">
        <v>410</v>
      </c>
      <c r="J243" s="24" t="s">
        <v>411</v>
      </c>
      <c r="K243" s="14" t="b">
        <v>0</v>
      </c>
      <c r="L243" s="14" t="s">
        <v>2197</v>
      </c>
      <c r="M243" s="43" t="s">
        <v>413</v>
      </c>
      <c r="N243" s="14"/>
      <c r="O243" s="14"/>
      <c r="P243" s="14"/>
      <c r="Q243" s="14"/>
      <c r="R243" s="14"/>
      <c r="S243" s="14"/>
      <c r="T243" s="14"/>
      <c r="U243" s="14"/>
    </row>
    <row r="244" spans="1:21" ht="15.75" customHeight="1">
      <c r="A244" s="24" t="s">
        <v>146</v>
      </c>
      <c r="B244" s="25" t="str">
        <f t="shared" si="0"/>
        <v>C2D_100nm_tile2_3_</v>
      </c>
      <c r="C244" s="24" t="s">
        <v>1996</v>
      </c>
      <c r="D244" s="24" t="str">
        <f t="shared" si="1"/>
        <v>bossdb://lee2022/C2D_100nm_tile2_3_/C2D_100nm_tile2_3_/</v>
      </c>
      <c r="E244" s="24" t="s">
        <v>1752</v>
      </c>
      <c r="F244" s="32" t="s">
        <v>382</v>
      </c>
      <c r="G244" s="24" t="s">
        <v>1494</v>
      </c>
      <c r="H244" s="41" t="s">
        <v>858</v>
      </c>
      <c r="I244" s="24" t="s">
        <v>410</v>
      </c>
      <c r="J244" s="24" t="s">
        <v>411</v>
      </c>
      <c r="K244" s="14" t="b">
        <v>0</v>
      </c>
      <c r="L244" s="14" t="s">
        <v>2197</v>
      </c>
      <c r="M244" s="43" t="s">
        <v>413</v>
      </c>
      <c r="N244" s="14"/>
      <c r="O244" s="14"/>
      <c r="P244" s="14"/>
      <c r="Q244" s="14"/>
      <c r="R244" s="14"/>
      <c r="S244" s="14"/>
      <c r="T244" s="14"/>
      <c r="U244" s="14"/>
    </row>
    <row r="245" spans="1:21" ht="15.75" customHeight="1">
      <c r="A245" s="24" t="s">
        <v>148</v>
      </c>
      <c r="B245" s="25" t="str">
        <f t="shared" si="0"/>
        <v>C2D_100nm_tile2_4_</v>
      </c>
      <c r="C245" s="24" t="s">
        <v>1997</v>
      </c>
      <c r="D245" s="24" t="str">
        <f t="shared" si="1"/>
        <v>bossdb://lee2022/C2D_100nm_tile2_4_/C2D_100nm_tile2_4_/</v>
      </c>
      <c r="E245" s="24" t="s">
        <v>1752</v>
      </c>
      <c r="F245" s="32" t="s">
        <v>383</v>
      </c>
      <c r="G245" s="24" t="s">
        <v>1494</v>
      </c>
      <c r="H245" s="41" t="s">
        <v>858</v>
      </c>
      <c r="I245" s="24" t="s">
        <v>410</v>
      </c>
      <c r="J245" s="24" t="s">
        <v>411</v>
      </c>
      <c r="K245" s="14" t="b">
        <v>0</v>
      </c>
      <c r="L245" s="14" t="s">
        <v>2197</v>
      </c>
      <c r="M245" s="43" t="s">
        <v>413</v>
      </c>
      <c r="N245" s="14"/>
      <c r="O245" s="14"/>
      <c r="P245" s="14"/>
      <c r="Q245" s="14"/>
      <c r="R245" s="14"/>
      <c r="S245" s="14"/>
      <c r="T245" s="14"/>
      <c r="U245" s="14"/>
    </row>
    <row r="246" spans="1:21" ht="15.75" customHeight="1">
      <c r="A246" s="24" t="s">
        <v>152</v>
      </c>
      <c r="B246" s="25" t="str">
        <f t="shared" si="0"/>
        <v>C2D_100nm_tile3_1_</v>
      </c>
      <c r="C246" s="24" t="s">
        <v>1998</v>
      </c>
      <c r="D246" s="24" t="str">
        <f t="shared" si="1"/>
        <v>bossdb://lee2022/C2D_100nm_tile3_1_/C2D_100nm_tile3_1_/</v>
      </c>
      <c r="E246" s="24" t="s">
        <v>1752</v>
      </c>
      <c r="F246" s="32" t="s">
        <v>384</v>
      </c>
      <c r="G246" s="24" t="s">
        <v>1494</v>
      </c>
      <c r="H246" s="41" t="s">
        <v>858</v>
      </c>
      <c r="I246" s="24" t="s">
        <v>410</v>
      </c>
      <c r="J246" s="24" t="s">
        <v>411</v>
      </c>
      <c r="K246" s="14" t="b">
        <v>0</v>
      </c>
      <c r="L246" s="14" t="s">
        <v>2197</v>
      </c>
      <c r="M246" s="43" t="s">
        <v>413</v>
      </c>
      <c r="N246" s="14"/>
      <c r="O246" s="14"/>
      <c r="P246" s="14"/>
      <c r="Q246" s="14"/>
      <c r="R246" s="14"/>
      <c r="S246" s="14"/>
      <c r="T246" s="14"/>
      <c r="U246" s="14"/>
    </row>
    <row r="247" spans="1:21" ht="15.75" customHeight="1">
      <c r="A247" s="24" t="s">
        <v>154</v>
      </c>
      <c r="B247" s="25" t="str">
        <f t="shared" si="0"/>
        <v>C2D_100nm_tile3_2_</v>
      </c>
      <c r="C247" s="24" t="s">
        <v>1999</v>
      </c>
      <c r="D247" s="24" t="str">
        <f t="shared" si="1"/>
        <v>bossdb://lee2022/C2D_100nm_tile3_2_/C2D_100nm_tile3_2_/</v>
      </c>
      <c r="E247" s="24" t="s">
        <v>1752</v>
      </c>
      <c r="F247" s="32" t="s">
        <v>385</v>
      </c>
      <c r="G247" s="24" t="s">
        <v>1494</v>
      </c>
      <c r="H247" s="41" t="s">
        <v>858</v>
      </c>
      <c r="I247" s="24" t="s">
        <v>410</v>
      </c>
      <c r="J247" s="24" t="s">
        <v>411</v>
      </c>
      <c r="K247" s="14" t="b">
        <v>0</v>
      </c>
      <c r="L247" s="14" t="s">
        <v>2197</v>
      </c>
      <c r="M247" s="43" t="s">
        <v>413</v>
      </c>
      <c r="N247" s="14"/>
      <c r="O247" s="14"/>
      <c r="P247" s="14"/>
      <c r="Q247" s="14"/>
      <c r="R247" s="14"/>
      <c r="S247" s="14"/>
      <c r="T247" s="14"/>
      <c r="U247" s="14"/>
    </row>
    <row r="248" spans="1:21" ht="15.75" customHeight="1">
      <c r="A248" s="24" t="s">
        <v>156</v>
      </c>
      <c r="B248" s="25" t="str">
        <f t="shared" si="0"/>
        <v>C2D_100nm_tile3_3_</v>
      </c>
      <c r="C248" s="24" t="s">
        <v>2000</v>
      </c>
      <c r="D248" s="24" t="str">
        <f t="shared" si="1"/>
        <v>bossdb://lee2022/C2D_100nm_tile3_3_/C2D_100nm_tile3_3_/</v>
      </c>
      <c r="E248" s="24" t="s">
        <v>1752</v>
      </c>
      <c r="F248" s="32" t="s">
        <v>386</v>
      </c>
      <c r="G248" s="24" t="s">
        <v>1494</v>
      </c>
      <c r="H248" s="41" t="s">
        <v>858</v>
      </c>
      <c r="I248" s="24" t="s">
        <v>410</v>
      </c>
      <c r="J248" s="24" t="s">
        <v>411</v>
      </c>
      <c r="K248" s="14" t="b">
        <v>0</v>
      </c>
      <c r="L248" s="14" t="s">
        <v>2197</v>
      </c>
      <c r="M248" s="43" t="s">
        <v>413</v>
      </c>
      <c r="N248" s="14"/>
      <c r="O248" s="14"/>
      <c r="P248" s="14"/>
      <c r="Q248" s="14"/>
      <c r="R248" s="14"/>
      <c r="S248" s="14"/>
      <c r="T248" s="14"/>
      <c r="U248" s="14"/>
    </row>
    <row r="249" spans="1:21" ht="15.75" customHeight="1">
      <c r="A249" s="24" t="s">
        <v>158</v>
      </c>
      <c r="B249" s="25" t="str">
        <f t="shared" si="0"/>
        <v>C2D_100nm_tile3_4_</v>
      </c>
      <c r="C249" s="24" t="s">
        <v>2001</v>
      </c>
      <c r="D249" s="24" t="str">
        <f t="shared" si="1"/>
        <v>bossdb://lee2022/C2D_100nm_tile3_4_/C2D_100nm_tile3_4_/</v>
      </c>
      <c r="E249" s="24" t="s">
        <v>1752</v>
      </c>
      <c r="F249" s="32" t="s">
        <v>387</v>
      </c>
      <c r="G249" s="24" t="s">
        <v>1494</v>
      </c>
      <c r="H249" s="41" t="s">
        <v>858</v>
      </c>
      <c r="I249" s="24" t="s">
        <v>410</v>
      </c>
      <c r="J249" s="24" t="s">
        <v>411</v>
      </c>
      <c r="K249" s="14" t="b">
        <v>0</v>
      </c>
      <c r="L249" s="14" t="s">
        <v>2197</v>
      </c>
      <c r="M249" s="43" t="s">
        <v>413</v>
      </c>
      <c r="N249" s="14"/>
      <c r="O249" s="14"/>
      <c r="P249" s="14"/>
      <c r="Q249" s="14"/>
      <c r="R249" s="14"/>
      <c r="S249" s="14"/>
      <c r="T249" s="14"/>
      <c r="U249" s="14"/>
    </row>
    <row r="250" spans="1:21" ht="15.75" customHeight="1">
      <c r="A250" s="24" t="s">
        <v>162</v>
      </c>
      <c r="B250" s="25" t="str">
        <f t="shared" si="0"/>
        <v>C2D_100nm_tile4_1_</v>
      </c>
      <c r="C250" s="24" t="s">
        <v>2002</v>
      </c>
      <c r="D250" s="24" t="str">
        <f t="shared" si="1"/>
        <v>bossdb://lee2022/C2D_100nm_tile4_1_/C2D_100nm_tile4_1_/</v>
      </c>
      <c r="E250" s="24" t="s">
        <v>1752</v>
      </c>
      <c r="F250" s="32" t="s">
        <v>388</v>
      </c>
      <c r="G250" s="24" t="s">
        <v>1494</v>
      </c>
      <c r="H250" s="41" t="s">
        <v>858</v>
      </c>
      <c r="I250" s="24" t="s">
        <v>410</v>
      </c>
      <c r="J250" s="24" t="s">
        <v>411</v>
      </c>
      <c r="K250" s="14" t="b">
        <v>0</v>
      </c>
      <c r="L250" s="14" t="s">
        <v>2197</v>
      </c>
      <c r="M250" s="43" t="s">
        <v>413</v>
      </c>
      <c r="N250" s="14"/>
      <c r="O250" s="14"/>
      <c r="P250" s="14"/>
      <c r="Q250" s="14"/>
      <c r="R250" s="14"/>
      <c r="S250" s="14"/>
      <c r="T250" s="14"/>
      <c r="U250" s="14"/>
    </row>
    <row r="251" spans="1:21" ht="15.75" customHeight="1">
      <c r="A251" s="24" t="s">
        <v>164</v>
      </c>
      <c r="B251" s="25" t="str">
        <f t="shared" si="0"/>
        <v>C2D_100nm_tile4_2_</v>
      </c>
      <c r="C251" s="24" t="s">
        <v>2003</v>
      </c>
      <c r="D251" s="24" t="str">
        <f t="shared" si="1"/>
        <v>bossdb://lee2022/C2D_100nm_tile4_2_/C2D_100nm_tile4_2_/</v>
      </c>
      <c r="E251" s="24" t="s">
        <v>1752</v>
      </c>
      <c r="F251" s="32" t="s">
        <v>389</v>
      </c>
      <c r="G251" s="24" t="s">
        <v>1494</v>
      </c>
      <c r="H251" s="41" t="s">
        <v>858</v>
      </c>
      <c r="I251" s="24" t="s">
        <v>410</v>
      </c>
      <c r="J251" s="24" t="s">
        <v>411</v>
      </c>
      <c r="K251" s="14" t="b">
        <v>0</v>
      </c>
      <c r="L251" s="14" t="s">
        <v>2197</v>
      </c>
      <c r="M251" s="43" t="s">
        <v>413</v>
      </c>
      <c r="N251" s="14"/>
      <c r="O251" s="14"/>
      <c r="P251" s="14"/>
      <c r="Q251" s="14"/>
      <c r="R251" s="14"/>
      <c r="S251" s="14"/>
      <c r="T251" s="14"/>
      <c r="U251" s="14"/>
    </row>
    <row r="252" spans="1:21" ht="15.75" customHeight="1">
      <c r="A252" s="24" t="s">
        <v>166</v>
      </c>
      <c r="B252" s="25" t="str">
        <f t="shared" si="0"/>
        <v>C2D_100nm_tile4_3_</v>
      </c>
      <c r="C252" s="24" t="s">
        <v>2004</v>
      </c>
      <c r="D252" s="24" t="str">
        <f t="shared" si="1"/>
        <v>bossdb://lee2022/C2D_100nm_tile4_3_/C2D_100nm_tile4_3_/</v>
      </c>
      <c r="E252" s="24" t="s">
        <v>1752</v>
      </c>
      <c r="F252" s="32" t="s">
        <v>390</v>
      </c>
      <c r="G252" s="24" t="s">
        <v>1494</v>
      </c>
      <c r="H252" s="41" t="s">
        <v>858</v>
      </c>
      <c r="I252" s="24" t="s">
        <v>410</v>
      </c>
      <c r="J252" s="24" t="s">
        <v>411</v>
      </c>
      <c r="K252" s="14" t="b">
        <v>0</v>
      </c>
      <c r="L252" s="14" t="s">
        <v>2197</v>
      </c>
      <c r="M252" s="43" t="s">
        <v>413</v>
      </c>
      <c r="N252" s="14"/>
      <c r="O252" s="14"/>
      <c r="P252" s="14"/>
      <c r="Q252" s="14"/>
      <c r="R252" s="14"/>
      <c r="S252" s="14"/>
      <c r="T252" s="14"/>
      <c r="U252" s="14"/>
    </row>
    <row r="253" spans="1:21" ht="15.75" customHeight="1">
      <c r="A253" s="24" t="s">
        <v>168</v>
      </c>
      <c r="B253" s="25" t="str">
        <f t="shared" si="0"/>
        <v>C2D_ovw_160nm_sz1_</v>
      </c>
      <c r="C253" s="24" t="s">
        <v>2005</v>
      </c>
      <c r="D253" s="24" t="str">
        <f t="shared" si="1"/>
        <v>bossdb://lee2022/C2D_ovw_160nm_sz1_/C2D_ovw_160nm_sz1_/</v>
      </c>
      <c r="E253" s="24" t="s">
        <v>1752</v>
      </c>
      <c r="F253" s="32" t="s">
        <v>391</v>
      </c>
      <c r="G253" s="24" t="s">
        <v>1494</v>
      </c>
      <c r="H253" s="41" t="s">
        <v>858</v>
      </c>
      <c r="I253" s="24" t="s">
        <v>410</v>
      </c>
      <c r="J253" s="24" t="s">
        <v>411</v>
      </c>
      <c r="K253" s="14" t="b">
        <v>0</v>
      </c>
      <c r="L253" s="14" t="s">
        <v>2197</v>
      </c>
      <c r="M253" s="43" t="s">
        <v>413</v>
      </c>
      <c r="N253" s="14"/>
      <c r="O253" s="14"/>
      <c r="P253" s="14"/>
      <c r="Q253" s="14"/>
      <c r="R253" s="14"/>
      <c r="S253" s="14"/>
      <c r="T253" s="14"/>
      <c r="U253" s="14"/>
    </row>
    <row r="254" spans="1:21" ht="15.75" customHeight="1">
      <c r="A254" s="24" t="s">
        <v>170</v>
      </c>
      <c r="B254" s="25" t="str">
        <f t="shared" si="0"/>
        <v>C2D_ovw_160nm_sz1_1_</v>
      </c>
      <c r="C254" s="24" t="s">
        <v>2006</v>
      </c>
      <c r="D254" s="24" t="str">
        <f t="shared" si="1"/>
        <v>bossdb://lee2022/C2D_ovw_160nm_sz1_1_/C2D_ovw_160nm_sz1_1_/</v>
      </c>
      <c r="E254" s="24" t="s">
        <v>1752</v>
      </c>
      <c r="F254" s="32" t="s">
        <v>392</v>
      </c>
      <c r="G254" s="24" t="s">
        <v>1494</v>
      </c>
      <c r="H254" s="41" t="s">
        <v>858</v>
      </c>
      <c r="I254" s="24" t="s">
        <v>410</v>
      </c>
      <c r="J254" s="24" t="s">
        <v>411</v>
      </c>
      <c r="K254" s="14" t="b">
        <v>0</v>
      </c>
      <c r="L254" s="14" t="s">
        <v>2197</v>
      </c>
      <c r="M254" s="43" t="s">
        <v>413</v>
      </c>
      <c r="N254" s="14"/>
      <c r="O254" s="14"/>
      <c r="P254" s="14"/>
      <c r="Q254" s="14"/>
      <c r="R254" s="14"/>
      <c r="S254" s="14"/>
      <c r="T254" s="14"/>
      <c r="U254" s="14"/>
    </row>
    <row r="255" spans="1:21" ht="15.75" customHeight="1">
      <c r="A255" s="24" t="s">
        <v>172</v>
      </c>
      <c r="B255" s="25" t="str">
        <f t="shared" si="0"/>
        <v>pfinAaron</v>
      </c>
      <c r="C255" s="24" t="s">
        <v>2007</v>
      </c>
      <c r="D255" s="24" t="str">
        <f t="shared" si="1"/>
        <v>bossdb://lee2022/pfinAaron/pfinAaron/</v>
      </c>
      <c r="E255" s="24" t="s">
        <v>1752</v>
      </c>
      <c r="F255" s="32" t="s">
        <v>393</v>
      </c>
      <c r="G255" s="24" t="s">
        <v>1494</v>
      </c>
      <c r="H255" s="41" t="s">
        <v>858</v>
      </c>
      <c r="I255" s="24" t="s">
        <v>410</v>
      </c>
      <c r="J255" s="24" t="s">
        <v>411</v>
      </c>
      <c r="K255" s="14" t="b">
        <v>0</v>
      </c>
      <c r="L255" s="14" t="s">
        <v>2197</v>
      </c>
      <c r="M255" s="43" t="s">
        <v>413</v>
      </c>
      <c r="N255" s="14"/>
      <c r="O255" s="14"/>
      <c r="P255" s="14"/>
      <c r="Q255" s="14"/>
      <c r="R255" s="14"/>
      <c r="S255" s="14"/>
      <c r="T255" s="14"/>
      <c r="U255" s="14"/>
    </row>
    <row r="256" spans="1:21" ht="15.75" customHeight="1">
      <c r="A256" s="24" t="s">
        <v>174</v>
      </c>
      <c r="B256" s="25" t="str">
        <f t="shared" si="0"/>
        <v>pfinAaron_090nm_</v>
      </c>
      <c r="C256" s="24" t="s">
        <v>2008</v>
      </c>
      <c r="D256" s="24" t="str">
        <f t="shared" si="1"/>
        <v>bossdb://lee2022/pfinAaron_090nm_/pfinAaron_090nm_/</v>
      </c>
      <c r="E256" s="24" t="s">
        <v>1752</v>
      </c>
      <c r="F256" s="32" t="s">
        <v>394</v>
      </c>
      <c r="G256" s="24" t="s">
        <v>1494</v>
      </c>
      <c r="H256" s="41" t="s">
        <v>858</v>
      </c>
      <c r="I256" s="24" t="s">
        <v>410</v>
      </c>
      <c r="J256" s="24" t="s">
        <v>411</v>
      </c>
      <c r="K256" s="14" t="b">
        <v>0</v>
      </c>
      <c r="L256" s="14" t="s">
        <v>2197</v>
      </c>
      <c r="M256" s="43" t="s">
        <v>413</v>
      </c>
      <c r="N256" s="14"/>
      <c r="O256" s="14"/>
      <c r="P256" s="14"/>
      <c r="Q256" s="14"/>
      <c r="R256" s="14"/>
      <c r="S256" s="14"/>
      <c r="T256" s="14"/>
      <c r="U256" s="14"/>
    </row>
    <row r="257" spans="1:21" ht="15.75" customHeight="1">
      <c r="A257" s="5" t="s">
        <v>405</v>
      </c>
      <c r="B257" s="35" t="s">
        <v>406</v>
      </c>
      <c r="C257" s="24" t="s">
        <v>2040</v>
      </c>
      <c r="D257" s="5" t="s">
        <v>407</v>
      </c>
      <c r="E257" s="24" t="s">
        <v>1752</v>
      </c>
      <c r="F257" s="14" t="s">
        <v>408</v>
      </c>
      <c r="G257" s="5" t="s">
        <v>409</v>
      </c>
      <c r="H257" s="41" t="s">
        <v>858</v>
      </c>
      <c r="I257" s="5" t="s">
        <v>410</v>
      </c>
      <c r="J257" s="5" t="s">
        <v>411</v>
      </c>
      <c r="K257" s="14" t="b">
        <v>1</v>
      </c>
      <c r="L257" s="4" t="s">
        <v>412</v>
      </c>
      <c r="M257" s="43" t="s">
        <v>413</v>
      </c>
      <c r="N257" s="4"/>
      <c r="O257" s="4"/>
      <c r="P257" s="14"/>
      <c r="Q257" s="14"/>
      <c r="R257" s="14"/>
      <c r="S257" s="14"/>
      <c r="T257" s="14"/>
      <c r="U257" s="14"/>
    </row>
    <row r="258" spans="1:21" ht="15.75" customHeight="1">
      <c r="A258" s="5" t="s">
        <v>414</v>
      </c>
      <c r="B258" s="35" t="s">
        <v>406</v>
      </c>
      <c r="C258" s="24" t="s">
        <v>2041</v>
      </c>
      <c r="D258" s="5" t="s">
        <v>415</v>
      </c>
      <c r="E258" s="5" t="s">
        <v>1218</v>
      </c>
      <c r="F258" s="14" t="s">
        <v>408</v>
      </c>
      <c r="G258" s="5" t="s">
        <v>409</v>
      </c>
      <c r="H258" s="41" t="s">
        <v>858</v>
      </c>
      <c r="I258" s="5" t="s">
        <v>410</v>
      </c>
      <c r="J258" s="5" t="s">
        <v>411</v>
      </c>
      <c r="K258" s="14" t="b">
        <v>1</v>
      </c>
      <c r="L258" s="4" t="s">
        <v>412</v>
      </c>
      <c r="M258" s="43" t="s">
        <v>413</v>
      </c>
      <c r="N258" s="4"/>
      <c r="O258" s="4"/>
      <c r="P258" s="14"/>
      <c r="Q258" s="14"/>
      <c r="R258" s="14"/>
      <c r="S258" s="14"/>
      <c r="T258" s="14"/>
      <c r="U258" s="14"/>
    </row>
    <row r="259" spans="1:21" ht="15.75" customHeight="1">
      <c r="A259" s="5" t="s">
        <v>416</v>
      </c>
      <c r="B259" s="35" t="s">
        <v>406</v>
      </c>
      <c r="C259" s="24" t="s">
        <v>2042</v>
      </c>
      <c r="D259" s="5" t="s">
        <v>417</v>
      </c>
      <c r="E259" s="5" t="s">
        <v>1218</v>
      </c>
      <c r="F259" s="14" t="s">
        <v>408</v>
      </c>
      <c r="G259" s="5" t="s">
        <v>409</v>
      </c>
      <c r="H259" s="41" t="s">
        <v>858</v>
      </c>
      <c r="I259" s="5" t="s">
        <v>410</v>
      </c>
      <c r="J259" s="5" t="s">
        <v>411</v>
      </c>
      <c r="K259" s="14" t="b">
        <v>1</v>
      </c>
      <c r="L259" s="4" t="s">
        <v>412</v>
      </c>
      <c r="M259" s="43" t="s">
        <v>413</v>
      </c>
      <c r="N259" s="4"/>
      <c r="O259" s="4"/>
      <c r="P259" s="14"/>
      <c r="Q259" s="14"/>
      <c r="R259" s="14"/>
      <c r="S259" s="14"/>
      <c r="T259" s="14"/>
      <c r="U259" s="14"/>
    </row>
    <row r="260" spans="1:21" ht="17.25" customHeight="1">
      <c r="A260" s="5" t="s">
        <v>418</v>
      </c>
      <c r="B260" s="35" t="s">
        <v>406</v>
      </c>
      <c r="C260" s="24" t="s">
        <v>2043</v>
      </c>
      <c r="D260" s="5" t="s">
        <v>419</v>
      </c>
      <c r="E260" s="5" t="s">
        <v>1218</v>
      </c>
      <c r="F260" s="14" t="s">
        <v>408</v>
      </c>
      <c r="G260" s="5" t="s">
        <v>409</v>
      </c>
      <c r="H260" s="41" t="s">
        <v>858</v>
      </c>
      <c r="I260" s="5" t="s">
        <v>410</v>
      </c>
      <c r="J260" s="5" t="s">
        <v>411</v>
      </c>
      <c r="K260" s="14" t="b">
        <v>1</v>
      </c>
      <c r="L260" s="4" t="s">
        <v>412</v>
      </c>
      <c r="M260" s="43" t="s">
        <v>413</v>
      </c>
      <c r="N260" s="4"/>
      <c r="O260" s="4"/>
      <c r="P260" s="14"/>
      <c r="Q260" s="14"/>
      <c r="R260" s="14"/>
      <c r="S260" s="14"/>
      <c r="T260" s="14"/>
      <c r="U260" s="14"/>
    </row>
    <row r="261" spans="1:21" ht="17.25" customHeight="1">
      <c r="A261" s="5" t="s">
        <v>420</v>
      </c>
      <c r="B261" s="35" t="s">
        <v>406</v>
      </c>
      <c r="C261" s="24" t="s">
        <v>2044</v>
      </c>
      <c r="D261" s="5" t="s">
        <v>421</v>
      </c>
      <c r="E261" s="5" t="s">
        <v>1218</v>
      </c>
      <c r="F261" s="14" t="s">
        <v>408</v>
      </c>
      <c r="G261" s="5" t="s">
        <v>409</v>
      </c>
      <c r="H261" s="41" t="s">
        <v>858</v>
      </c>
      <c r="I261" s="5" t="s">
        <v>410</v>
      </c>
      <c r="J261" s="5" t="s">
        <v>411</v>
      </c>
      <c r="K261" s="14" t="b">
        <v>1</v>
      </c>
      <c r="L261" s="4" t="s">
        <v>412</v>
      </c>
      <c r="M261" s="4" t="s">
        <v>413</v>
      </c>
      <c r="N261" s="4"/>
      <c r="O261" s="4"/>
      <c r="P261" s="14"/>
      <c r="Q261" s="14"/>
      <c r="R261" s="14"/>
      <c r="S261" s="14"/>
      <c r="T261" s="14"/>
      <c r="U261" s="14"/>
    </row>
    <row r="262" spans="1:21" ht="17.25" customHeight="1">
      <c r="A262" s="38" t="s">
        <v>406</v>
      </c>
      <c r="B262" s="36" t="s">
        <v>406</v>
      </c>
      <c r="C262" s="44" t="s">
        <v>2045</v>
      </c>
      <c r="D262" s="23" t="s">
        <v>2186</v>
      </c>
      <c r="E262" s="5" t="s">
        <v>1226</v>
      </c>
      <c r="F262" s="45"/>
      <c r="G262" s="23" t="s">
        <v>409</v>
      </c>
      <c r="H262" s="41" t="s">
        <v>858</v>
      </c>
      <c r="I262" s="45"/>
      <c r="J262" s="38" t="s">
        <v>411</v>
      </c>
      <c r="K262" s="14" t="b">
        <v>1</v>
      </c>
      <c r="L262" s="22"/>
      <c r="M262" s="4" t="s">
        <v>413</v>
      </c>
      <c r="N262" s="4"/>
      <c r="O262" s="4"/>
      <c r="P262" s="14"/>
      <c r="Q262" s="14"/>
      <c r="R262" s="14"/>
      <c r="S262" s="14"/>
      <c r="T262" s="14"/>
      <c r="U262" s="14"/>
    </row>
    <row r="263" spans="1:21" ht="15.75" customHeight="1">
      <c r="A263" s="5" t="s">
        <v>422</v>
      </c>
      <c r="B263" s="6" t="s">
        <v>423</v>
      </c>
      <c r="C263" s="24" t="s">
        <v>2046</v>
      </c>
      <c r="D263" s="5" t="s">
        <v>424</v>
      </c>
      <c r="E263" s="5" t="s">
        <v>1230</v>
      </c>
      <c r="F263" s="5" t="s">
        <v>425</v>
      </c>
      <c r="G263" s="5" t="s">
        <v>409</v>
      </c>
      <c r="H263" s="41" t="s">
        <v>858</v>
      </c>
      <c r="I263" s="5" t="s">
        <v>410</v>
      </c>
      <c r="J263" s="5" t="s">
        <v>411</v>
      </c>
      <c r="K263" s="14" t="b">
        <v>1</v>
      </c>
      <c r="L263" s="5" t="s">
        <v>426</v>
      </c>
      <c r="M263" s="4" t="s">
        <v>413</v>
      </c>
      <c r="N263" s="4"/>
      <c r="O263" s="4"/>
      <c r="P263" s="14"/>
      <c r="Q263" s="14"/>
      <c r="R263" s="14"/>
      <c r="S263" s="14"/>
      <c r="T263" s="14"/>
      <c r="U263" s="14"/>
    </row>
    <row r="264" spans="1:21" ht="15.75" customHeight="1">
      <c r="A264" s="5" t="s">
        <v>427</v>
      </c>
      <c r="B264" s="6" t="s">
        <v>423</v>
      </c>
      <c r="C264" s="24" t="s">
        <v>2047</v>
      </c>
      <c r="D264" s="5" t="s">
        <v>428</v>
      </c>
      <c r="E264" s="5" t="s">
        <v>1230</v>
      </c>
      <c r="F264" s="14" t="s">
        <v>425</v>
      </c>
      <c r="G264" s="5" t="s">
        <v>409</v>
      </c>
      <c r="H264" s="41" t="s">
        <v>858</v>
      </c>
      <c r="I264" s="5" t="s">
        <v>410</v>
      </c>
      <c r="J264" s="14" t="s">
        <v>411</v>
      </c>
      <c r="K264" s="14" t="b">
        <v>1</v>
      </c>
      <c r="L264" s="5" t="s">
        <v>426</v>
      </c>
      <c r="M264" s="4" t="s">
        <v>413</v>
      </c>
      <c r="N264" s="4"/>
      <c r="O264" s="4"/>
      <c r="P264" s="14"/>
      <c r="Q264" s="14"/>
      <c r="R264" s="14"/>
      <c r="S264" s="14"/>
      <c r="T264" s="14"/>
      <c r="U264" s="14"/>
    </row>
    <row r="265" spans="1:21" ht="15.75" customHeight="1">
      <c r="A265" s="5" t="s">
        <v>429</v>
      </c>
      <c r="B265" s="6" t="s">
        <v>423</v>
      </c>
      <c r="C265" s="24" t="s">
        <v>2048</v>
      </c>
      <c r="D265" s="5" t="s">
        <v>430</v>
      </c>
      <c r="E265" s="5" t="s">
        <v>1230</v>
      </c>
      <c r="F265" s="14" t="s">
        <v>425</v>
      </c>
      <c r="G265" s="5" t="s">
        <v>409</v>
      </c>
      <c r="H265" s="41" t="s">
        <v>858</v>
      </c>
      <c r="I265" s="5" t="s">
        <v>410</v>
      </c>
      <c r="J265" s="14" t="s">
        <v>411</v>
      </c>
      <c r="K265" s="14" t="b">
        <v>1</v>
      </c>
      <c r="L265" s="5" t="s">
        <v>426</v>
      </c>
      <c r="M265" s="4" t="s">
        <v>413</v>
      </c>
      <c r="N265" s="4"/>
      <c r="O265" s="4"/>
      <c r="P265" s="14"/>
      <c r="Q265" s="14"/>
      <c r="R265" s="14"/>
      <c r="S265" s="14"/>
      <c r="T265" s="14"/>
      <c r="U265" s="14"/>
    </row>
    <row r="266" spans="1:21" ht="15.75" customHeight="1">
      <c r="A266" s="5" t="s">
        <v>431</v>
      </c>
      <c r="B266" s="6" t="s">
        <v>423</v>
      </c>
      <c r="C266" s="24" t="s">
        <v>2049</v>
      </c>
      <c r="D266" s="5" t="s">
        <v>432</v>
      </c>
      <c r="E266" s="5" t="s">
        <v>1230</v>
      </c>
      <c r="F266" s="14" t="s">
        <v>425</v>
      </c>
      <c r="G266" s="5" t="s">
        <v>409</v>
      </c>
      <c r="H266" s="41" t="s">
        <v>858</v>
      </c>
      <c r="I266" s="5" t="s">
        <v>410</v>
      </c>
      <c r="J266" s="14" t="s">
        <v>411</v>
      </c>
      <c r="K266" s="14" t="b">
        <v>1</v>
      </c>
      <c r="L266" s="5" t="s">
        <v>426</v>
      </c>
      <c r="M266" s="4" t="s">
        <v>413</v>
      </c>
      <c r="N266" s="4"/>
      <c r="O266" s="4"/>
      <c r="P266" s="14"/>
      <c r="Q266" s="14"/>
      <c r="R266" s="14"/>
      <c r="S266" s="14"/>
      <c r="T266" s="14"/>
      <c r="U266" s="14"/>
    </row>
    <row r="267" spans="1:21" ht="15.75" customHeight="1">
      <c r="A267" s="5" t="s">
        <v>433</v>
      </c>
      <c r="B267" s="6" t="s">
        <v>423</v>
      </c>
      <c r="C267" s="24" t="s">
        <v>2050</v>
      </c>
      <c r="D267" s="5" t="s">
        <v>434</v>
      </c>
      <c r="E267" s="5" t="s">
        <v>1230</v>
      </c>
      <c r="F267" s="5" t="s">
        <v>425</v>
      </c>
      <c r="G267" s="5" t="s">
        <v>409</v>
      </c>
      <c r="H267" s="41" t="s">
        <v>858</v>
      </c>
      <c r="I267" s="5" t="s">
        <v>410</v>
      </c>
      <c r="J267" s="14" t="s">
        <v>411</v>
      </c>
      <c r="K267" s="14" t="b">
        <v>1</v>
      </c>
      <c r="L267" s="5" t="s">
        <v>426</v>
      </c>
      <c r="M267" s="4" t="s">
        <v>413</v>
      </c>
      <c r="N267" s="4"/>
      <c r="O267" s="4"/>
      <c r="P267" s="14"/>
      <c r="Q267" s="14"/>
      <c r="R267" s="14"/>
      <c r="S267" s="14"/>
      <c r="T267" s="14"/>
      <c r="U267" s="14"/>
    </row>
    <row r="268" spans="1:21" ht="15.75" customHeight="1">
      <c r="A268" s="5" t="s">
        <v>435</v>
      </c>
      <c r="B268" s="6" t="s">
        <v>423</v>
      </c>
      <c r="C268" s="24" t="s">
        <v>2051</v>
      </c>
      <c r="D268" s="5" t="s">
        <v>436</v>
      </c>
      <c r="E268" s="5" t="s">
        <v>1230</v>
      </c>
      <c r="F268" s="5" t="s">
        <v>425</v>
      </c>
      <c r="G268" s="5" t="s">
        <v>409</v>
      </c>
      <c r="H268" s="41" t="s">
        <v>858</v>
      </c>
      <c r="I268" s="5" t="s">
        <v>410</v>
      </c>
      <c r="J268" s="14" t="s">
        <v>411</v>
      </c>
      <c r="K268" s="14" t="b">
        <v>1</v>
      </c>
      <c r="L268" s="5" t="s">
        <v>426</v>
      </c>
      <c r="M268" s="4" t="s">
        <v>413</v>
      </c>
      <c r="N268" s="4"/>
      <c r="O268" s="4"/>
      <c r="P268" s="14"/>
      <c r="Q268" s="14"/>
      <c r="R268" s="14"/>
      <c r="S268" s="14"/>
      <c r="T268" s="14"/>
      <c r="U268" s="14"/>
    </row>
    <row r="269" spans="1:21" ht="15.75" customHeight="1">
      <c r="A269" s="5" t="s">
        <v>437</v>
      </c>
      <c r="B269" s="6" t="s">
        <v>423</v>
      </c>
      <c r="C269" s="24" t="s">
        <v>2052</v>
      </c>
      <c r="D269" s="5" t="s">
        <v>438</v>
      </c>
      <c r="E269" s="5" t="s">
        <v>1230</v>
      </c>
      <c r="F269" s="14" t="s">
        <v>425</v>
      </c>
      <c r="G269" s="5" t="s">
        <v>409</v>
      </c>
      <c r="H269" s="41" t="s">
        <v>858</v>
      </c>
      <c r="I269" s="5" t="s">
        <v>410</v>
      </c>
      <c r="J269" s="14" t="s">
        <v>411</v>
      </c>
      <c r="K269" s="14" t="b">
        <v>1</v>
      </c>
      <c r="L269" s="5" t="s">
        <v>426</v>
      </c>
      <c r="M269" s="4" t="s">
        <v>413</v>
      </c>
      <c r="N269" s="4"/>
      <c r="O269" s="4"/>
      <c r="P269" s="14"/>
      <c r="Q269" s="14"/>
      <c r="R269" s="14"/>
      <c r="S269" s="14"/>
      <c r="T269" s="14"/>
      <c r="U269" s="14"/>
    </row>
    <row r="270" spans="1:21" ht="15.75" customHeight="1">
      <c r="A270" s="5" t="s">
        <v>439</v>
      </c>
      <c r="B270" s="6" t="s">
        <v>423</v>
      </c>
      <c r="C270" s="24" t="s">
        <v>2053</v>
      </c>
      <c r="D270" s="5" t="s">
        <v>440</v>
      </c>
      <c r="E270" s="5" t="s">
        <v>1230</v>
      </c>
      <c r="F270" s="5" t="s">
        <v>425</v>
      </c>
      <c r="G270" s="5" t="s">
        <v>409</v>
      </c>
      <c r="H270" s="41" t="s">
        <v>858</v>
      </c>
      <c r="I270" s="5" t="s">
        <v>410</v>
      </c>
      <c r="J270" s="14" t="s">
        <v>411</v>
      </c>
      <c r="K270" s="14" t="b">
        <v>1</v>
      </c>
      <c r="L270" s="5" t="s">
        <v>426</v>
      </c>
      <c r="M270" s="4" t="s">
        <v>413</v>
      </c>
      <c r="N270" s="4"/>
      <c r="O270" s="4"/>
      <c r="P270" s="14"/>
      <c r="Q270" s="14"/>
      <c r="R270" s="14"/>
      <c r="S270" s="14"/>
      <c r="T270" s="14"/>
      <c r="U270" s="14"/>
    </row>
    <row r="271" spans="1:21" ht="15.75" customHeight="1">
      <c r="A271" s="5" t="s">
        <v>441</v>
      </c>
      <c r="B271" s="6" t="s">
        <v>423</v>
      </c>
      <c r="C271" s="24" t="s">
        <v>2054</v>
      </c>
      <c r="D271" s="5" t="s">
        <v>442</v>
      </c>
      <c r="E271" s="5" t="s">
        <v>1230</v>
      </c>
      <c r="F271" s="14" t="s">
        <v>425</v>
      </c>
      <c r="G271" s="5" t="s">
        <v>409</v>
      </c>
      <c r="H271" s="41" t="s">
        <v>858</v>
      </c>
      <c r="I271" s="5" t="s">
        <v>410</v>
      </c>
      <c r="J271" s="14" t="s">
        <v>411</v>
      </c>
      <c r="K271" s="14" t="b">
        <v>1</v>
      </c>
      <c r="L271" s="5" t="s">
        <v>426</v>
      </c>
      <c r="M271" s="4" t="s">
        <v>413</v>
      </c>
      <c r="N271" s="4"/>
      <c r="O271" s="4"/>
      <c r="P271" s="14"/>
      <c r="Q271" s="14"/>
      <c r="R271" s="14"/>
      <c r="S271" s="14"/>
      <c r="T271" s="14"/>
      <c r="U271" s="14"/>
    </row>
    <row r="272" spans="1:21" ht="15.75" customHeight="1">
      <c r="A272" s="5" t="s">
        <v>443</v>
      </c>
      <c r="B272" s="6" t="s">
        <v>423</v>
      </c>
      <c r="C272" s="24" t="s">
        <v>2055</v>
      </c>
      <c r="D272" s="5" t="s">
        <v>444</v>
      </c>
      <c r="E272" s="5" t="s">
        <v>1230</v>
      </c>
      <c r="F272" s="14" t="s">
        <v>425</v>
      </c>
      <c r="G272" s="5" t="s">
        <v>409</v>
      </c>
      <c r="H272" s="41" t="s">
        <v>858</v>
      </c>
      <c r="I272" s="5" t="s">
        <v>410</v>
      </c>
      <c r="J272" s="14" t="s">
        <v>411</v>
      </c>
      <c r="K272" s="14" t="b">
        <v>1</v>
      </c>
      <c r="L272" s="5" t="s">
        <v>426</v>
      </c>
      <c r="M272" s="4" t="s">
        <v>413</v>
      </c>
      <c r="N272" s="4"/>
      <c r="O272" s="4"/>
      <c r="P272" s="14"/>
      <c r="Q272" s="14"/>
      <c r="R272" s="14"/>
      <c r="S272" s="14"/>
      <c r="T272" s="14"/>
      <c r="U272" s="14"/>
    </row>
    <row r="273" spans="1:21" ht="15.75" customHeight="1">
      <c r="A273" s="5" t="s">
        <v>445</v>
      </c>
      <c r="B273" s="6" t="s">
        <v>423</v>
      </c>
      <c r="C273" s="24" t="s">
        <v>2056</v>
      </c>
      <c r="D273" s="5" t="s">
        <v>446</v>
      </c>
      <c r="E273" s="5" t="s">
        <v>1230</v>
      </c>
      <c r="F273" s="14" t="s">
        <v>425</v>
      </c>
      <c r="G273" s="5" t="s">
        <v>409</v>
      </c>
      <c r="H273" s="41" t="s">
        <v>858</v>
      </c>
      <c r="I273" s="5" t="s">
        <v>410</v>
      </c>
      <c r="J273" s="14" t="s">
        <v>411</v>
      </c>
      <c r="K273" s="14" t="b">
        <v>1</v>
      </c>
      <c r="L273" s="5" t="s">
        <v>426</v>
      </c>
      <c r="M273" s="4" t="s">
        <v>413</v>
      </c>
      <c r="N273" s="4"/>
      <c r="O273" s="4"/>
      <c r="P273" s="14"/>
      <c r="Q273" s="14"/>
      <c r="R273" s="14"/>
      <c r="S273" s="14"/>
      <c r="T273" s="14"/>
      <c r="U273" s="14"/>
    </row>
    <row r="274" spans="1:21" ht="15.75" customHeight="1">
      <c r="A274" s="5" t="s">
        <v>447</v>
      </c>
      <c r="B274" s="6" t="s">
        <v>423</v>
      </c>
      <c r="C274" s="24" t="s">
        <v>2057</v>
      </c>
      <c r="D274" s="5" t="s">
        <v>448</v>
      </c>
      <c r="E274" s="5" t="s">
        <v>1230</v>
      </c>
      <c r="F274" s="14" t="s">
        <v>425</v>
      </c>
      <c r="G274" s="5" t="s">
        <v>409</v>
      </c>
      <c r="H274" s="41" t="s">
        <v>858</v>
      </c>
      <c r="I274" s="5" t="s">
        <v>410</v>
      </c>
      <c r="J274" s="14" t="s">
        <v>411</v>
      </c>
      <c r="K274" s="14" t="b">
        <v>1</v>
      </c>
      <c r="L274" s="5" t="s">
        <v>426</v>
      </c>
      <c r="M274" s="4" t="s">
        <v>413</v>
      </c>
      <c r="N274" s="4"/>
      <c r="O274" s="4"/>
      <c r="P274" s="14"/>
      <c r="Q274" s="14"/>
      <c r="R274" s="14"/>
      <c r="S274" s="14"/>
      <c r="T274" s="14"/>
      <c r="U274" s="14"/>
    </row>
    <row r="275" spans="1:21" ht="15.75" customHeight="1">
      <c r="A275" s="5" t="s">
        <v>449</v>
      </c>
      <c r="B275" s="6" t="s">
        <v>423</v>
      </c>
      <c r="C275" s="24" t="s">
        <v>2058</v>
      </c>
      <c r="D275" s="5" t="s">
        <v>450</v>
      </c>
      <c r="E275" s="5" t="s">
        <v>1230</v>
      </c>
      <c r="F275" s="14" t="s">
        <v>425</v>
      </c>
      <c r="G275" s="5" t="s">
        <v>409</v>
      </c>
      <c r="H275" s="41" t="s">
        <v>858</v>
      </c>
      <c r="I275" s="5" t="s">
        <v>410</v>
      </c>
      <c r="J275" s="14" t="s">
        <v>411</v>
      </c>
      <c r="K275" s="14" t="b">
        <v>1</v>
      </c>
      <c r="L275" s="5" t="s">
        <v>426</v>
      </c>
      <c r="M275" s="4" t="s">
        <v>413</v>
      </c>
      <c r="N275" s="4"/>
      <c r="O275" s="4"/>
      <c r="P275" s="14"/>
      <c r="Q275" s="14"/>
      <c r="R275" s="14"/>
      <c r="S275" s="14"/>
      <c r="T275" s="14"/>
      <c r="U275" s="14"/>
    </row>
    <row r="276" spans="1:21" ht="15.75" customHeight="1">
      <c r="A276" s="5" t="s">
        <v>451</v>
      </c>
      <c r="B276" s="6" t="s">
        <v>406</v>
      </c>
      <c r="C276" s="24" t="s">
        <v>2059</v>
      </c>
      <c r="D276" s="5" t="s">
        <v>452</v>
      </c>
      <c r="E276" s="5" t="s">
        <v>1235</v>
      </c>
      <c r="F276" s="14" t="s">
        <v>453</v>
      </c>
      <c r="G276" s="5" t="s">
        <v>409</v>
      </c>
      <c r="H276" s="41" t="s">
        <v>858</v>
      </c>
      <c r="I276" s="5" t="s">
        <v>410</v>
      </c>
      <c r="J276" s="5" t="s">
        <v>411</v>
      </c>
      <c r="K276" s="14" t="b">
        <v>1</v>
      </c>
      <c r="L276" s="5" t="s">
        <v>454</v>
      </c>
      <c r="M276" s="4" t="s">
        <v>413</v>
      </c>
      <c r="N276" s="4"/>
      <c r="O276" s="4"/>
      <c r="P276" s="14"/>
      <c r="Q276" s="14"/>
      <c r="R276" s="14"/>
      <c r="S276" s="14"/>
      <c r="T276" s="14"/>
      <c r="U276" s="14"/>
    </row>
    <row r="277" spans="1:21" ht="15.75" customHeight="1">
      <c r="A277" s="5" t="s">
        <v>455</v>
      </c>
      <c r="B277" s="6" t="s">
        <v>406</v>
      </c>
      <c r="C277" s="24" t="s">
        <v>2060</v>
      </c>
      <c r="D277" s="5" t="s">
        <v>456</v>
      </c>
      <c r="E277" s="5" t="s">
        <v>1235</v>
      </c>
      <c r="F277" s="14" t="s">
        <v>453</v>
      </c>
      <c r="G277" s="5" t="s">
        <v>409</v>
      </c>
      <c r="H277" s="41" t="s">
        <v>858</v>
      </c>
      <c r="I277" s="5" t="s">
        <v>410</v>
      </c>
      <c r="J277" s="5" t="s">
        <v>411</v>
      </c>
      <c r="K277" s="14" t="b">
        <v>1</v>
      </c>
      <c r="L277" s="5" t="s">
        <v>454</v>
      </c>
      <c r="M277" s="4" t="s">
        <v>413</v>
      </c>
      <c r="N277" s="4"/>
      <c r="O277" s="4"/>
      <c r="P277" s="14"/>
      <c r="Q277" s="14"/>
      <c r="R277" s="14"/>
      <c r="S277" s="14"/>
      <c r="T277" s="14"/>
      <c r="U277" s="14"/>
    </row>
    <row r="278" spans="1:21" ht="15.75" customHeight="1">
      <c r="A278" s="5" t="s">
        <v>457</v>
      </c>
      <c r="B278" s="6" t="s">
        <v>406</v>
      </c>
      <c r="C278" s="24" t="s">
        <v>2061</v>
      </c>
      <c r="D278" s="5" t="s">
        <v>458</v>
      </c>
      <c r="E278" s="5" t="s">
        <v>1240</v>
      </c>
      <c r="F278" s="14" t="s">
        <v>459</v>
      </c>
      <c r="G278" s="5" t="s">
        <v>409</v>
      </c>
      <c r="H278" s="41" t="s">
        <v>858</v>
      </c>
      <c r="I278" s="5" t="s">
        <v>410</v>
      </c>
      <c r="J278" s="14" t="s">
        <v>411</v>
      </c>
      <c r="K278" s="14" t="b">
        <v>1</v>
      </c>
      <c r="L278" s="5" t="s">
        <v>460</v>
      </c>
      <c r="M278" s="4" t="s">
        <v>413</v>
      </c>
      <c r="N278" s="4"/>
      <c r="O278" s="4"/>
      <c r="P278" s="14"/>
      <c r="Q278" s="14"/>
      <c r="R278" s="14"/>
      <c r="S278" s="14"/>
      <c r="T278" s="14"/>
      <c r="U278" s="14"/>
    </row>
    <row r="279" spans="1:21" ht="15.75" customHeight="1">
      <c r="A279" s="5" t="s">
        <v>461</v>
      </c>
      <c r="B279" s="6" t="s">
        <v>406</v>
      </c>
      <c r="C279" s="24" t="s">
        <v>2062</v>
      </c>
      <c r="D279" s="5" t="s">
        <v>462</v>
      </c>
      <c r="E279" s="5" t="s">
        <v>1240</v>
      </c>
      <c r="F279" s="14" t="s">
        <v>459</v>
      </c>
      <c r="G279" s="5" t="s">
        <v>409</v>
      </c>
      <c r="H279" s="41" t="s">
        <v>858</v>
      </c>
      <c r="I279" s="5" t="s">
        <v>410</v>
      </c>
      <c r="J279" s="14" t="s">
        <v>411</v>
      </c>
      <c r="K279" s="14" t="b">
        <v>1</v>
      </c>
      <c r="L279" s="5" t="s">
        <v>460</v>
      </c>
      <c r="M279" s="4" t="s">
        <v>413</v>
      </c>
      <c r="N279" s="4"/>
      <c r="O279" s="4"/>
      <c r="P279" s="14"/>
      <c r="Q279" s="14"/>
      <c r="R279" s="14"/>
      <c r="S279" s="14"/>
      <c r="T279" s="14"/>
      <c r="U279" s="14"/>
    </row>
    <row r="280" spans="1:21" ht="15.75" customHeight="1">
      <c r="A280" s="5" t="s">
        <v>406</v>
      </c>
      <c r="B280" s="6" t="s">
        <v>406</v>
      </c>
      <c r="C280" s="24" t="s">
        <v>2063</v>
      </c>
      <c r="D280" s="5" t="s">
        <v>463</v>
      </c>
      <c r="E280" s="5" t="s">
        <v>1244</v>
      </c>
      <c r="F280" s="14" t="s">
        <v>464</v>
      </c>
      <c r="G280" s="5" t="s">
        <v>409</v>
      </c>
      <c r="H280" s="41" t="s">
        <v>858</v>
      </c>
      <c r="I280" s="5" t="s">
        <v>410</v>
      </c>
      <c r="J280" s="14" t="s">
        <v>411</v>
      </c>
      <c r="K280" s="14" t="b">
        <v>1</v>
      </c>
      <c r="L280" s="5" t="s">
        <v>465</v>
      </c>
      <c r="M280" s="4" t="s">
        <v>413</v>
      </c>
      <c r="N280" s="4"/>
      <c r="O280" s="4"/>
      <c r="P280" s="14"/>
      <c r="Q280" s="14"/>
      <c r="R280" s="14"/>
      <c r="S280" s="14"/>
      <c r="T280" s="14"/>
      <c r="U280" s="14"/>
    </row>
    <row r="281" spans="1:21" ht="15.75" customHeight="1">
      <c r="A281" s="5" t="s">
        <v>466</v>
      </c>
      <c r="B281" s="6" t="s">
        <v>466</v>
      </c>
      <c r="C281" s="24" t="s">
        <v>2064</v>
      </c>
      <c r="D281" s="5" t="s">
        <v>467</v>
      </c>
      <c r="E281" s="5" t="s">
        <v>1244</v>
      </c>
      <c r="F281" s="14" t="s">
        <v>464</v>
      </c>
      <c r="G281" s="5" t="s">
        <v>409</v>
      </c>
      <c r="H281" s="41" t="s">
        <v>858</v>
      </c>
      <c r="I281" s="5" t="s">
        <v>410</v>
      </c>
      <c r="J281" s="14" t="s">
        <v>411</v>
      </c>
      <c r="K281" s="14" t="b">
        <v>1</v>
      </c>
      <c r="L281" s="5" t="s">
        <v>465</v>
      </c>
      <c r="M281" s="4" t="s">
        <v>413</v>
      </c>
      <c r="N281" s="4"/>
      <c r="O281" s="4"/>
      <c r="P281" s="14"/>
      <c r="Q281" s="14"/>
      <c r="R281" s="14"/>
      <c r="S281" s="14"/>
      <c r="T281" s="14"/>
      <c r="U281" s="14"/>
    </row>
    <row r="282" spans="1:21" ht="15.75" customHeight="1">
      <c r="A282" s="5" t="s">
        <v>468</v>
      </c>
      <c r="B282" s="6" t="s">
        <v>468</v>
      </c>
      <c r="C282" s="24" t="s">
        <v>2065</v>
      </c>
      <c r="D282" s="5" t="s">
        <v>469</v>
      </c>
      <c r="E282" s="5" t="s">
        <v>1244</v>
      </c>
      <c r="F282" s="14" t="s">
        <v>464</v>
      </c>
      <c r="G282" s="5" t="s">
        <v>409</v>
      </c>
      <c r="H282" s="41" t="s">
        <v>858</v>
      </c>
      <c r="I282" s="5" t="s">
        <v>410</v>
      </c>
      <c r="J282" s="14" t="s">
        <v>411</v>
      </c>
      <c r="K282" s="14" t="b">
        <v>1</v>
      </c>
      <c r="L282" s="5" t="s">
        <v>465</v>
      </c>
      <c r="M282" s="4" t="s">
        <v>413</v>
      </c>
      <c r="N282" s="4"/>
      <c r="O282" s="4"/>
      <c r="P282" s="14"/>
      <c r="Q282" s="14"/>
      <c r="R282" s="14"/>
      <c r="S282" s="14"/>
      <c r="T282" s="14"/>
      <c r="U282" s="14"/>
    </row>
    <row r="283" spans="1:21" ht="15.75" customHeight="1">
      <c r="A283" s="5" t="s">
        <v>406</v>
      </c>
      <c r="B283" s="6" t="s">
        <v>406</v>
      </c>
      <c r="C283" s="24" t="s">
        <v>2066</v>
      </c>
      <c r="D283" s="5" t="s">
        <v>470</v>
      </c>
      <c r="E283" s="5" t="s">
        <v>1244</v>
      </c>
      <c r="F283" s="14" t="s">
        <v>464</v>
      </c>
      <c r="G283" s="5" t="s">
        <v>409</v>
      </c>
      <c r="H283" s="41" t="s">
        <v>858</v>
      </c>
      <c r="I283" s="5" t="s">
        <v>410</v>
      </c>
      <c r="J283" s="14" t="s">
        <v>411</v>
      </c>
      <c r="K283" s="14" t="b">
        <v>1</v>
      </c>
      <c r="L283" s="5" t="s">
        <v>465</v>
      </c>
      <c r="M283" s="4" t="s">
        <v>413</v>
      </c>
      <c r="N283" s="4"/>
      <c r="O283" s="4"/>
      <c r="P283" s="14"/>
      <c r="Q283" s="14"/>
      <c r="R283" s="14"/>
      <c r="S283" s="14"/>
      <c r="T283" s="14"/>
      <c r="U283" s="14"/>
    </row>
    <row r="284" spans="1:21" ht="15.75" customHeight="1">
      <c r="A284" s="5" t="s">
        <v>466</v>
      </c>
      <c r="B284" s="6" t="s">
        <v>466</v>
      </c>
      <c r="C284" s="24" t="s">
        <v>2067</v>
      </c>
      <c r="D284" s="5" t="s">
        <v>471</v>
      </c>
      <c r="E284" s="5" t="s">
        <v>1244</v>
      </c>
      <c r="F284" s="14" t="s">
        <v>464</v>
      </c>
      <c r="G284" s="5" t="s">
        <v>409</v>
      </c>
      <c r="H284" s="41" t="s">
        <v>858</v>
      </c>
      <c r="I284" s="5" t="s">
        <v>410</v>
      </c>
      <c r="J284" s="14" t="s">
        <v>411</v>
      </c>
      <c r="K284" s="14" t="b">
        <v>1</v>
      </c>
      <c r="L284" s="5" t="s">
        <v>465</v>
      </c>
      <c r="M284" s="4" t="s">
        <v>413</v>
      </c>
      <c r="N284" s="4"/>
      <c r="O284" s="4"/>
      <c r="P284" s="14"/>
      <c r="Q284" s="14"/>
      <c r="R284" s="14"/>
      <c r="S284" s="14"/>
      <c r="T284" s="14"/>
      <c r="U284" s="14"/>
    </row>
    <row r="285" spans="1:21" ht="15.75" customHeight="1">
      <c r="A285" s="5" t="s">
        <v>468</v>
      </c>
      <c r="B285" s="6" t="s">
        <v>468</v>
      </c>
      <c r="C285" s="24" t="s">
        <v>2068</v>
      </c>
      <c r="D285" s="5" t="s">
        <v>472</v>
      </c>
      <c r="E285" s="5" t="s">
        <v>1244</v>
      </c>
      <c r="F285" s="14" t="s">
        <v>464</v>
      </c>
      <c r="G285" s="5" t="s">
        <v>409</v>
      </c>
      <c r="H285" s="41" t="s">
        <v>858</v>
      </c>
      <c r="I285" s="5" t="s">
        <v>410</v>
      </c>
      <c r="J285" s="14" t="s">
        <v>411</v>
      </c>
      <c r="K285" s="14" t="b">
        <v>1</v>
      </c>
      <c r="L285" s="5" t="s">
        <v>465</v>
      </c>
      <c r="M285" s="4" t="s">
        <v>413</v>
      </c>
      <c r="N285" s="4"/>
      <c r="O285" s="4"/>
      <c r="P285" s="14"/>
      <c r="Q285" s="14"/>
      <c r="R285" s="14"/>
      <c r="S285" s="14"/>
      <c r="T285" s="14"/>
      <c r="U285" s="14"/>
    </row>
    <row r="286" spans="1:21" ht="15.75" customHeight="1">
      <c r="A286" s="5" t="s">
        <v>406</v>
      </c>
      <c r="B286" s="6" t="s">
        <v>406</v>
      </c>
      <c r="C286" s="24" t="s">
        <v>2069</v>
      </c>
      <c r="D286" s="5" t="s">
        <v>473</v>
      </c>
      <c r="E286" s="5" t="s">
        <v>1244</v>
      </c>
      <c r="F286" s="14" t="s">
        <v>464</v>
      </c>
      <c r="G286" s="5" t="s">
        <v>409</v>
      </c>
      <c r="H286" s="41" t="s">
        <v>858</v>
      </c>
      <c r="I286" s="5" t="s">
        <v>410</v>
      </c>
      <c r="J286" s="14" t="s">
        <v>411</v>
      </c>
      <c r="K286" s="14" t="b">
        <v>1</v>
      </c>
      <c r="L286" s="5" t="s">
        <v>465</v>
      </c>
      <c r="M286" s="4" t="s">
        <v>413</v>
      </c>
      <c r="N286" s="4"/>
      <c r="O286" s="4"/>
      <c r="P286" s="14"/>
      <c r="Q286" s="14"/>
      <c r="R286" s="14"/>
      <c r="S286" s="14"/>
      <c r="T286" s="14"/>
      <c r="U286" s="14"/>
    </row>
    <row r="287" spans="1:21" ht="15.75" customHeight="1">
      <c r="A287" s="5" t="s">
        <v>466</v>
      </c>
      <c r="B287" s="6" t="s">
        <v>466</v>
      </c>
      <c r="C287" s="24" t="s">
        <v>2070</v>
      </c>
      <c r="D287" s="5" t="s">
        <v>474</v>
      </c>
      <c r="E287" s="5" t="s">
        <v>1244</v>
      </c>
      <c r="F287" s="14" t="s">
        <v>464</v>
      </c>
      <c r="G287" s="5" t="s">
        <v>409</v>
      </c>
      <c r="H287" s="41" t="s">
        <v>858</v>
      </c>
      <c r="I287" s="5" t="s">
        <v>410</v>
      </c>
      <c r="J287" s="14" t="s">
        <v>411</v>
      </c>
      <c r="K287" s="14" t="b">
        <v>1</v>
      </c>
      <c r="L287" s="5" t="s">
        <v>465</v>
      </c>
      <c r="M287" s="4" t="s">
        <v>413</v>
      </c>
      <c r="N287" s="4"/>
      <c r="O287" s="4"/>
      <c r="P287" s="14"/>
      <c r="Q287" s="14"/>
      <c r="R287" s="14"/>
      <c r="S287" s="14"/>
      <c r="T287" s="14"/>
      <c r="U287" s="14"/>
    </row>
    <row r="288" spans="1:21" ht="15.75" customHeight="1">
      <c r="A288" s="5" t="s">
        <v>468</v>
      </c>
      <c r="B288" s="6" t="s">
        <v>468</v>
      </c>
      <c r="C288" s="24" t="s">
        <v>2071</v>
      </c>
      <c r="D288" s="5" t="s">
        <v>475</v>
      </c>
      <c r="E288" s="5" t="s">
        <v>1244</v>
      </c>
      <c r="F288" s="14" t="s">
        <v>464</v>
      </c>
      <c r="G288" s="5" t="s">
        <v>409</v>
      </c>
      <c r="H288" s="41" t="s">
        <v>858</v>
      </c>
      <c r="I288" s="5" t="s">
        <v>410</v>
      </c>
      <c r="J288" s="14" t="s">
        <v>411</v>
      </c>
      <c r="K288" s="14" t="b">
        <v>1</v>
      </c>
      <c r="L288" s="5" t="s">
        <v>465</v>
      </c>
      <c r="M288" s="4" t="s">
        <v>413</v>
      </c>
      <c r="N288" s="4"/>
      <c r="O288" s="4"/>
      <c r="P288" s="14"/>
      <c r="Q288" s="14"/>
      <c r="R288" s="14"/>
      <c r="S288" s="14"/>
      <c r="T288" s="14"/>
      <c r="U288" s="14"/>
    </row>
    <row r="289" spans="1:21" ht="15.75" customHeight="1">
      <c r="A289" s="5" t="s">
        <v>406</v>
      </c>
      <c r="B289" s="6" t="s">
        <v>406</v>
      </c>
      <c r="C289" s="24" t="s">
        <v>2072</v>
      </c>
      <c r="D289" s="5" t="s">
        <v>476</v>
      </c>
      <c r="E289" s="5" t="s">
        <v>1244</v>
      </c>
      <c r="F289" s="14" t="s">
        <v>464</v>
      </c>
      <c r="G289" s="5" t="s">
        <v>409</v>
      </c>
      <c r="H289" s="41" t="s">
        <v>858</v>
      </c>
      <c r="I289" s="5" t="s">
        <v>410</v>
      </c>
      <c r="J289" s="14" t="s">
        <v>411</v>
      </c>
      <c r="K289" s="14" t="b">
        <v>1</v>
      </c>
      <c r="L289" s="5" t="s">
        <v>465</v>
      </c>
      <c r="M289" s="4" t="s">
        <v>413</v>
      </c>
      <c r="N289" s="4"/>
      <c r="O289" s="4"/>
      <c r="P289" s="14"/>
      <c r="Q289" s="14"/>
      <c r="R289" s="14"/>
      <c r="S289" s="14"/>
      <c r="T289" s="14"/>
      <c r="U289" s="14"/>
    </row>
    <row r="290" spans="1:21" ht="15.75" customHeight="1">
      <c r="A290" s="5" t="s">
        <v>466</v>
      </c>
      <c r="B290" s="6" t="s">
        <v>466</v>
      </c>
      <c r="C290" s="24" t="s">
        <v>2073</v>
      </c>
      <c r="D290" s="5" t="s">
        <v>477</v>
      </c>
      <c r="E290" s="5" t="s">
        <v>1244</v>
      </c>
      <c r="F290" s="14" t="s">
        <v>464</v>
      </c>
      <c r="G290" s="5" t="s">
        <v>409</v>
      </c>
      <c r="H290" s="41" t="s">
        <v>858</v>
      </c>
      <c r="I290" s="5" t="s">
        <v>410</v>
      </c>
      <c r="J290" s="14" t="s">
        <v>411</v>
      </c>
      <c r="K290" s="14" t="b">
        <v>1</v>
      </c>
      <c r="L290" s="5" t="s">
        <v>465</v>
      </c>
      <c r="M290" s="4" t="s">
        <v>413</v>
      </c>
      <c r="N290" s="4"/>
      <c r="O290" s="4"/>
      <c r="P290" s="14"/>
      <c r="Q290" s="14"/>
      <c r="R290" s="14"/>
      <c r="S290" s="14"/>
      <c r="T290" s="14"/>
      <c r="U290" s="14"/>
    </row>
    <row r="291" spans="1:21" ht="15.75" customHeight="1">
      <c r="A291" s="5" t="s">
        <v>468</v>
      </c>
      <c r="B291" s="6" t="s">
        <v>468</v>
      </c>
      <c r="C291" s="24" t="s">
        <v>2074</v>
      </c>
      <c r="D291" s="5" t="s">
        <v>478</v>
      </c>
      <c r="E291" s="5" t="s">
        <v>1244</v>
      </c>
      <c r="F291" s="14" t="s">
        <v>464</v>
      </c>
      <c r="G291" s="5" t="s">
        <v>409</v>
      </c>
      <c r="H291" s="41" t="s">
        <v>858</v>
      </c>
      <c r="I291" s="5" t="s">
        <v>410</v>
      </c>
      <c r="J291" s="14" t="s">
        <v>411</v>
      </c>
      <c r="K291" s="14" t="b">
        <v>1</v>
      </c>
      <c r="L291" s="5" t="s">
        <v>465</v>
      </c>
      <c r="M291" s="4" t="s">
        <v>413</v>
      </c>
      <c r="N291" s="4"/>
      <c r="O291" s="4"/>
      <c r="P291" s="14"/>
      <c r="Q291" s="14"/>
      <c r="R291" s="14"/>
      <c r="S291" s="14"/>
      <c r="T291" s="14"/>
      <c r="U291" s="14"/>
    </row>
    <row r="292" spans="1:21" ht="15.75" customHeight="1">
      <c r="A292" s="5" t="s">
        <v>406</v>
      </c>
      <c r="B292" s="6" t="s">
        <v>406</v>
      </c>
      <c r="C292" s="24" t="s">
        <v>2075</v>
      </c>
      <c r="D292" s="5" t="s">
        <v>479</v>
      </c>
      <c r="E292" s="5" t="s">
        <v>1244</v>
      </c>
      <c r="F292" s="14" t="s">
        <v>464</v>
      </c>
      <c r="G292" s="5" t="s">
        <v>409</v>
      </c>
      <c r="H292" s="41" t="s">
        <v>858</v>
      </c>
      <c r="I292" s="5" t="s">
        <v>410</v>
      </c>
      <c r="J292" s="14" t="s">
        <v>411</v>
      </c>
      <c r="K292" s="14" t="b">
        <v>1</v>
      </c>
      <c r="L292" s="5" t="s">
        <v>465</v>
      </c>
      <c r="M292" s="4" t="s">
        <v>413</v>
      </c>
      <c r="N292" s="4"/>
      <c r="O292" s="4"/>
      <c r="P292" s="14"/>
      <c r="Q292" s="14"/>
      <c r="R292" s="14"/>
      <c r="S292" s="14"/>
      <c r="T292" s="14"/>
      <c r="U292" s="14"/>
    </row>
    <row r="293" spans="1:21" ht="15.75" customHeight="1">
      <c r="A293" s="5" t="s">
        <v>466</v>
      </c>
      <c r="B293" s="6" t="s">
        <v>466</v>
      </c>
      <c r="C293" s="24" t="s">
        <v>2076</v>
      </c>
      <c r="D293" s="5" t="s">
        <v>480</v>
      </c>
      <c r="E293" s="5" t="s">
        <v>1244</v>
      </c>
      <c r="F293" s="14" t="s">
        <v>464</v>
      </c>
      <c r="G293" s="5" t="s">
        <v>409</v>
      </c>
      <c r="H293" s="41" t="s">
        <v>858</v>
      </c>
      <c r="I293" s="5" t="s">
        <v>410</v>
      </c>
      <c r="J293" s="14" t="s">
        <v>411</v>
      </c>
      <c r="K293" s="14" t="b">
        <v>1</v>
      </c>
      <c r="L293" s="5" t="s">
        <v>465</v>
      </c>
      <c r="M293" s="4" t="s">
        <v>413</v>
      </c>
      <c r="N293" s="4"/>
      <c r="O293" s="4"/>
      <c r="P293" s="14"/>
      <c r="Q293" s="14"/>
      <c r="R293" s="14"/>
      <c r="S293" s="14"/>
      <c r="T293" s="14"/>
      <c r="U293" s="14"/>
    </row>
    <row r="294" spans="1:21" ht="15.75" customHeight="1">
      <c r="A294" s="5" t="s">
        <v>468</v>
      </c>
      <c r="B294" s="6" t="s">
        <v>468</v>
      </c>
      <c r="C294" s="24" t="s">
        <v>2077</v>
      </c>
      <c r="D294" s="5" t="s">
        <v>481</v>
      </c>
      <c r="E294" s="5" t="s">
        <v>1244</v>
      </c>
      <c r="F294" s="14" t="s">
        <v>464</v>
      </c>
      <c r="G294" s="5" t="s">
        <v>409</v>
      </c>
      <c r="H294" s="41" t="s">
        <v>858</v>
      </c>
      <c r="I294" s="5" t="s">
        <v>410</v>
      </c>
      <c r="J294" s="14" t="s">
        <v>411</v>
      </c>
      <c r="K294" s="14" t="b">
        <v>1</v>
      </c>
      <c r="L294" s="5" t="s">
        <v>465</v>
      </c>
      <c r="M294" s="4" t="s">
        <v>413</v>
      </c>
      <c r="N294" s="4"/>
      <c r="O294" s="4"/>
      <c r="P294" s="14"/>
      <c r="Q294" s="14"/>
      <c r="R294" s="14"/>
      <c r="S294" s="14"/>
      <c r="T294" s="14"/>
      <c r="U294" s="14"/>
    </row>
    <row r="295" spans="1:21" ht="15.75" customHeight="1">
      <c r="A295" s="5" t="s">
        <v>406</v>
      </c>
      <c r="B295" s="6" t="s">
        <v>406</v>
      </c>
      <c r="C295" s="24" t="s">
        <v>2078</v>
      </c>
      <c r="D295" s="5" t="s">
        <v>482</v>
      </c>
      <c r="E295" s="5" t="s">
        <v>1244</v>
      </c>
      <c r="F295" s="14" t="s">
        <v>464</v>
      </c>
      <c r="G295" s="5" t="s">
        <v>409</v>
      </c>
      <c r="H295" s="41" t="s">
        <v>858</v>
      </c>
      <c r="I295" s="5" t="s">
        <v>410</v>
      </c>
      <c r="J295" s="14" t="s">
        <v>411</v>
      </c>
      <c r="K295" s="14" t="b">
        <v>1</v>
      </c>
      <c r="L295" s="5" t="s">
        <v>465</v>
      </c>
      <c r="M295" s="4" t="s">
        <v>413</v>
      </c>
      <c r="N295" s="4"/>
      <c r="O295" s="4"/>
      <c r="P295" s="14"/>
      <c r="Q295" s="14"/>
      <c r="R295" s="14"/>
      <c r="S295" s="14"/>
      <c r="T295" s="14"/>
      <c r="U295" s="14"/>
    </row>
    <row r="296" spans="1:21" ht="15.75" customHeight="1">
      <c r="A296" s="5" t="s">
        <v>466</v>
      </c>
      <c r="B296" s="6" t="s">
        <v>466</v>
      </c>
      <c r="C296" s="24" t="s">
        <v>2079</v>
      </c>
      <c r="D296" s="5" t="s">
        <v>483</v>
      </c>
      <c r="E296" s="5" t="s">
        <v>1244</v>
      </c>
      <c r="F296" s="14" t="s">
        <v>464</v>
      </c>
      <c r="G296" s="5" t="s">
        <v>409</v>
      </c>
      <c r="H296" s="41" t="s">
        <v>858</v>
      </c>
      <c r="I296" s="5" t="s">
        <v>410</v>
      </c>
      <c r="J296" s="14" t="s">
        <v>411</v>
      </c>
      <c r="K296" s="14" t="b">
        <v>1</v>
      </c>
      <c r="L296" s="5" t="s">
        <v>465</v>
      </c>
      <c r="M296" s="4" t="s">
        <v>413</v>
      </c>
      <c r="N296" s="4"/>
      <c r="O296" s="4"/>
      <c r="P296" s="14"/>
      <c r="Q296" s="14"/>
      <c r="R296" s="14"/>
      <c r="S296" s="14"/>
      <c r="T296" s="14"/>
      <c r="U296" s="14"/>
    </row>
    <row r="297" spans="1:21" ht="15.75" customHeight="1">
      <c r="A297" s="5" t="s">
        <v>406</v>
      </c>
      <c r="B297" s="6" t="s">
        <v>406</v>
      </c>
      <c r="C297" s="24" t="s">
        <v>2080</v>
      </c>
      <c r="D297" s="5" t="s">
        <v>484</v>
      </c>
      <c r="E297" s="5" t="s">
        <v>1244</v>
      </c>
      <c r="F297" s="14" t="s">
        <v>464</v>
      </c>
      <c r="G297" s="5" t="s">
        <v>409</v>
      </c>
      <c r="H297" s="41" t="s">
        <v>858</v>
      </c>
      <c r="I297" s="5" t="s">
        <v>410</v>
      </c>
      <c r="J297" s="14" t="s">
        <v>411</v>
      </c>
      <c r="K297" s="14" t="b">
        <v>1</v>
      </c>
      <c r="L297" s="5" t="s">
        <v>465</v>
      </c>
      <c r="M297" s="4" t="s">
        <v>413</v>
      </c>
      <c r="N297" s="4"/>
      <c r="O297" s="4"/>
      <c r="P297" s="14"/>
      <c r="Q297" s="14"/>
      <c r="R297" s="14"/>
      <c r="S297" s="14"/>
      <c r="T297" s="14"/>
      <c r="U297" s="14"/>
    </row>
    <row r="298" spans="1:21" ht="15.75" customHeight="1">
      <c r="A298" s="5" t="s">
        <v>406</v>
      </c>
      <c r="B298" s="6" t="s">
        <v>406</v>
      </c>
      <c r="C298" s="24" t="s">
        <v>2081</v>
      </c>
      <c r="D298" s="5" t="s">
        <v>485</v>
      </c>
      <c r="E298" s="5" t="s">
        <v>1244</v>
      </c>
      <c r="F298" s="14" t="s">
        <v>464</v>
      </c>
      <c r="G298" s="5" t="s">
        <v>409</v>
      </c>
      <c r="H298" s="41" t="s">
        <v>858</v>
      </c>
      <c r="I298" s="5" t="s">
        <v>410</v>
      </c>
      <c r="J298" s="14" t="s">
        <v>411</v>
      </c>
      <c r="K298" s="14" t="b">
        <v>1</v>
      </c>
      <c r="L298" s="5" t="s">
        <v>465</v>
      </c>
      <c r="M298" s="4" t="s">
        <v>413</v>
      </c>
      <c r="N298" s="4"/>
      <c r="O298" s="4"/>
      <c r="P298" s="14"/>
      <c r="Q298" s="14"/>
      <c r="R298" s="14"/>
      <c r="S298" s="14"/>
      <c r="T298" s="14"/>
      <c r="U298" s="14"/>
    </row>
    <row r="299" spans="1:21" ht="15.75" customHeight="1">
      <c r="A299" s="5" t="s">
        <v>466</v>
      </c>
      <c r="B299" s="6" t="s">
        <v>466</v>
      </c>
      <c r="C299" s="24" t="s">
        <v>2082</v>
      </c>
      <c r="D299" s="5" t="s">
        <v>486</v>
      </c>
      <c r="E299" s="5" t="s">
        <v>1244</v>
      </c>
      <c r="F299" s="14" t="s">
        <v>464</v>
      </c>
      <c r="G299" s="5" t="s">
        <v>409</v>
      </c>
      <c r="H299" s="41" t="s">
        <v>858</v>
      </c>
      <c r="I299" s="5" t="s">
        <v>410</v>
      </c>
      <c r="J299" s="14" t="s">
        <v>411</v>
      </c>
      <c r="K299" s="14" t="b">
        <v>1</v>
      </c>
      <c r="L299" s="5" t="s">
        <v>465</v>
      </c>
      <c r="M299" s="4" t="s">
        <v>413</v>
      </c>
      <c r="N299" s="4"/>
      <c r="O299" s="4"/>
      <c r="P299" s="14"/>
      <c r="Q299" s="14"/>
      <c r="R299" s="14"/>
      <c r="S299" s="14"/>
      <c r="T299" s="14"/>
      <c r="U299" s="14"/>
    </row>
    <row r="300" spans="1:21" ht="15.75" customHeight="1">
      <c r="A300" s="5" t="s">
        <v>468</v>
      </c>
      <c r="B300" s="6" t="s">
        <v>468</v>
      </c>
      <c r="C300" s="24" t="s">
        <v>2083</v>
      </c>
      <c r="D300" s="5" t="s">
        <v>487</v>
      </c>
      <c r="E300" s="5" t="s">
        <v>1244</v>
      </c>
      <c r="F300" s="14" t="s">
        <v>464</v>
      </c>
      <c r="G300" s="5" t="s">
        <v>409</v>
      </c>
      <c r="H300" s="41" t="s">
        <v>858</v>
      </c>
      <c r="I300" s="5" t="s">
        <v>410</v>
      </c>
      <c r="J300" s="14" t="s">
        <v>411</v>
      </c>
      <c r="K300" s="14" t="b">
        <v>1</v>
      </c>
      <c r="L300" s="5" t="s">
        <v>465</v>
      </c>
      <c r="M300" s="4" t="s">
        <v>413</v>
      </c>
      <c r="N300" s="4"/>
      <c r="O300" s="4"/>
      <c r="P300" s="14"/>
      <c r="Q300" s="14"/>
      <c r="R300" s="14"/>
      <c r="S300" s="14"/>
      <c r="T300" s="14"/>
      <c r="U300" s="14"/>
    </row>
    <row r="301" spans="1:21" ht="15.75" customHeight="1">
      <c r="A301" s="5" t="s">
        <v>489</v>
      </c>
      <c r="B301" s="6" t="s">
        <v>490</v>
      </c>
      <c r="C301" s="24" t="s">
        <v>2084</v>
      </c>
      <c r="D301" s="5" t="s">
        <v>491</v>
      </c>
      <c r="E301" s="5" t="s">
        <v>1226</v>
      </c>
      <c r="F301" s="27" t="s">
        <v>488</v>
      </c>
      <c r="G301" s="5" t="s">
        <v>409</v>
      </c>
      <c r="H301" s="41" t="s">
        <v>858</v>
      </c>
      <c r="I301" s="5" t="s">
        <v>410</v>
      </c>
      <c r="J301" s="14" t="s">
        <v>411</v>
      </c>
      <c r="K301" s="14" t="b">
        <v>1</v>
      </c>
      <c r="L301" s="4" t="s">
        <v>2427</v>
      </c>
      <c r="M301" s="4" t="s">
        <v>413</v>
      </c>
      <c r="N301" s="4"/>
      <c r="O301" s="4"/>
      <c r="P301" s="14"/>
      <c r="Q301" s="14"/>
      <c r="R301" s="14"/>
      <c r="S301" s="14"/>
      <c r="T301" s="14"/>
      <c r="U301" s="14"/>
    </row>
    <row r="302" spans="1:21" ht="15.75" customHeight="1">
      <c r="A302" s="5" t="s">
        <v>489</v>
      </c>
      <c r="B302" s="6" t="s">
        <v>406</v>
      </c>
      <c r="C302" s="24" t="s">
        <v>2085</v>
      </c>
      <c r="D302" s="5" t="s">
        <v>492</v>
      </c>
      <c r="E302" s="5" t="s">
        <v>1226</v>
      </c>
      <c r="F302" s="14" t="s">
        <v>488</v>
      </c>
      <c r="G302" s="5" t="s">
        <v>409</v>
      </c>
      <c r="H302" s="41" t="s">
        <v>858</v>
      </c>
      <c r="I302" s="5" t="s">
        <v>410</v>
      </c>
      <c r="J302" s="14" t="s">
        <v>411</v>
      </c>
      <c r="K302" s="14" t="b">
        <v>1</v>
      </c>
      <c r="L302" s="4" t="s">
        <v>2427</v>
      </c>
      <c r="M302" s="4" t="s">
        <v>413</v>
      </c>
      <c r="N302" s="4"/>
      <c r="O302" s="4"/>
      <c r="P302" s="14"/>
      <c r="Q302" s="14"/>
      <c r="R302" s="14"/>
      <c r="S302" s="14"/>
      <c r="T302" s="14"/>
      <c r="U302" s="14"/>
    </row>
    <row r="303" spans="1:21" ht="15.75" customHeight="1">
      <c r="A303" s="5" t="s">
        <v>489</v>
      </c>
      <c r="B303" s="6" t="s">
        <v>493</v>
      </c>
      <c r="C303" s="24" t="s">
        <v>2086</v>
      </c>
      <c r="D303" s="5" t="s">
        <v>494</v>
      </c>
      <c r="E303" s="5" t="s">
        <v>1226</v>
      </c>
      <c r="F303" s="14" t="s">
        <v>488</v>
      </c>
      <c r="G303" s="5" t="s">
        <v>409</v>
      </c>
      <c r="H303" s="41" t="s">
        <v>858</v>
      </c>
      <c r="I303" s="5" t="s">
        <v>410</v>
      </c>
      <c r="J303" s="14" t="s">
        <v>411</v>
      </c>
      <c r="K303" s="14" t="b">
        <v>1</v>
      </c>
      <c r="L303" s="4" t="s">
        <v>2427</v>
      </c>
      <c r="M303" s="4" t="s">
        <v>413</v>
      </c>
      <c r="N303" s="4"/>
      <c r="O303" s="4"/>
      <c r="P303" s="14"/>
      <c r="Q303" s="14"/>
      <c r="R303" s="14"/>
      <c r="S303" s="14"/>
      <c r="T303" s="14"/>
      <c r="U303" s="14"/>
    </row>
    <row r="304" spans="1:21" ht="15.75" customHeight="1">
      <c r="A304" s="5" t="s">
        <v>489</v>
      </c>
      <c r="B304" s="6" t="s">
        <v>495</v>
      </c>
      <c r="C304" s="24" t="s">
        <v>2087</v>
      </c>
      <c r="D304" s="5" t="s">
        <v>496</v>
      </c>
      <c r="E304" s="5" t="s">
        <v>1226</v>
      </c>
      <c r="F304" s="14" t="s">
        <v>488</v>
      </c>
      <c r="G304" s="5" t="s">
        <v>409</v>
      </c>
      <c r="H304" s="41" t="s">
        <v>858</v>
      </c>
      <c r="I304" s="5" t="s">
        <v>410</v>
      </c>
      <c r="J304" s="14" t="s">
        <v>411</v>
      </c>
      <c r="K304" s="14" t="b">
        <v>1</v>
      </c>
      <c r="L304" s="4" t="s">
        <v>2427</v>
      </c>
      <c r="M304" s="4" t="s">
        <v>413</v>
      </c>
      <c r="N304" s="4"/>
      <c r="O304" s="4"/>
      <c r="P304" s="14"/>
      <c r="Q304" s="14"/>
      <c r="R304" s="14"/>
      <c r="S304" s="14"/>
      <c r="T304" s="14"/>
      <c r="U304" s="14"/>
    </row>
    <row r="305" spans="1:21" ht="15.75" customHeight="1">
      <c r="A305" s="5" t="s">
        <v>497</v>
      </c>
      <c r="B305" s="6" t="s">
        <v>490</v>
      </c>
      <c r="C305" s="24" t="s">
        <v>2088</v>
      </c>
      <c r="D305" s="5" t="s">
        <v>498</v>
      </c>
      <c r="E305" s="5" t="s">
        <v>1226</v>
      </c>
      <c r="F305" s="14" t="s">
        <v>488</v>
      </c>
      <c r="G305" s="5" t="s">
        <v>409</v>
      </c>
      <c r="H305" s="41" t="s">
        <v>858</v>
      </c>
      <c r="I305" s="5" t="s">
        <v>410</v>
      </c>
      <c r="J305" s="14" t="s">
        <v>411</v>
      </c>
      <c r="K305" s="14" t="b">
        <v>1</v>
      </c>
      <c r="L305" s="4" t="s">
        <v>2427</v>
      </c>
      <c r="M305" s="4" t="s">
        <v>413</v>
      </c>
      <c r="N305" s="4"/>
      <c r="O305" s="4"/>
      <c r="P305" s="14"/>
      <c r="Q305" s="14"/>
      <c r="R305" s="14"/>
      <c r="S305" s="14"/>
      <c r="T305" s="14"/>
      <c r="U305" s="14"/>
    </row>
    <row r="306" spans="1:21" ht="15.75" customHeight="1">
      <c r="A306" s="5" t="s">
        <v>497</v>
      </c>
      <c r="B306" s="6" t="s">
        <v>406</v>
      </c>
      <c r="C306" s="24" t="s">
        <v>2089</v>
      </c>
      <c r="D306" s="5" t="s">
        <v>499</v>
      </c>
      <c r="E306" s="5" t="s">
        <v>1226</v>
      </c>
      <c r="F306" s="14" t="s">
        <v>488</v>
      </c>
      <c r="G306" s="5" t="s">
        <v>409</v>
      </c>
      <c r="H306" s="41" t="s">
        <v>858</v>
      </c>
      <c r="I306" s="5" t="s">
        <v>410</v>
      </c>
      <c r="J306" s="14" t="s">
        <v>411</v>
      </c>
      <c r="K306" s="14" t="b">
        <v>1</v>
      </c>
      <c r="L306" s="4" t="s">
        <v>2427</v>
      </c>
      <c r="M306" s="4" t="s">
        <v>413</v>
      </c>
      <c r="N306" s="4"/>
      <c r="O306" s="4"/>
      <c r="P306" s="14"/>
      <c r="Q306" s="14"/>
      <c r="R306" s="14"/>
      <c r="S306" s="14"/>
      <c r="T306" s="14"/>
      <c r="U306" s="14"/>
    </row>
    <row r="307" spans="1:21" ht="15.75" customHeight="1">
      <c r="A307" s="5" t="s">
        <v>497</v>
      </c>
      <c r="B307" s="6" t="s">
        <v>500</v>
      </c>
      <c r="C307" s="24" t="s">
        <v>2090</v>
      </c>
      <c r="D307" s="5" t="s">
        <v>501</v>
      </c>
      <c r="E307" s="5" t="s">
        <v>1226</v>
      </c>
      <c r="F307" s="14" t="s">
        <v>488</v>
      </c>
      <c r="G307" s="5" t="s">
        <v>409</v>
      </c>
      <c r="H307" s="41" t="s">
        <v>858</v>
      </c>
      <c r="I307" s="5" t="s">
        <v>410</v>
      </c>
      <c r="J307" s="14" t="s">
        <v>411</v>
      </c>
      <c r="K307" s="14" t="b">
        <v>1</v>
      </c>
      <c r="L307" s="4" t="s">
        <v>2427</v>
      </c>
      <c r="M307" s="4" t="s">
        <v>413</v>
      </c>
      <c r="N307" s="4"/>
      <c r="O307" s="4"/>
      <c r="P307" s="14"/>
      <c r="Q307" s="14"/>
      <c r="R307" s="14"/>
      <c r="S307" s="14"/>
      <c r="T307" s="14"/>
      <c r="U307" s="14"/>
    </row>
    <row r="308" spans="1:21" ht="15.75" customHeight="1">
      <c r="A308" s="5" t="s">
        <v>497</v>
      </c>
      <c r="B308" s="6" t="s">
        <v>502</v>
      </c>
      <c r="C308" s="24" t="s">
        <v>2091</v>
      </c>
      <c r="D308" s="5" t="s">
        <v>503</v>
      </c>
      <c r="E308" s="5" t="s">
        <v>1226</v>
      </c>
      <c r="F308" s="14" t="s">
        <v>488</v>
      </c>
      <c r="G308" s="5" t="s">
        <v>409</v>
      </c>
      <c r="H308" s="41" t="s">
        <v>858</v>
      </c>
      <c r="I308" s="5" t="s">
        <v>410</v>
      </c>
      <c r="J308" s="14" t="s">
        <v>411</v>
      </c>
      <c r="K308" s="14" t="b">
        <v>1</v>
      </c>
      <c r="L308" s="4" t="s">
        <v>2427</v>
      </c>
      <c r="M308" s="4" t="s">
        <v>413</v>
      </c>
      <c r="N308" s="4"/>
      <c r="O308" s="4"/>
      <c r="P308" s="14"/>
      <c r="Q308" s="14"/>
      <c r="R308" s="14"/>
      <c r="S308" s="14"/>
      <c r="T308" s="14"/>
      <c r="U308" s="14"/>
    </row>
    <row r="309" spans="1:21" ht="15.75" customHeight="1">
      <c r="A309" s="5" t="s">
        <v>497</v>
      </c>
      <c r="B309" s="6" t="s">
        <v>493</v>
      </c>
      <c r="C309" s="24" t="s">
        <v>2092</v>
      </c>
      <c r="D309" s="5" t="s">
        <v>504</v>
      </c>
      <c r="E309" s="5" t="s">
        <v>1226</v>
      </c>
      <c r="F309" s="14" t="s">
        <v>488</v>
      </c>
      <c r="G309" s="5" t="s">
        <v>409</v>
      </c>
      <c r="H309" s="41" t="s">
        <v>858</v>
      </c>
      <c r="I309" s="5" t="s">
        <v>410</v>
      </c>
      <c r="J309" s="14" t="s">
        <v>411</v>
      </c>
      <c r="K309" s="14" t="b">
        <v>1</v>
      </c>
      <c r="L309" s="4" t="s">
        <v>2427</v>
      </c>
      <c r="M309" s="4" t="s">
        <v>413</v>
      </c>
      <c r="N309" s="4"/>
      <c r="O309" s="4"/>
      <c r="P309" s="14"/>
      <c r="Q309" s="14"/>
      <c r="R309" s="14"/>
      <c r="S309" s="14"/>
      <c r="T309" s="14"/>
      <c r="U309" s="14"/>
    </row>
    <row r="310" spans="1:21" ht="15.75" customHeight="1">
      <c r="A310" s="5" t="s">
        <v>497</v>
      </c>
      <c r="B310" s="6" t="s">
        <v>495</v>
      </c>
      <c r="C310" s="24" t="s">
        <v>2093</v>
      </c>
      <c r="D310" s="5" t="s">
        <v>505</v>
      </c>
      <c r="E310" s="5" t="s">
        <v>1226</v>
      </c>
      <c r="F310" s="14" t="s">
        <v>488</v>
      </c>
      <c r="G310" s="5" t="s">
        <v>409</v>
      </c>
      <c r="H310" s="41" t="s">
        <v>858</v>
      </c>
      <c r="I310" s="5" t="s">
        <v>410</v>
      </c>
      <c r="J310" s="14" t="s">
        <v>411</v>
      </c>
      <c r="K310" s="14" t="b">
        <v>1</v>
      </c>
      <c r="L310" s="46" t="s">
        <v>2427</v>
      </c>
      <c r="M310" s="4" t="s">
        <v>413</v>
      </c>
      <c r="N310" s="4"/>
      <c r="O310" s="4"/>
      <c r="P310" s="14"/>
      <c r="Q310" s="14"/>
      <c r="R310" s="14"/>
      <c r="S310" s="14"/>
      <c r="T310" s="14"/>
      <c r="U310" s="14"/>
    </row>
    <row r="311" spans="1:21" ht="15.75" customHeight="1">
      <c r="A311" s="5" t="s">
        <v>506</v>
      </c>
      <c r="B311" s="6" t="s">
        <v>406</v>
      </c>
      <c r="C311" s="24" t="s">
        <v>2094</v>
      </c>
      <c r="D311" s="5" t="s">
        <v>507</v>
      </c>
      <c r="E311" s="5" t="s">
        <v>1226</v>
      </c>
      <c r="F311" s="14" t="s">
        <v>488</v>
      </c>
      <c r="G311" s="5" t="s">
        <v>409</v>
      </c>
      <c r="H311" s="41" t="s">
        <v>858</v>
      </c>
      <c r="I311" s="5" t="s">
        <v>410</v>
      </c>
      <c r="J311" s="14" t="s">
        <v>411</v>
      </c>
      <c r="K311" s="14" t="b">
        <v>1</v>
      </c>
      <c r="L311" s="4" t="s">
        <v>2427</v>
      </c>
      <c r="M311" s="4" t="s">
        <v>413</v>
      </c>
      <c r="N311" s="4"/>
      <c r="O311" s="4"/>
      <c r="P311" s="14"/>
      <c r="Q311" s="14"/>
      <c r="R311" s="14"/>
      <c r="S311" s="14"/>
      <c r="T311" s="14"/>
      <c r="U311" s="14"/>
    </row>
    <row r="312" spans="1:21" ht="17.25" customHeight="1">
      <c r="A312" s="5" t="s">
        <v>508</v>
      </c>
      <c r="B312" s="6" t="s">
        <v>466</v>
      </c>
      <c r="C312" s="24" t="s">
        <v>2095</v>
      </c>
      <c r="D312" s="5" t="s">
        <v>509</v>
      </c>
      <c r="E312" s="5" t="s">
        <v>1226</v>
      </c>
      <c r="F312" s="14" t="s">
        <v>488</v>
      </c>
      <c r="G312" s="5" t="s">
        <v>409</v>
      </c>
      <c r="H312" s="41" t="s">
        <v>858</v>
      </c>
      <c r="I312" s="5" t="s">
        <v>410</v>
      </c>
      <c r="J312" s="14" t="s">
        <v>411</v>
      </c>
      <c r="K312" s="14" t="b">
        <v>1</v>
      </c>
      <c r="L312" s="4" t="s">
        <v>2427</v>
      </c>
      <c r="M312" s="4" t="s">
        <v>413</v>
      </c>
      <c r="N312" s="4"/>
      <c r="O312" s="4"/>
      <c r="P312" s="14"/>
      <c r="Q312" s="14"/>
      <c r="R312" s="14"/>
      <c r="S312" s="14"/>
      <c r="T312" s="14"/>
      <c r="U312" s="14"/>
    </row>
    <row r="313" spans="1:21" ht="17.25" customHeight="1">
      <c r="A313" s="5" t="s">
        <v>508</v>
      </c>
      <c r="B313" s="6" t="s">
        <v>510</v>
      </c>
      <c r="C313" s="24" t="s">
        <v>2096</v>
      </c>
      <c r="D313" s="5" t="s">
        <v>511</v>
      </c>
      <c r="E313" s="5" t="s">
        <v>1226</v>
      </c>
      <c r="F313" s="14" t="s">
        <v>488</v>
      </c>
      <c r="G313" s="5" t="s">
        <v>409</v>
      </c>
      <c r="H313" s="41" t="s">
        <v>858</v>
      </c>
      <c r="I313" s="5" t="s">
        <v>410</v>
      </c>
      <c r="J313" s="14" t="s">
        <v>411</v>
      </c>
      <c r="K313" s="14" t="b">
        <v>1</v>
      </c>
      <c r="L313" s="4" t="s">
        <v>2427</v>
      </c>
      <c r="M313" s="4" t="s">
        <v>413</v>
      </c>
      <c r="N313" s="4"/>
      <c r="O313" s="4"/>
      <c r="P313" s="14"/>
      <c r="Q313" s="14"/>
      <c r="R313" s="14"/>
      <c r="S313" s="14"/>
      <c r="T313" s="14"/>
      <c r="U313" s="14"/>
    </row>
    <row r="314" spans="1:21" ht="17.25" customHeight="1">
      <c r="A314" s="5" t="s">
        <v>512</v>
      </c>
      <c r="B314" s="6" t="s">
        <v>513</v>
      </c>
      <c r="C314" s="24" t="s">
        <v>2097</v>
      </c>
      <c r="D314" s="5" t="s">
        <v>514</v>
      </c>
      <c r="E314" s="5" t="s">
        <v>1249</v>
      </c>
      <c r="F314" s="14" t="s">
        <v>515</v>
      </c>
      <c r="G314" s="5" t="s">
        <v>409</v>
      </c>
      <c r="H314" s="41" t="s">
        <v>858</v>
      </c>
      <c r="I314" s="5" t="s">
        <v>410</v>
      </c>
      <c r="J314" s="14" t="s">
        <v>411</v>
      </c>
      <c r="K314" s="14" t="b">
        <v>1</v>
      </c>
      <c r="L314" s="5" t="s">
        <v>516</v>
      </c>
      <c r="M314" s="4" t="s">
        <v>413</v>
      </c>
      <c r="N314" s="4"/>
      <c r="O314" s="4"/>
      <c r="P314" s="14"/>
      <c r="Q314" s="14"/>
      <c r="R314" s="14"/>
      <c r="S314" s="14"/>
      <c r="T314" s="14"/>
      <c r="U314" s="14"/>
    </row>
    <row r="315" spans="1:21" ht="17.25" customHeight="1">
      <c r="A315" s="5" t="s">
        <v>512</v>
      </c>
      <c r="B315" s="6" t="s">
        <v>517</v>
      </c>
      <c r="C315" s="24" t="s">
        <v>2098</v>
      </c>
      <c r="D315" s="5" t="s">
        <v>518</v>
      </c>
      <c r="E315" s="5" t="s">
        <v>1249</v>
      </c>
      <c r="F315" s="14" t="s">
        <v>515</v>
      </c>
      <c r="G315" s="5" t="s">
        <v>409</v>
      </c>
      <c r="H315" s="41" t="s">
        <v>858</v>
      </c>
      <c r="I315" s="5" t="s">
        <v>410</v>
      </c>
      <c r="J315" s="14" t="s">
        <v>411</v>
      </c>
      <c r="K315" s="14" t="b">
        <v>1</v>
      </c>
      <c r="L315" s="4" t="s">
        <v>516</v>
      </c>
      <c r="M315" s="4" t="s">
        <v>413</v>
      </c>
      <c r="N315" s="4"/>
      <c r="O315" s="4"/>
      <c r="P315" s="14"/>
      <c r="Q315" s="14"/>
      <c r="R315" s="14"/>
      <c r="S315" s="14"/>
      <c r="T315" s="14"/>
      <c r="U315" s="14"/>
    </row>
    <row r="316" spans="1:21" ht="17.25" customHeight="1">
      <c r="A316" s="5" t="s">
        <v>512</v>
      </c>
      <c r="B316" s="6" t="s">
        <v>519</v>
      </c>
      <c r="C316" s="24" t="s">
        <v>2099</v>
      </c>
      <c r="D316" s="5" t="s">
        <v>520</v>
      </c>
      <c r="E316" s="5" t="s">
        <v>1249</v>
      </c>
      <c r="F316" s="14" t="s">
        <v>515</v>
      </c>
      <c r="G316" s="5" t="s">
        <v>409</v>
      </c>
      <c r="H316" s="41" t="s">
        <v>858</v>
      </c>
      <c r="I316" s="5" t="s">
        <v>410</v>
      </c>
      <c r="J316" s="14" t="s">
        <v>411</v>
      </c>
      <c r="K316" s="14" t="b">
        <v>1</v>
      </c>
      <c r="L316" s="4" t="s">
        <v>516</v>
      </c>
      <c r="M316" s="4" t="s">
        <v>413</v>
      </c>
      <c r="N316" s="4"/>
      <c r="O316" s="4"/>
      <c r="P316" s="14"/>
      <c r="Q316" s="14"/>
      <c r="R316" s="14"/>
      <c r="S316" s="14"/>
      <c r="T316" s="14"/>
      <c r="U316" s="14"/>
    </row>
    <row r="317" spans="1:21" ht="17.25" customHeight="1">
      <c r="A317" s="5" t="s">
        <v>512</v>
      </c>
      <c r="B317" s="6" t="s">
        <v>521</v>
      </c>
      <c r="C317" s="24" t="s">
        <v>2100</v>
      </c>
      <c r="D317" s="5" t="s">
        <v>522</v>
      </c>
      <c r="E317" s="5" t="s">
        <v>1249</v>
      </c>
      <c r="F317" s="14" t="s">
        <v>515</v>
      </c>
      <c r="G317" s="5" t="s">
        <v>409</v>
      </c>
      <c r="H317" s="41" t="s">
        <v>858</v>
      </c>
      <c r="I317" s="5" t="s">
        <v>410</v>
      </c>
      <c r="J317" s="14" t="s">
        <v>411</v>
      </c>
      <c r="K317" s="14" t="b">
        <v>1</v>
      </c>
      <c r="L317" s="4" t="s">
        <v>516</v>
      </c>
      <c r="M317" s="4" t="s">
        <v>413</v>
      </c>
      <c r="N317" s="4"/>
      <c r="O317" s="4"/>
      <c r="P317" s="14"/>
      <c r="Q317" s="14"/>
      <c r="R317" s="14"/>
      <c r="S317" s="14"/>
      <c r="T317" s="14"/>
      <c r="U317" s="14"/>
    </row>
    <row r="318" spans="1:21" ht="17.25" customHeight="1">
      <c r="A318" s="5" t="s">
        <v>512</v>
      </c>
      <c r="B318" s="6" t="s">
        <v>523</v>
      </c>
      <c r="C318" s="24" t="s">
        <v>2101</v>
      </c>
      <c r="D318" s="5" t="s">
        <v>524</v>
      </c>
      <c r="E318" s="5" t="s">
        <v>1249</v>
      </c>
      <c r="F318" s="14" t="s">
        <v>515</v>
      </c>
      <c r="G318" s="5" t="s">
        <v>409</v>
      </c>
      <c r="H318" s="41" t="s">
        <v>858</v>
      </c>
      <c r="I318" s="5" t="s">
        <v>410</v>
      </c>
      <c r="J318" s="14" t="s">
        <v>411</v>
      </c>
      <c r="K318" s="14" t="b">
        <v>1</v>
      </c>
      <c r="L318" s="4" t="s">
        <v>516</v>
      </c>
      <c r="M318" s="4" t="s">
        <v>413</v>
      </c>
      <c r="N318" s="4"/>
      <c r="O318" s="4"/>
      <c r="P318" s="14"/>
      <c r="Q318" s="14"/>
      <c r="R318" s="14"/>
      <c r="S318" s="14"/>
      <c r="T318" s="14"/>
      <c r="U318" s="14"/>
    </row>
    <row r="319" spans="1:21" ht="17.25" customHeight="1">
      <c r="A319" s="5" t="s">
        <v>525</v>
      </c>
      <c r="B319" s="6" t="s">
        <v>513</v>
      </c>
      <c r="C319" s="24" t="s">
        <v>2102</v>
      </c>
      <c r="D319" s="5" t="s">
        <v>526</v>
      </c>
      <c r="E319" s="5" t="s">
        <v>1249</v>
      </c>
      <c r="F319" s="14" t="s">
        <v>515</v>
      </c>
      <c r="G319" s="5" t="s">
        <v>409</v>
      </c>
      <c r="H319" s="41" t="s">
        <v>858</v>
      </c>
      <c r="I319" s="5" t="s">
        <v>410</v>
      </c>
      <c r="J319" s="14" t="s">
        <v>411</v>
      </c>
      <c r="K319" s="14" t="b">
        <v>1</v>
      </c>
      <c r="L319" s="4" t="s">
        <v>516</v>
      </c>
      <c r="M319" s="4" t="s">
        <v>413</v>
      </c>
      <c r="N319" s="4"/>
      <c r="O319" s="4"/>
      <c r="P319" s="14"/>
      <c r="Q319" s="14"/>
      <c r="R319" s="14"/>
      <c r="S319" s="14"/>
      <c r="T319" s="14"/>
      <c r="U319" s="14"/>
    </row>
    <row r="320" spans="1:21" ht="17.25" customHeight="1">
      <c r="A320" s="5" t="s">
        <v>525</v>
      </c>
      <c r="B320" s="6" t="s">
        <v>517</v>
      </c>
      <c r="C320" s="24" t="s">
        <v>2103</v>
      </c>
      <c r="D320" s="5" t="s">
        <v>527</v>
      </c>
      <c r="E320" s="5" t="s">
        <v>1249</v>
      </c>
      <c r="F320" s="14" t="s">
        <v>515</v>
      </c>
      <c r="G320" s="5" t="s">
        <v>409</v>
      </c>
      <c r="H320" s="41" t="s">
        <v>858</v>
      </c>
      <c r="I320" s="5" t="s">
        <v>410</v>
      </c>
      <c r="J320" s="14" t="s">
        <v>411</v>
      </c>
      <c r="K320" s="14" t="b">
        <v>1</v>
      </c>
      <c r="L320" s="4" t="s">
        <v>516</v>
      </c>
      <c r="M320" s="4" t="s">
        <v>413</v>
      </c>
      <c r="N320" s="4"/>
      <c r="O320" s="4"/>
      <c r="P320" s="14"/>
      <c r="Q320" s="14"/>
      <c r="R320" s="14"/>
      <c r="S320" s="14"/>
      <c r="T320" s="14"/>
      <c r="U320" s="14"/>
    </row>
    <row r="321" spans="1:21" ht="17.25" customHeight="1">
      <c r="A321" s="5" t="s">
        <v>525</v>
      </c>
      <c r="B321" s="6" t="s">
        <v>519</v>
      </c>
      <c r="C321" s="24" t="s">
        <v>2104</v>
      </c>
      <c r="D321" s="5" t="s">
        <v>528</v>
      </c>
      <c r="E321" s="5" t="s">
        <v>1249</v>
      </c>
      <c r="F321" s="14" t="s">
        <v>515</v>
      </c>
      <c r="G321" s="5" t="s">
        <v>409</v>
      </c>
      <c r="H321" s="41" t="s">
        <v>858</v>
      </c>
      <c r="I321" s="5" t="s">
        <v>410</v>
      </c>
      <c r="J321" s="14" t="s">
        <v>411</v>
      </c>
      <c r="K321" s="14" t="b">
        <v>1</v>
      </c>
      <c r="L321" s="4" t="s">
        <v>516</v>
      </c>
      <c r="M321" s="4" t="s">
        <v>413</v>
      </c>
      <c r="N321" s="4"/>
      <c r="O321" s="4"/>
      <c r="P321" s="14"/>
      <c r="Q321" s="14"/>
      <c r="R321" s="14"/>
      <c r="S321" s="14"/>
      <c r="T321" s="14"/>
      <c r="U321" s="14"/>
    </row>
    <row r="322" spans="1:21" ht="17.25" customHeight="1">
      <c r="A322" s="5" t="s">
        <v>525</v>
      </c>
      <c r="B322" s="6" t="s">
        <v>521</v>
      </c>
      <c r="C322" s="24" t="s">
        <v>2105</v>
      </c>
      <c r="D322" s="5" t="s">
        <v>529</v>
      </c>
      <c r="E322" s="5" t="s">
        <v>1249</v>
      </c>
      <c r="F322" s="14" t="s">
        <v>515</v>
      </c>
      <c r="G322" s="5" t="s">
        <v>409</v>
      </c>
      <c r="H322" s="41" t="s">
        <v>858</v>
      </c>
      <c r="I322" s="5" t="s">
        <v>410</v>
      </c>
      <c r="J322" s="14" t="s">
        <v>411</v>
      </c>
      <c r="K322" s="14" t="b">
        <v>1</v>
      </c>
      <c r="L322" s="4" t="s">
        <v>516</v>
      </c>
      <c r="M322" s="4" t="s">
        <v>413</v>
      </c>
      <c r="N322" s="4"/>
      <c r="O322" s="4"/>
      <c r="P322" s="14"/>
      <c r="Q322" s="14"/>
      <c r="R322" s="14"/>
      <c r="S322" s="14"/>
      <c r="T322" s="14"/>
      <c r="U322" s="14"/>
    </row>
    <row r="323" spans="1:21" ht="17.25" customHeight="1">
      <c r="A323" s="5" t="s">
        <v>525</v>
      </c>
      <c r="B323" s="6" t="s">
        <v>523</v>
      </c>
      <c r="C323" s="24" t="s">
        <v>2106</v>
      </c>
      <c r="D323" s="5" t="s">
        <v>530</v>
      </c>
      <c r="E323" s="5" t="s">
        <v>1249</v>
      </c>
      <c r="F323" s="14" t="s">
        <v>515</v>
      </c>
      <c r="G323" s="5" t="s">
        <v>409</v>
      </c>
      <c r="H323" s="41" t="s">
        <v>858</v>
      </c>
      <c r="I323" s="5" t="s">
        <v>410</v>
      </c>
      <c r="J323" s="14" t="s">
        <v>411</v>
      </c>
      <c r="K323" s="14" t="b">
        <v>1</v>
      </c>
      <c r="L323" s="4" t="s">
        <v>516</v>
      </c>
      <c r="M323" s="4" t="s">
        <v>413</v>
      </c>
      <c r="N323" s="4"/>
      <c r="O323" s="4"/>
      <c r="P323" s="14"/>
      <c r="Q323" s="14"/>
      <c r="R323" s="14"/>
      <c r="S323" s="14"/>
      <c r="T323" s="14"/>
      <c r="U323" s="14"/>
    </row>
    <row r="324" spans="1:21" ht="17.25" customHeight="1">
      <c r="A324" s="5" t="s">
        <v>531</v>
      </c>
      <c r="B324" s="6" t="s">
        <v>513</v>
      </c>
      <c r="C324" s="24" t="s">
        <v>2107</v>
      </c>
      <c r="D324" s="5" t="s">
        <v>532</v>
      </c>
      <c r="E324" s="5" t="s">
        <v>1249</v>
      </c>
      <c r="F324" s="14" t="s">
        <v>515</v>
      </c>
      <c r="G324" s="5" t="s">
        <v>409</v>
      </c>
      <c r="H324" s="41" t="s">
        <v>858</v>
      </c>
      <c r="I324" s="5" t="s">
        <v>410</v>
      </c>
      <c r="J324" s="14" t="s">
        <v>411</v>
      </c>
      <c r="K324" s="14" t="b">
        <v>1</v>
      </c>
      <c r="L324" s="4" t="s">
        <v>516</v>
      </c>
      <c r="M324" s="4" t="s">
        <v>413</v>
      </c>
      <c r="N324" s="4"/>
      <c r="O324" s="4"/>
      <c r="P324" s="14"/>
      <c r="Q324" s="14"/>
      <c r="R324" s="14"/>
      <c r="S324" s="14"/>
      <c r="T324" s="14"/>
      <c r="U324" s="14"/>
    </row>
    <row r="325" spans="1:21" ht="17.25" customHeight="1">
      <c r="A325" s="5" t="s">
        <v>531</v>
      </c>
      <c r="B325" s="6" t="s">
        <v>517</v>
      </c>
      <c r="C325" s="24" t="s">
        <v>2108</v>
      </c>
      <c r="D325" s="5" t="s">
        <v>533</v>
      </c>
      <c r="E325" s="5" t="s">
        <v>1249</v>
      </c>
      <c r="F325" s="14" t="s">
        <v>515</v>
      </c>
      <c r="G325" s="5" t="s">
        <v>409</v>
      </c>
      <c r="H325" s="41" t="s">
        <v>858</v>
      </c>
      <c r="I325" s="5" t="s">
        <v>410</v>
      </c>
      <c r="J325" s="14" t="s">
        <v>411</v>
      </c>
      <c r="K325" s="14" t="b">
        <v>1</v>
      </c>
      <c r="L325" s="4" t="s">
        <v>516</v>
      </c>
      <c r="M325" s="4" t="s">
        <v>413</v>
      </c>
      <c r="N325" s="4"/>
      <c r="O325" s="4"/>
      <c r="P325" s="14"/>
      <c r="Q325" s="14"/>
      <c r="R325" s="14"/>
      <c r="S325" s="14"/>
      <c r="T325" s="14"/>
      <c r="U325" s="14"/>
    </row>
    <row r="326" spans="1:21" ht="17.25" customHeight="1">
      <c r="A326" s="5" t="s">
        <v>531</v>
      </c>
      <c r="B326" s="6" t="s">
        <v>519</v>
      </c>
      <c r="C326" s="24" t="s">
        <v>2109</v>
      </c>
      <c r="D326" s="5" t="s">
        <v>534</v>
      </c>
      <c r="E326" s="5" t="s">
        <v>1249</v>
      </c>
      <c r="F326" s="14" t="s">
        <v>515</v>
      </c>
      <c r="G326" s="5" t="s">
        <v>409</v>
      </c>
      <c r="H326" s="41" t="s">
        <v>858</v>
      </c>
      <c r="I326" s="5" t="s">
        <v>410</v>
      </c>
      <c r="J326" s="14" t="s">
        <v>411</v>
      </c>
      <c r="K326" s="14" t="b">
        <v>1</v>
      </c>
      <c r="L326" s="4" t="s">
        <v>516</v>
      </c>
      <c r="M326" s="4" t="s">
        <v>413</v>
      </c>
      <c r="N326" s="4"/>
      <c r="O326" s="4"/>
      <c r="P326" s="14"/>
      <c r="Q326" s="14"/>
      <c r="R326" s="14"/>
      <c r="S326" s="14"/>
      <c r="T326" s="14"/>
      <c r="U326" s="14"/>
    </row>
    <row r="327" spans="1:21" ht="17.25" customHeight="1">
      <c r="A327" s="5" t="s">
        <v>531</v>
      </c>
      <c r="B327" s="6" t="s">
        <v>521</v>
      </c>
      <c r="C327" s="24" t="s">
        <v>2110</v>
      </c>
      <c r="D327" s="5" t="s">
        <v>535</v>
      </c>
      <c r="E327" s="5" t="s">
        <v>1249</v>
      </c>
      <c r="F327" s="14" t="s">
        <v>515</v>
      </c>
      <c r="G327" s="5" t="s">
        <v>409</v>
      </c>
      <c r="H327" s="41" t="s">
        <v>858</v>
      </c>
      <c r="I327" s="5" t="s">
        <v>410</v>
      </c>
      <c r="J327" s="14" t="s">
        <v>411</v>
      </c>
      <c r="K327" s="14" t="b">
        <v>1</v>
      </c>
      <c r="L327" s="4" t="s">
        <v>516</v>
      </c>
      <c r="M327" s="4" t="s">
        <v>413</v>
      </c>
      <c r="N327" s="4"/>
      <c r="O327" s="4"/>
      <c r="P327" s="14"/>
      <c r="Q327" s="14"/>
      <c r="R327" s="14"/>
      <c r="S327" s="14"/>
      <c r="T327" s="14"/>
      <c r="U327" s="14"/>
    </row>
    <row r="328" spans="1:21" ht="17.25" customHeight="1">
      <c r="A328" s="5" t="s">
        <v>531</v>
      </c>
      <c r="B328" s="6" t="s">
        <v>523</v>
      </c>
      <c r="C328" s="24" t="s">
        <v>2111</v>
      </c>
      <c r="D328" s="5" t="s">
        <v>536</v>
      </c>
      <c r="E328" s="5" t="s">
        <v>1249</v>
      </c>
      <c r="F328" s="14" t="s">
        <v>515</v>
      </c>
      <c r="G328" s="5" t="s">
        <v>409</v>
      </c>
      <c r="H328" s="41" t="s">
        <v>858</v>
      </c>
      <c r="I328" s="5" t="s">
        <v>410</v>
      </c>
      <c r="J328" s="14" t="s">
        <v>411</v>
      </c>
      <c r="K328" s="14" t="b">
        <v>1</v>
      </c>
      <c r="L328" s="4" t="s">
        <v>516</v>
      </c>
      <c r="M328" s="4" t="s">
        <v>413</v>
      </c>
      <c r="N328" s="4"/>
      <c r="O328" s="4"/>
      <c r="P328" s="14"/>
      <c r="Q328" s="14"/>
      <c r="R328" s="14"/>
      <c r="S328" s="14"/>
      <c r="T328" s="14"/>
      <c r="U328" s="14"/>
    </row>
    <row r="329" spans="1:21" ht="17.25" customHeight="1">
      <c r="A329" s="5" t="s">
        <v>537</v>
      </c>
      <c r="B329" s="6" t="s">
        <v>513</v>
      </c>
      <c r="C329" s="24" t="s">
        <v>2112</v>
      </c>
      <c r="D329" s="5" t="s">
        <v>538</v>
      </c>
      <c r="E329" s="5" t="s">
        <v>1249</v>
      </c>
      <c r="F329" s="14" t="s">
        <v>515</v>
      </c>
      <c r="G329" s="5" t="s">
        <v>409</v>
      </c>
      <c r="H329" s="41" t="s">
        <v>858</v>
      </c>
      <c r="I329" s="5" t="s">
        <v>410</v>
      </c>
      <c r="J329" s="14" t="s">
        <v>411</v>
      </c>
      <c r="K329" s="14" t="b">
        <v>1</v>
      </c>
      <c r="L329" s="4" t="s">
        <v>516</v>
      </c>
      <c r="M329" s="4" t="s">
        <v>413</v>
      </c>
      <c r="N329" s="4"/>
      <c r="O329" s="4"/>
      <c r="P329" s="14"/>
      <c r="Q329" s="14"/>
      <c r="R329" s="14"/>
      <c r="S329" s="14"/>
      <c r="T329" s="14"/>
      <c r="U329" s="14"/>
    </row>
    <row r="330" spans="1:21" ht="17.25" customHeight="1">
      <c r="A330" s="5" t="s">
        <v>537</v>
      </c>
      <c r="B330" s="6" t="s">
        <v>517</v>
      </c>
      <c r="C330" s="24" t="s">
        <v>2113</v>
      </c>
      <c r="D330" s="5" t="s">
        <v>539</v>
      </c>
      <c r="E330" s="5" t="s">
        <v>1249</v>
      </c>
      <c r="F330" s="14" t="s">
        <v>515</v>
      </c>
      <c r="G330" s="5" t="s">
        <v>409</v>
      </c>
      <c r="H330" s="41" t="s">
        <v>858</v>
      </c>
      <c r="I330" s="5" t="s">
        <v>410</v>
      </c>
      <c r="J330" s="14" t="s">
        <v>411</v>
      </c>
      <c r="K330" s="14" t="b">
        <v>1</v>
      </c>
      <c r="L330" s="4" t="s">
        <v>516</v>
      </c>
      <c r="M330" s="4" t="s">
        <v>413</v>
      </c>
      <c r="N330" s="4"/>
      <c r="O330" s="4"/>
      <c r="P330" s="14"/>
      <c r="Q330" s="14"/>
      <c r="R330" s="14"/>
      <c r="S330" s="14"/>
      <c r="T330" s="14"/>
      <c r="U330" s="14"/>
    </row>
    <row r="331" spans="1:21" ht="17.25" customHeight="1">
      <c r="A331" s="5" t="s">
        <v>537</v>
      </c>
      <c r="B331" s="6" t="s">
        <v>519</v>
      </c>
      <c r="C331" s="24" t="s">
        <v>2114</v>
      </c>
      <c r="D331" s="5" t="s">
        <v>540</v>
      </c>
      <c r="E331" s="5" t="s">
        <v>1249</v>
      </c>
      <c r="F331" s="14" t="s">
        <v>515</v>
      </c>
      <c r="G331" s="5" t="s">
        <v>409</v>
      </c>
      <c r="H331" s="41" t="s">
        <v>858</v>
      </c>
      <c r="I331" s="5" t="s">
        <v>410</v>
      </c>
      <c r="J331" s="14" t="s">
        <v>411</v>
      </c>
      <c r="K331" s="14" t="b">
        <v>1</v>
      </c>
      <c r="L331" s="4" t="s">
        <v>516</v>
      </c>
      <c r="M331" s="4" t="s">
        <v>413</v>
      </c>
      <c r="N331" s="4"/>
      <c r="O331" s="4"/>
      <c r="P331" s="14"/>
      <c r="Q331" s="14"/>
      <c r="R331" s="14"/>
      <c r="S331" s="14"/>
      <c r="T331" s="14"/>
      <c r="U331" s="14"/>
    </row>
    <row r="332" spans="1:21" ht="17.25" customHeight="1">
      <c r="A332" s="5" t="s">
        <v>537</v>
      </c>
      <c r="B332" s="6" t="s">
        <v>521</v>
      </c>
      <c r="C332" s="24" t="s">
        <v>2115</v>
      </c>
      <c r="D332" s="5" t="s">
        <v>541</v>
      </c>
      <c r="E332" s="5" t="s">
        <v>1249</v>
      </c>
      <c r="F332" s="14" t="s">
        <v>515</v>
      </c>
      <c r="G332" s="5" t="s">
        <v>409</v>
      </c>
      <c r="H332" s="41" t="s">
        <v>858</v>
      </c>
      <c r="I332" s="5" t="s">
        <v>410</v>
      </c>
      <c r="J332" s="14" t="s">
        <v>411</v>
      </c>
      <c r="K332" s="14" t="b">
        <v>1</v>
      </c>
      <c r="L332" s="4" t="s">
        <v>516</v>
      </c>
      <c r="M332" s="4" t="s">
        <v>413</v>
      </c>
      <c r="N332" s="4"/>
      <c r="O332" s="4"/>
      <c r="P332" s="14"/>
      <c r="Q332" s="14"/>
      <c r="R332" s="14"/>
      <c r="S332" s="14"/>
      <c r="T332" s="14"/>
      <c r="U332" s="14"/>
    </row>
    <row r="333" spans="1:21" ht="17.25" customHeight="1">
      <c r="A333" s="5" t="s">
        <v>537</v>
      </c>
      <c r="B333" s="6" t="s">
        <v>523</v>
      </c>
      <c r="C333" s="24" t="s">
        <v>2116</v>
      </c>
      <c r="D333" s="5" t="s">
        <v>542</v>
      </c>
      <c r="E333" s="5" t="s">
        <v>1249</v>
      </c>
      <c r="F333" s="14" t="s">
        <v>515</v>
      </c>
      <c r="G333" s="5" t="s">
        <v>409</v>
      </c>
      <c r="H333" s="41" t="s">
        <v>858</v>
      </c>
      <c r="I333" s="5" t="s">
        <v>410</v>
      </c>
      <c r="J333" s="14" t="s">
        <v>411</v>
      </c>
      <c r="K333" s="14" t="b">
        <v>1</v>
      </c>
      <c r="L333" s="4" t="s">
        <v>516</v>
      </c>
      <c r="M333" s="4" t="s">
        <v>413</v>
      </c>
      <c r="N333" s="4"/>
      <c r="O333" s="4"/>
      <c r="P333" s="14"/>
      <c r="Q333" s="14"/>
      <c r="R333" s="14"/>
      <c r="S333" s="14"/>
      <c r="T333" s="14"/>
      <c r="U333" s="14"/>
    </row>
    <row r="334" spans="1:21" ht="17.25" customHeight="1">
      <c r="A334" s="5" t="s">
        <v>543</v>
      </c>
      <c r="B334" s="6" t="s">
        <v>513</v>
      </c>
      <c r="C334" s="24" t="s">
        <v>2117</v>
      </c>
      <c r="D334" s="5" t="s">
        <v>544</v>
      </c>
      <c r="E334" s="5" t="s">
        <v>1249</v>
      </c>
      <c r="F334" s="14" t="s">
        <v>515</v>
      </c>
      <c r="G334" s="5" t="s">
        <v>409</v>
      </c>
      <c r="H334" s="41" t="s">
        <v>858</v>
      </c>
      <c r="I334" s="5" t="s">
        <v>410</v>
      </c>
      <c r="J334" s="14" t="s">
        <v>411</v>
      </c>
      <c r="K334" s="14" t="b">
        <v>1</v>
      </c>
      <c r="L334" s="4" t="s">
        <v>516</v>
      </c>
      <c r="M334" s="4" t="s">
        <v>413</v>
      </c>
      <c r="N334" s="4"/>
      <c r="O334" s="4"/>
      <c r="P334" s="14"/>
      <c r="Q334" s="14"/>
      <c r="R334" s="14"/>
      <c r="S334" s="14"/>
      <c r="T334" s="14"/>
      <c r="U334" s="14"/>
    </row>
    <row r="335" spans="1:21" ht="17.25" customHeight="1">
      <c r="A335" s="5" t="s">
        <v>543</v>
      </c>
      <c r="B335" s="6" t="s">
        <v>517</v>
      </c>
      <c r="C335" s="24" t="s">
        <v>2118</v>
      </c>
      <c r="D335" s="5" t="s">
        <v>545</v>
      </c>
      <c r="E335" s="5" t="s">
        <v>1249</v>
      </c>
      <c r="F335" s="14" t="s">
        <v>515</v>
      </c>
      <c r="G335" s="5" t="s">
        <v>409</v>
      </c>
      <c r="H335" s="41" t="s">
        <v>858</v>
      </c>
      <c r="I335" s="5" t="s">
        <v>410</v>
      </c>
      <c r="J335" s="14" t="s">
        <v>411</v>
      </c>
      <c r="K335" s="14" t="b">
        <v>1</v>
      </c>
      <c r="L335" s="4" t="s">
        <v>516</v>
      </c>
      <c r="M335" s="4" t="s">
        <v>413</v>
      </c>
      <c r="N335" s="4"/>
      <c r="O335" s="4"/>
      <c r="P335" s="14"/>
      <c r="Q335" s="14"/>
      <c r="R335" s="14"/>
      <c r="S335" s="14"/>
      <c r="T335" s="14"/>
      <c r="U335" s="14"/>
    </row>
    <row r="336" spans="1:21" ht="17.25" customHeight="1">
      <c r="A336" s="5" t="s">
        <v>543</v>
      </c>
      <c r="B336" s="6" t="s">
        <v>519</v>
      </c>
      <c r="C336" s="24" t="s">
        <v>2119</v>
      </c>
      <c r="D336" s="5" t="s">
        <v>546</v>
      </c>
      <c r="E336" s="5" t="s">
        <v>1249</v>
      </c>
      <c r="F336" s="14" t="s">
        <v>515</v>
      </c>
      <c r="G336" s="5" t="s">
        <v>409</v>
      </c>
      <c r="H336" s="41" t="s">
        <v>858</v>
      </c>
      <c r="I336" s="5" t="s">
        <v>410</v>
      </c>
      <c r="J336" s="14" t="s">
        <v>411</v>
      </c>
      <c r="K336" s="14" t="b">
        <v>1</v>
      </c>
      <c r="L336" s="4" t="s">
        <v>516</v>
      </c>
      <c r="M336" s="4" t="s">
        <v>413</v>
      </c>
      <c r="N336" s="4"/>
      <c r="O336" s="4"/>
      <c r="P336" s="14"/>
      <c r="Q336" s="14"/>
      <c r="R336" s="14"/>
      <c r="S336" s="14"/>
      <c r="T336" s="14"/>
      <c r="U336" s="14"/>
    </row>
    <row r="337" spans="1:21" ht="17.25" customHeight="1">
      <c r="A337" s="5" t="s">
        <v>543</v>
      </c>
      <c r="B337" s="6" t="s">
        <v>521</v>
      </c>
      <c r="C337" s="24" t="s">
        <v>2120</v>
      </c>
      <c r="D337" s="5" t="s">
        <v>547</v>
      </c>
      <c r="E337" s="5" t="s">
        <v>1249</v>
      </c>
      <c r="F337" s="14" t="s">
        <v>515</v>
      </c>
      <c r="G337" s="5" t="s">
        <v>409</v>
      </c>
      <c r="H337" s="41" t="s">
        <v>858</v>
      </c>
      <c r="I337" s="5" t="s">
        <v>410</v>
      </c>
      <c r="J337" s="14" t="s">
        <v>411</v>
      </c>
      <c r="K337" s="14" t="b">
        <v>1</v>
      </c>
      <c r="L337" s="4" t="s">
        <v>516</v>
      </c>
      <c r="M337" s="4" t="s">
        <v>413</v>
      </c>
      <c r="N337" s="4"/>
      <c r="O337" s="4"/>
      <c r="P337" s="14"/>
      <c r="Q337" s="14"/>
      <c r="R337" s="14"/>
      <c r="S337" s="14"/>
      <c r="T337" s="14"/>
      <c r="U337" s="14"/>
    </row>
    <row r="338" spans="1:21" ht="17.25" customHeight="1">
      <c r="A338" s="5" t="s">
        <v>543</v>
      </c>
      <c r="B338" s="6" t="s">
        <v>523</v>
      </c>
      <c r="C338" s="24" t="s">
        <v>2121</v>
      </c>
      <c r="D338" s="5" t="s">
        <v>548</v>
      </c>
      <c r="E338" s="5" t="s">
        <v>1249</v>
      </c>
      <c r="F338" s="14" t="s">
        <v>515</v>
      </c>
      <c r="G338" s="5" t="s">
        <v>409</v>
      </c>
      <c r="H338" s="41" t="s">
        <v>858</v>
      </c>
      <c r="I338" s="5" t="s">
        <v>410</v>
      </c>
      <c r="J338" s="14" t="s">
        <v>411</v>
      </c>
      <c r="K338" s="14" t="b">
        <v>1</v>
      </c>
      <c r="L338" s="4" t="s">
        <v>516</v>
      </c>
      <c r="M338" s="4" t="s">
        <v>413</v>
      </c>
      <c r="N338" s="4"/>
      <c r="O338" s="4"/>
      <c r="P338" s="14"/>
      <c r="Q338" s="14"/>
      <c r="R338" s="14"/>
      <c r="S338" s="14"/>
      <c r="T338" s="14"/>
      <c r="U338" s="14"/>
    </row>
    <row r="339" spans="1:21" ht="17.25" customHeight="1">
      <c r="A339" s="5" t="s">
        <v>549</v>
      </c>
      <c r="B339" s="6" t="s">
        <v>513</v>
      </c>
      <c r="C339" s="24" t="s">
        <v>2122</v>
      </c>
      <c r="D339" s="5" t="s">
        <v>550</v>
      </c>
      <c r="E339" s="5" t="s">
        <v>1249</v>
      </c>
      <c r="F339" s="14" t="s">
        <v>515</v>
      </c>
      <c r="G339" s="5" t="s">
        <v>409</v>
      </c>
      <c r="H339" s="41" t="s">
        <v>858</v>
      </c>
      <c r="I339" s="5" t="s">
        <v>410</v>
      </c>
      <c r="J339" s="14" t="s">
        <v>411</v>
      </c>
      <c r="K339" s="14" t="b">
        <v>1</v>
      </c>
      <c r="L339" s="4" t="s">
        <v>516</v>
      </c>
      <c r="M339" s="4" t="s">
        <v>413</v>
      </c>
      <c r="N339" s="4"/>
      <c r="O339" s="4"/>
      <c r="P339" s="14"/>
      <c r="Q339" s="14"/>
      <c r="R339" s="14"/>
      <c r="S339" s="14"/>
      <c r="T339" s="14"/>
      <c r="U339" s="14"/>
    </row>
    <row r="340" spans="1:21" ht="17.25" customHeight="1">
      <c r="A340" s="5" t="s">
        <v>549</v>
      </c>
      <c r="B340" s="6" t="s">
        <v>517</v>
      </c>
      <c r="C340" s="24" t="s">
        <v>2123</v>
      </c>
      <c r="D340" s="5" t="s">
        <v>551</v>
      </c>
      <c r="E340" s="5" t="s">
        <v>1249</v>
      </c>
      <c r="F340" s="14" t="s">
        <v>515</v>
      </c>
      <c r="G340" s="5" t="s">
        <v>409</v>
      </c>
      <c r="H340" s="41" t="s">
        <v>858</v>
      </c>
      <c r="I340" s="5" t="s">
        <v>410</v>
      </c>
      <c r="J340" s="14" t="s">
        <v>411</v>
      </c>
      <c r="K340" s="14" t="b">
        <v>1</v>
      </c>
      <c r="L340" s="4" t="s">
        <v>516</v>
      </c>
      <c r="M340" s="4" t="s">
        <v>413</v>
      </c>
      <c r="N340" s="4"/>
      <c r="O340" s="4"/>
      <c r="P340" s="14"/>
      <c r="Q340" s="14"/>
      <c r="R340" s="14"/>
      <c r="S340" s="14"/>
      <c r="T340" s="14"/>
      <c r="U340" s="14"/>
    </row>
    <row r="341" spans="1:21" ht="17.25" customHeight="1">
      <c r="A341" s="5" t="s">
        <v>549</v>
      </c>
      <c r="B341" s="6" t="s">
        <v>519</v>
      </c>
      <c r="C341" s="24" t="s">
        <v>2124</v>
      </c>
      <c r="D341" s="5" t="s">
        <v>552</v>
      </c>
      <c r="E341" s="5" t="s">
        <v>1249</v>
      </c>
      <c r="F341" s="14" t="s">
        <v>515</v>
      </c>
      <c r="G341" s="5" t="s">
        <v>409</v>
      </c>
      <c r="H341" s="41" t="s">
        <v>858</v>
      </c>
      <c r="I341" s="5" t="s">
        <v>410</v>
      </c>
      <c r="J341" s="14" t="s">
        <v>411</v>
      </c>
      <c r="K341" s="14" t="b">
        <v>1</v>
      </c>
      <c r="L341" s="4" t="s">
        <v>516</v>
      </c>
      <c r="M341" s="4" t="s">
        <v>413</v>
      </c>
      <c r="N341" s="4"/>
      <c r="O341" s="4"/>
      <c r="P341" s="14"/>
      <c r="Q341" s="14"/>
      <c r="R341" s="14"/>
      <c r="S341" s="14"/>
      <c r="T341" s="14"/>
      <c r="U341" s="14"/>
    </row>
    <row r="342" spans="1:21" ht="17.25" customHeight="1">
      <c r="A342" s="5" t="s">
        <v>549</v>
      </c>
      <c r="B342" s="6" t="s">
        <v>521</v>
      </c>
      <c r="C342" s="24" t="s">
        <v>2125</v>
      </c>
      <c r="D342" s="5" t="s">
        <v>553</v>
      </c>
      <c r="E342" s="5" t="s">
        <v>1249</v>
      </c>
      <c r="F342" s="14" t="s">
        <v>515</v>
      </c>
      <c r="G342" s="5" t="s">
        <v>409</v>
      </c>
      <c r="H342" s="41" t="s">
        <v>858</v>
      </c>
      <c r="I342" s="5" t="s">
        <v>410</v>
      </c>
      <c r="J342" s="14" t="s">
        <v>411</v>
      </c>
      <c r="K342" s="14" t="b">
        <v>1</v>
      </c>
      <c r="L342" s="4" t="s">
        <v>516</v>
      </c>
      <c r="M342" s="4" t="s">
        <v>413</v>
      </c>
      <c r="N342" s="4"/>
      <c r="O342" s="4"/>
      <c r="P342" s="14"/>
      <c r="Q342" s="14"/>
      <c r="R342" s="14"/>
      <c r="S342" s="14"/>
      <c r="T342" s="14"/>
      <c r="U342" s="14"/>
    </row>
    <row r="343" spans="1:21" ht="17.25" customHeight="1">
      <c r="A343" s="5" t="s">
        <v>549</v>
      </c>
      <c r="B343" s="6" t="s">
        <v>523</v>
      </c>
      <c r="C343" s="24" t="s">
        <v>2126</v>
      </c>
      <c r="D343" s="5" t="s">
        <v>554</v>
      </c>
      <c r="E343" s="5" t="s">
        <v>1249</v>
      </c>
      <c r="F343" s="14" t="s">
        <v>515</v>
      </c>
      <c r="G343" s="5" t="s">
        <v>409</v>
      </c>
      <c r="H343" s="41" t="s">
        <v>858</v>
      </c>
      <c r="I343" s="5" t="s">
        <v>410</v>
      </c>
      <c r="J343" s="14" t="s">
        <v>411</v>
      </c>
      <c r="K343" s="14" t="b">
        <v>1</v>
      </c>
      <c r="L343" s="4" t="s">
        <v>516</v>
      </c>
      <c r="M343" s="4" t="s">
        <v>413</v>
      </c>
      <c r="N343" s="4"/>
      <c r="O343" s="4"/>
      <c r="P343" s="14"/>
      <c r="Q343" s="14"/>
      <c r="R343" s="14"/>
      <c r="S343" s="14"/>
      <c r="T343" s="14"/>
      <c r="U343" s="14"/>
    </row>
    <row r="344" spans="1:21" ht="17.25" customHeight="1">
      <c r="A344" s="5" t="s">
        <v>555</v>
      </c>
      <c r="B344" s="6" t="s">
        <v>513</v>
      </c>
      <c r="C344" s="24" t="s">
        <v>2127</v>
      </c>
      <c r="D344" s="5" t="s">
        <v>556</v>
      </c>
      <c r="E344" s="5" t="s">
        <v>1249</v>
      </c>
      <c r="F344" s="14" t="s">
        <v>515</v>
      </c>
      <c r="G344" s="5" t="s">
        <v>409</v>
      </c>
      <c r="H344" s="41" t="s">
        <v>858</v>
      </c>
      <c r="I344" s="5" t="s">
        <v>410</v>
      </c>
      <c r="J344" s="14" t="s">
        <v>411</v>
      </c>
      <c r="K344" s="14" t="b">
        <v>1</v>
      </c>
      <c r="L344" s="4" t="s">
        <v>516</v>
      </c>
      <c r="M344" s="4" t="s">
        <v>413</v>
      </c>
      <c r="N344" s="4"/>
      <c r="O344" s="4"/>
      <c r="P344" s="14"/>
      <c r="Q344" s="14"/>
      <c r="R344" s="14"/>
      <c r="S344" s="14"/>
      <c r="T344" s="14"/>
      <c r="U344" s="14"/>
    </row>
    <row r="345" spans="1:21" ht="17.25" customHeight="1">
      <c r="A345" s="5" t="s">
        <v>555</v>
      </c>
      <c r="B345" s="6" t="s">
        <v>517</v>
      </c>
      <c r="C345" s="24" t="s">
        <v>2128</v>
      </c>
      <c r="D345" s="5" t="s">
        <v>557</v>
      </c>
      <c r="E345" s="5" t="s">
        <v>1249</v>
      </c>
      <c r="F345" s="14" t="s">
        <v>515</v>
      </c>
      <c r="G345" s="5" t="s">
        <v>409</v>
      </c>
      <c r="H345" s="41" t="s">
        <v>858</v>
      </c>
      <c r="I345" s="5" t="s">
        <v>410</v>
      </c>
      <c r="J345" s="14" t="s">
        <v>411</v>
      </c>
      <c r="K345" s="14" t="b">
        <v>1</v>
      </c>
      <c r="L345" s="4" t="s">
        <v>516</v>
      </c>
      <c r="M345" s="4" t="s">
        <v>413</v>
      </c>
      <c r="N345" s="4"/>
      <c r="O345" s="4"/>
      <c r="P345" s="14"/>
      <c r="Q345" s="14"/>
      <c r="R345" s="14"/>
      <c r="S345" s="14"/>
      <c r="T345" s="14"/>
      <c r="U345" s="14"/>
    </row>
    <row r="346" spans="1:21" ht="17.25" customHeight="1">
      <c r="A346" s="5" t="s">
        <v>555</v>
      </c>
      <c r="B346" s="6" t="s">
        <v>519</v>
      </c>
      <c r="C346" s="24" t="s">
        <v>2129</v>
      </c>
      <c r="D346" s="5" t="s">
        <v>558</v>
      </c>
      <c r="E346" s="5" t="s">
        <v>1249</v>
      </c>
      <c r="F346" s="14" t="s">
        <v>515</v>
      </c>
      <c r="G346" s="5" t="s">
        <v>409</v>
      </c>
      <c r="H346" s="41" t="s">
        <v>858</v>
      </c>
      <c r="I346" s="5" t="s">
        <v>410</v>
      </c>
      <c r="J346" s="14" t="s">
        <v>411</v>
      </c>
      <c r="K346" s="14" t="b">
        <v>1</v>
      </c>
      <c r="L346" s="4" t="s">
        <v>516</v>
      </c>
      <c r="M346" s="4" t="s">
        <v>413</v>
      </c>
      <c r="N346" s="4"/>
      <c r="O346" s="4"/>
      <c r="P346" s="14"/>
      <c r="Q346" s="14"/>
      <c r="R346" s="14"/>
      <c r="S346" s="14"/>
      <c r="T346" s="14"/>
      <c r="U346" s="14"/>
    </row>
    <row r="347" spans="1:21" ht="17.25" customHeight="1">
      <c r="A347" s="5" t="s">
        <v>555</v>
      </c>
      <c r="B347" s="6" t="s">
        <v>521</v>
      </c>
      <c r="C347" s="24" t="s">
        <v>2130</v>
      </c>
      <c r="D347" s="5" t="s">
        <v>559</v>
      </c>
      <c r="E347" s="5" t="s">
        <v>1249</v>
      </c>
      <c r="F347" s="14" t="s">
        <v>515</v>
      </c>
      <c r="G347" s="5" t="s">
        <v>409</v>
      </c>
      <c r="H347" s="41" t="s">
        <v>858</v>
      </c>
      <c r="I347" s="5" t="s">
        <v>410</v>
      </c>
      <c r="J347" s="14" t="s">
        <v>411</v>
      </c>
      <c r="K347" s="14" t="b">
        <v>1</v>
      </c>
      <c r="L347" s="4" t="s">
        <v>516</v>
      </c>
      <c r="M347" s="4" t="s">
        <v>413</v>
      </c>
      <c r="N347" s="4"/>
      <c r="O347" s="4"/>
      <c r="P347" s="14"/>
      <c r="Q347" s="14"/>
      <c r="R347" s="14"/>
      <c r="S347" s="14"/>
      <c r="T347" s="14"/>
      <c r="U347" s="14"/>
    </row>
    <row r="348" spans="1:21" ht="17.25" customHeight="1">
      <c r="A348" s="5" t="s">
        <v>555</v>
      </c>
      <c r="B348" s="6" t="s">
        <v>523</v>
      </c>
      <c r="C348" s="24" t="s">
        <v>2131</v>
      </c>
      <c r="D348" s="5" t="s">
        <v>560</v>
      </c>
      <c r="E348" s="5" t="s">
        <v>1249</v>
      </c>
      <c r="F348" s="14" t="s">
        <v>515</v>
      </c>
      <c r="G348" s="5" t="s">
        <v>409</v>
      </c>
      <c r="H348" s="41" t="s">
        <v>858</v>
      </c>
      <c r="I348" s="5" t="s">
        <v>410</v>
      </c>
      <c r="J348" s="14" t="s">
        <v>411</v>
      </c>
      <c r="K348" s="14" t="b">
        <v>1</v>
      </c>
      <c r="L348" s="4" t="s">
        <v>516</v>
      </c>
      <c r="M348" s="4" t="s">
        <v>413</v>
      </c>
      <c r="N348" s="4"/>
      <c r="O348" s="4"/>
      <c r="P348" s="14"/>
      <c r="Q348" s="14"/>
      <c r="R348" s="14"/>
      <c r="S348" s="14"/>
      <c r="T348" s="14"/>
      <c r="U348" s="14"/>
    </row>
    <row r="349" spans="1:21" ht="17.25" customHeight="1">
      <c r="A349" s="5" t="s">
        <v>561</v>
      </c>
      <c r="B349" s="6" t="s">
        <v>513</v>
      </c>
      <c r="C349" s="24" t="s">
        <v>2132</v>
      </c>
      <c r="D349" s="5" t="s">
        <v>562</v>
      </c>
      <c r="E349" s="5" t="s">
        <v>1249</v>
      </c>
      <c r="F349" s="14" t="s">
        <v>515</v>
      </c>
      <c r="G349" s="5" t="s">
        <v>409</v>
      </c>
      <c r="H349" s="41" t="s">
        <v>858</v>
      </c>
      <c r="I349" s="5" t="s">
        <v>410</v>
      </c>
      <c r="J349" s="14" t="s">
        <v>411</v>
      </c>
      <c r="K349" s="14" t="b">
        <v>1</v>
      </c>
      <c r="L349" s="4" t="s">
        <v>516</v>
      </c>
      <c r="M349" s="4" t="s">
        <v>413</v>
      </c>
      <c r="N349" s="4"/>
      <c r="O349" s="4"/>
      <c r="P349" s="14"/>
      <c r="Q349" s="14"/>
      <c r="R349" s="14"/>
      <c r="S349" s="14"/>
      <c r="T349" s="14"/>
      <c r="U349" s="14"/>
    </row>
    <row r="350" spans="1:21" ht="17.25" customHeight="1">
      <c r="A350" s="5" t="s">
        <v>561</v>
      </c>
      <c r="B350" s="6" t="s">
        <v>517</v>
      </c>
      <c r="C350" s="24" t="s">
        <v>2133</v>
      </c>
      <c r="D350" s="5" t="s">
        <v>563</v>
      </c>
      <c r="E350" s="5" t="s">
        <v>1249</v>
      </c>
      <c r="F350" s="14" t="s">
        <v>515</v>
      </c>
      <c r="G350" s="5" t="s">
        <v>409</v>
      </c>
      <c r="H350" s="41" t="s">
        <v>858</v>
      </c>
      <c r="I350" s="5" t="s">
        <v>410</v>
      </c>
      <c r="J350" s="14" t="s">
        <v>411</v>
      </c>
      <c r="K350" s="14" t="b">
        <v>1</v>
      </c>
      <c r="L350" s="4" t="s">
        <v>516</v>
      </c>
      <c r="M350" s="4" t="s">
        <v>413</v>
      </c>
      <c r="N350" s="4"/>
      <c r="O350" s="4"/>
      <c r="P350" s="14"/>
      <c r="Q350" s="14"/>
      <c r="R350" s="14"/>
      <c r="S350" s="14"/>
      <c r="T350" s="14"/>
      <c r="U350" s="14"/>
    </row>
    <row r="351" spans="1:21" ht="17.25" customHeight="1">
      <c r="A351" s="5" t="s">
        <v>561</v>
      </c>
      <c r="B351" s="6" t="s">
        <v>519</v>
      </c>
      <c r="C351" s="24" t="s">
        <v>2134</v>
      </c>
      <c r="D351" s="5" t="s">
        <v>564</v>
      </c>
      <c r="E351" s="5" t="s">
        <v>1249</v>
      </c>
      <c r="F351" s="14" t="s">
        <v>515</v>
      </c>
      <c r="G351" s="5" t="s">
        <v>409</v>
      </c>
      <c r="H351" s="41" t="s">
        <v>858</v>
      </c>
      <c r="I351" s="5" t="s">
        <v>410</v>
      </c>
      <c r="J351" s="14" t="s">
        <v>411</v>
      </c>
      <c r="K351" s="14" t="b">
        <v>1</v>
      </c>
      <c r="L351" s="4" t="s">
        <v>516</v>
      </c>
      <c r="M351" s="4" t="s">
        <v>413</v>
      </c>
      <c r="N351" s="4"/>
      <c r="O351" s="4"/>
      <c r="P351" s="14"/>
      <c r="Q351" s="14"/>
      <c r="R351" s="14"/>
      <c r="S351" s="14"/>
      <c r="T351" s="14"/>
      <c r="U351" s="14"/>
    </row>
    <row r="352" spans="1:21" ht="17.25" customHeight="1">
      <c r="A352" s="5" t="s">
        <v>561</v>
      </c>
      <c r="B352" s="6" t="s">
        <v>521</v>
      </c>
      <c r="C352" s="24" t="s">
        <v>2135</v>
      </c>
      <c r="D352" s="5" t="s">
        <v>565</v>
      </c>
      <c r="E352" s="5" t="s">
        <v>1249</v>
      </c>
      <c r="F352" s="14" t="s">
        <v>515</v>
      </c>
      <c r="G352" s="5" t="s">
        <v>409</v>
      </c>
      <c r="H352" s="41" t="s">
        <v>858</v>
      </c>
      <c r="I352" s="5" t="s">
        <v>410</v>
      </c>
      <c r="J352" s="14" t="s">
        <v>411</v>
      </c>
      <c r="K352" s="14" t="b">
        <v>1</v>
      </c>
      <c r="L352" s="4" t="s">
        <v>516</v>
      </c>
      <c r="M352" s="4" t="s">
        <v>413</v>
      </c>
      <c r="N352" s="4"/>
      <c r="O352" s="4"/>
      <c r="P352" s="14"/>
      <c r="Q352" s="14"/>
      <c r="R352" s="14"/>
      <c r="S352" s="14"/>
      <c r="T352" s="14"/>
      <c r="U352" s="14"/>
    </row>
    <row r="353" spans="1:21" ht="17.25" customHeight="1">
      <c r="A353" s="5" t="s">
        <v>561</v>
      </c>
      <c r="B353" s="6" t="s">
        <v>523</v>
      </c>
      <c r="C353" s="24" t="s">
        <v>2136</v>
      </c>
      <c r="D353" s="5" t="s">
        <v>566</v>
      </c>
      <c r="E353" s="5" t="s">
        <v>1249</v>
      </c>
      <c r="F353" s="14" t="s">
        <v>515</v>
      </c>
      <c r="G353" s="5" t="s">
        <v>409</v>
      </c>
      <c r="H353" s="41" t="s">
        <v>858</v>
      </c>
      <c r="I353" s="5" t="s">
        <v>410</v>
      </c>
      <c r="J353" s="14" t="s">
        <v>411</v>
      </c>
      <c r="K353" s="14" t="b">
        <v>1</v>
      </c>
      <c r="L353" s="4" t="s">
        <v>516</v>
      </c>
      <c r="M353" s="4" t="s">
        <v>413</v>
      </c>
      <c r="N353" s="4"/>
      <c r="O353" s="4"/>
      <c r="P353" s="14"/>
      <c r="Q353" s="14"/>
      <c r="R353" s="14"/>
      <c r="S353" s="14"/>
      <c r="T353" s="14"/>
      <c r="U353" s="14"/>
    </row>
    <row r="354" spans="1:21" ht="17.25" customHeight="1">
      <c r="A354" s="5" t="s">
        <v>567</v>
      </c>
      <c r="B354" s="6" t="s">
        <v>513</v>
      </c>
      <c r="C354" s="24" t="s">
        <v>2137</v>
      </c>
      <c r="D354" s="5" t="s">
        <v>568</v>
      </c>
      <c r="E354" s="5" t="s">
        <v>1249</v>
      </c>
      <c r="F354" s="14" t="s">
        <v>515</v>
      </c>
      <c r="G354" s="5" t="s">
        <v>409</v>
      </c>
      <c r="H354" s="41" t="s">
        <v>858</v>
      </c>
      <c r="I354" s="5" t="s">
        <v>410</v>
      </c>
      <c r="J354" s="14" t="s">
        <v>411</v>
      </c>
      <c r="K354" s="14" t="b">
        <v>1</v>
      </c>
      <c r="L354" s="4" t="s">
        <v>516</v>
      </c>
      <c r="M354" s="4" t="s">
        <v>413</v>
      </c>
      <c r="N354" s="4"/>
      <c r="O354" s="4"/>
      <c r="P354" s="14"/>
      <c r="Q354" s="14"/>
      <c r="R354" s="14"/>
      <c r="S354" s="14"/>
      <c r="T354" s="14"/>
      <c r="U354" s="14"/>
    </row>
    <row r="355" spans="1:21" ht="17.25" customHeight="1">
      <c r="A355" s="5" t="s">
        <v>567</v>
      </c>
      <c r="B355" s="6" t="s">
        <v>517</v>
      </c>
      <c r="C355" s="24" t="s">
        <v>2138</v>
      </c>
      <c r="D355" s="5" t="s">
        <v>569</v>
      </c>
      <c r="E355" s="5" t="s">
        <v>1249</v>
      </c>
      <c r="F355" s="14" t="s">
        <v>515</v>
      </c>
      <c r="G355" s="5" t="s">
        <v>409</v>
      </c>
      <c r="H355" s="41" t="s">
        <v>858</v>
      </c>
      <c r="I355" s="5" t="s">
        <v>410</v>
      </c>
      <c r="J355" s="14" t="s">
        <v>411</v>
      </c>
      <c r="K355" s="14" t="b">
        <v>1</v>
      </c>
      <c r="L355" s="4" t="s">
        <v>516</v>
      </c>
      <c r="M355" s="4" t="s">
        <v>413</v>
      </c>
      <c r="N355" s="4"/>
      <c r="O355" s="4"/>
      <c r="P355" s="14"/>
      <c r="Q355" s="14"/>
      <c r="R355" s="14"/>
      <c r="S355" s="14"/>
      <c r="T355" s="14"/>
      <c r="U355" s="14"/>
    </row>
    <row r="356" spans="1:21" ht="17.25" customHeight="1">
      <c r="A356" s="5" t="s">
        <v>567</v>
      </c>
      <c r="B356" s="6" t="s">
        <v>519</v>
      </c>
      <c r="C356" s="24" t="s">
        <v>2139</v>
      </c>
      <c r="D356" s="5" t="s">
        <v>570</v>
      </c>
      <c r="E356" s="5" t="s">
        <v>1249</v>
      </c>
      <c r="F356" s="14" t="s">
        <v>515</v>
      </c>
      <c r="G356" s="5" t="s">
        <v>409</v>
      </c>
      <c r="H356" s="41" t="s">
        <v>858</v>
      </c>
      <c r="I356" s="5" t="s">
        <v>410</v>
      </c>
      <c r="J356" s="14" t="s">
        <v>411</v>
      </c>
      <c r="K356" s="14" t="b">
        <v>1</v>
      </c>
      <c r="L356" s="4" t="s">
        <v>516</v>
      </c>
      <c r="M356" s="4" t="s">
        <v>413</v>
      </c>
      <c r="N356" s="4"/>
      <c r="O356" s="4"/>
      <c r="P356" s="14"/>
      <c r="Q356" s="14"/>
      <c r="R356" s="14"/>
      <c r="S356" s="14"/>
      <c r="T356" s="14"/>
      <c r="U356" s="14"/>
    </row>
    <row r="357" spans="1:21" ht="17.25" customHeight="1">
      <c r="A357" s="5" t="s">
        <v>567</v>
      </c>
      <c r="B357" s="6" t="s">
        <v>521</v>
      </c>
      <c r="C357" s="24" t="s">
        <v>2140</v>
      </c>
      <c r="D357" s="5" t="s">
        <v>571</v>
      </c>
      <c r="E357" s="5" t="s">
        <v>1249</v>
      </c>
      <c r="F357" s="14" t="s">
        <v>515</v>
      </c>
      <c r="G357" s="5" t="s">
        <v>409</v>
      </c>
      <c r="H357" s="41" t="s">
        <v>858</v>
      </c>
      <c r="I357" s="5" t="s">
        <v>410</v>
      </c>
      <c r="J357" s="14" t="s">
        <v>411</v>
      </c>
      <c r="K357" s="14" t="b">
        <v>1</v>
      </c>
      <c r="L357" s="4" t="s">
        <v>516</v>
      </c>
      <c r="M357" s="4" t="s">
        <v>413</v>
      </c>
      <c r="N357" s="4"/>
      <c r="O357" s="4"/>
      <c r="P357" s="14"/>
      <c r="Q357" s="14"/>
      <c r="R357" s="14"/>
      <c r="S357" s="14"/>
      <c r="T357" s="14"/>
      <c r="U357" s="14"/>
    </row>
    <row r="358" spans="1:21" ht="17.25" customHeight="1">
      <c r="A358" s="5" t="s">
        <v>567</v>
      </c>
      <c r="B358" s="6" t="s">
        <v>523</v>
      </c>
      <c r="C358" s="24" t="s">
        <v>2141</v>
      </c>
      <c r="D358" s="5" t="s">
        <v>572</v>
      </c>
      <c r="E358" s="5" t="s">
        <v>1249</v>
      </c>
      <c r="F358" s="14" t="s">
        <v>515</v>
      </c>
      <c r="G358" s="5" t="s">
        <v>409</v>
      </c>
      <c r="H358" s="41" t="s">
        <v>858</v>
      </c>
      <c r="I358" s="5" t="s">
        <v>410</v>
      </c>
      <c r="J358" s="14" t="s">
        <v>411</v>
      </c>
      <c r="K358" s="14" t="b">
        <v>1</v>
      </c>
      <c r="L358" s="4" t="s">
        <v>516</v>
      </c>
      <c r="M358" s="4" t="s">
        <v>413</v>
      </c>
      <c r="N358" s="4"/>
      <c r="O358" s="4"/>
      <c r="P358" s="14"/>
      <c r="Q358" s="14"/>
      <c r="R358" s="14"/>
      <c r="S358" s="14"/>
      <c r="T358" s="14"/>
      <c r="U358" s="14"/>
    </row>
    <row r="359" spans="1:21" ht="17.25" customHeight="1">
      <c r="A359" s="5" t="s">
        <v>573</v>
      </c>
      <c r="B359" s="6" t="s">
        <v>513</v>
      </c>
      <c r="C359" s="24" t="s">
        <v>2142</v>
      </c>
      <c r="D359" s="5" t="s">
        <v>574</v>
      </c>
      <c r="E359" s="5" t="s">
        <v>1249</v>
      </c>
      <c r="F359" s="14" t="s">
        <v>515</v>
      </c>
      <c r="G359" s="5" t="s">
        <v>409</v>
      </c>
      <c r="H359" s="41" t="s">
        <v>858</v>
      </c>
      <c r="I359" s="5" t="s">
        <v>410</v>
      </c>
      <c r="J359" s="14" t="s">
        <v>411</v>
      </c>
      <c r="K359" s="14" t="b">
        <v>1</v>
      </c>
      <c r="L359" s="4" t="s">
        <v>516</v>
      </c>
      <c r="M359" s="4" t="s">
        <v>413</v>
      </c>
      <c r="N359" s="4"/>
      <c r="O359" s="4"/>
      <c r="P359" s="14"/>
      <c r="Q359" s="14"/>
      <c r="R359" s="14"/>
      <c r="S359" s="14"/>
      <c r="T359" s="14"/>
      <c r="U359" s="14"/>
    </row>
    <row r="360" spans="1:21" ht="17.25" customHeight="1">
      <c r="A360" s="5" t="s">
        <v>573</v>
      </c>
      <c r="B360" s="6" t="s">
        <v>517</v>
      </c>
      <c r="C360" s="24" t="s">
        <v>2143</v>
      </c>
      <c r="D360" s="5" t="s">
        <v>575</v>
      </c>
      <c r="E360" s="5" t="s">
        <v>1249</v>
      </c>
      <c r="F360" s="14" t="s">
        <v>515</v>
      </c>
      <c r="G360" s="5" t="s">
        <v>409</v>
      </c>
      <c r="H360" s="41" t="s">
        <v>858</v>
      </c>
      <c r="I360" s="5" t="s">
        <v>410</v>
      </c>
      <c r="J360" s="14" t="s">
        <v>411</v>
      </c>
      <c r="K360" s="14" t="b">
        <v>1</v>
      </c>
      <c r="L360" s="4" t="s">
        <v>516</v>
      </c>
      <c r="M360" s="4" t="s">
        <v>413</v>
      </c>
      <c r="N360" s="4"/>
      <c r="O360" s="4"/>
      <c r="P360" s="14"/>
      <c r="Q360" s="14"/>
      <c r="R360" s="14"/>
      <c r="S360" s="14"/>
      <c r="T360" s="14"/>
      <c r="U360" s="14"/>
    </row>
    <row r="361" spans="1:21" ht="17.25" customHeight="1">
      <c r="A361" s="5" t="s">
        <v>573</v>
      </c>
      <c r="B361" s="6" t="s">
        <v>519</v>
      </c>
      <c r="C361" s="24" t="s">
        <v>2144</v>
      </c>
      <c r="D361" s="5" t="s">
        <v>576</v>
      </c>
      <c r="E361" s="5" t="s">
        <v>1249</v>
      </c>
      <c r="F361" s="14" t="s">
        <v>515</v>
      </c>
      <c r="G361" s="5" t="s">
        <v>409</v>
      </c>
      <c r="H361" s="41" t="s">
        <v>858</v>
      </c>
      <c r="I361" s="5" t="s">
        <v>410</v>
      </c>
      <c r="J361" s="14" t="s">
        <v>411</v>
      </c>
      <c r="K361" s="14" t="b">
        <v>1</v>
      </c>
      <c r="L361" s="4" t="s">
        <v>516</v>
      </c>
      <c r="M361" s="4" t="s">
        <v>413</v>
      </c>
      <c r="N361" s="4"/>
      <c r="O361" s="4"/>
      <c r="P361" s="14"/>
      <c r="Q361" s="14"/>
      <c r="R361" s="14"/>
      <c r="S361" s="14"/>
      <c r="T361" s="14"/>
      <c r="U361" s="14"/>
    </row>
    <row r="362" spans="1:21" ht="17.25" customHeight="1">
      <c r="A362" s="5" t="s">
        <v>573</v>
      </c>
      <c r="B362" s="6" t="s">
        <v>521</v>
      </c>
      <c r="C362" s="24" t="s">
        <v>2145</v>
      </c>
      <c r="D362" s="5" t="s">
        <v>577</v>
      </c>
      <c r="E362" s="5" t="s">
        <v>1249</v>
      </c>
      <c r="F362" s="14" t="s">
        <v>515</v>
      </c>
      <c r="G362" s="5" t="s">
        <v>409</v>
      </c>
      <c r="H362" s="41" t="s">
        <v>858</v>
      </c>
      <c r="I362" s="5" t="s">
        <v>410</v>
      </c>
      <c r="J362" s="14" t="s">
        <v>411</v>
      </c>
      <c r="K362" s="14" t="b">
        <v>1</v>
      </c>
      <c r="L362" s="4" t="s">
        <v>516</v>
      </c>
      <c r="M362" s="4" t="s">
        <v>413</v>
      </c>
      <c r="N362" s="4"/>
      <c r="O362" s="4"/>
      <c r="P362" s="14"/>
      <c r="Q362" s="14"/>
      <c r="R362" s="14"/>
      <c r="S362" s="14"/>
      <c r="T362" s="14"/>
      <c r="U362" s="14"/>
    </row>
    <row r="363" spans="1:21" ht="17.25" customHeight="1">
      <c r="A363" s="5" t="s">
        <v>573</v>
      </c>
      <c r="B363" s="6" t="s">
        <v>523</v>
      </c>
      <c r="C363" s="24" t="s">
        <v>2146</v>
      </c>
      <c r="D363" s="5" t="s">
        <v>578</v>
      </c>
      <c r="E363" s="5" t="s">
        <v>1249</v>
      </c>
      <c r="F363" s="14" t="s">
        <v>515</v>
      </c>
      <c r="G363" s="5" t="s">
        <v>409</v>
      </c>
      <c r="H363" s="41" t="s">
        <v>858</v>
      </c>
      <c r="I363" s="5" t="s">
        <v>410</v>
      </c>
      <c r="J363" s="14" t="s">
        <v>411</v>
      </c>
      <c r="K363" s="14" t="b">
        <v>1</v>
      </c>
      <c r="L363" s="5" t="s">
        <v>516</v>
      </c>
      <c r="M363" s="4" t="s">
        <v>413</v>
      </c>
      <c r="N363" s="4"/>
      <c r="O363" s="4"/>
      <c r="P363" s="14"/>
      <c r="Q363" s="14"/>
      <c r="R363" s="14"/>
      <c r="S363" s="14"/>
      <c r="T363" s="14"/>
      <c r="U363" s="14"/>
    </row>
    <row r="364" spans="1:21" ht="17.25" customHeight="1">
      <c r="A364" s="5" t="s">
        <v>579</v>
      </c>
      <c r="B364" s="6" t="s">
        <v>406</v>
      </c>
      <c r="C364" s="24" t="s">
        <v>2147</v>
      </c>
      <c r="D364" s="5" t="s">
        <v>580</v>
      </c>
      <c r="E364" s="5" t="s">
        <v>1253</v>
      </c>
      <c r="F364" s="14" t="s">
        <v>581</v>
      </c>
      <c r="G364" s="5" t="s">
        <v>409</v>
      </c>
      <c r="H364" s="41" t="s">
        <v>858</v>
      </c>
      <c r="I364" s="5" t="s">
        <v>410</v>
      </c>
      <c r="J364" s="14" t="s">
        <v>411</v>
      </c>
      <c r="K364" s="14" t="b">
        <v>1</v>
      </c>
      <c r="L364" s="5" t="s">
        <v>582</v>
      </c>
      <c r="M364" s="4" t="s">
        <v>413</v>
      </c>
      <c r="N364" s="4"/>
      <c r="O364" s="4"/>
      <c r="P364" s="14"/>
      <c r="Q364" s="14"/>
      <c r="R364" s="14"/>
      <c r="S364" s="14"/>
      <c r="T364" s="14"/>
      <c r="U364" s="14"/>
    </row>
    <row r="365" spans="1:21" ht="17.25" customHeight="1">
      <c r="A365" s="5" t="s">
        <v>585</v>
      </c>
      <c r="B365" s="6" t="s">
        <v>585</v>
      </c>
      <c r="C365" s="24" t="s">
        <v>2148</v>
      </c>
      <c r="D365" s="5" t="s">
        <v>586</v>
      </c>
      <c r="E365" s="5" t="s">
        <v>1257</v>
      </c>
      <c r="F365" s="14" t="s">
        <v>583</v>
      </c>
      <c r="G365" s="5" t="s">
        <v>409</v>
      </c>
      <c r="H365" s="41" t="s">
        <v>858</v>
      </c>
      <c r="I365" s="5" t="s">
        <v>410</v>
      </c>
      <c r="J365" s="14" t="s">
        <v>411</v>
      </c>
      <c r="K365" s="14" t="b">
        <v>1</v>
      </c>
      <c r="L365" s="4" t="s">
        <v>584</v>
      </c>
      <c r="M365" s="4" t="s">
        <v>413</v>
      </c>
      <c r="N365" s="4"/>
      <c r="O365" s="4"/>
      <c r="P365" s="14"/>
      <c r="Q365" s="14"/>
      <c r="R365" s="14"/>
      <c r="S365" s="14"/>
      <c r="T365" s="14"/>
      <c r="U365" s="14"/>
    </row>
    <row r="366" spans="1:21" ht="17.25" customHeight="1">
      <c r="A366" s="5" t="s">
        <v>587</v>
      </c>
      <c r="B366" s="6" t="s">
        <v>587</v>
      </c>
      <c r="C366" s="24" t="s">
        <v>2149</v>
      </c>
      <c r="D366" s="5" t="s">
        <v>588</v>
      </c>
      <c r="E366" s="5" t="s">
        <v>1257</v>
      </c>
      <c r="F366" s="14" t="s">
        <v>583</v>
      </c>
      <c r="G366" s="5" t="s">
        <v>409</v>
      </c>
      <c r="H366" s="41" t="s">
        <v>858</v>
      </c>
      <c r="I366" s="5" t="s">
        <v>410</v>
      </c>
      <c r="J366" s="14" t="s">
        <v>411</v>
      </c>
      <c r="K366" s="14" t="b">
        <v>1</v>
      </c>
      <c r="L366" s="4" t="s">
        <v>584</v>
      </c>
      <c r="M366" s="4" t="s">
        <v>413</v>
      </c>
      <c r="N366" s="4"/>
      <c r="O366" s="4"/>
      <c r="P366" s="14"/>
      <c r="Q366" s="14"/>
      <c r="R366" s="14"/>
      <c r="S366" s="14"/>
      <c r="T366" s="14"/>
      <c r="U366" s="14"/>
    </row>
    <row r="367" spans="1:21" ht="17.25" customHeight="1">
      <c r="A367" s="5" t="s">
        <v>589</v>
      </c>
      <c r="B367" s="6" t="s">
        <v>589</v>
      </c>
      <c r="C367" s="24" t="s">
        <v>2150</v>
      </c>
      <c r="D367" s="5" t="s">
        <v>590</v>
      </c>
      <c r="E367" s="5" t="s">
        <v>1257</v>
      </c>
      <c r="F367" s="14" t="s">
        <v>583</v>
      </c>
      <c r="G367" s="5" t="s">
        <v>409</v>
      </c>
      <c r="H367" s="41" t="s">
        <v>858</v>
      </c>
      <c r="I367" s="5" t="s">
        <v>410</v>
      </c>
      <c r="J367" s="14" t="s">
        <v>411</v>
      </c>
      <c r="K367" s="14" t="b">
        <v>1</v>
      </c>
      <c r="L367" s="4" t="s">
        <v>584</v>
      </c>
      <c r="M367" s="4" t="s">
        <v>413</v>
      </c>
      <c r="N367" s="4"/>
      <c r="O367" s="4"/>
      <c r="P367" s="14"/>
      <c r="Q367" s="14"/>
      <c r="R367" s="14"/>
      <c r="S367" s="14"/>
      <c r="T367" s="14"/>
      <c r="U367" s="14"/>
    </row>
    <row r="368" spans="1:21" ht="17.25" customHeight="1">
      <c r="A368" s="5" t="s">
        <v>591</v>
      </c>
      <c r="B368" s="6" t="s">
        <v>591</v>
      </c>
      <c r="C368" s="24" t="s">
        <v>2151</v>
      </c>
      <c r="D368" s="5" t="s">
        <v>592</v>
      </c>
      <c r="E368" s="5" t="s">
        <v>1257</v>
      </c>
      <c r="F368" s="14" t="s">
        <v>583</v>
      </c>
      <c r="G368" s="5" t="s">
        <v>409</v>
      </c>
      <c r="H368" s="41" t="s">
        <v>858</v>
      </c>
      <c r="I368" s="5" t="s">
        <v>410</v>
      </c>
      <c r="J368" s="14" t="s">
        <v>411</v>
      </c>
      <c r="K368" s="14" t="b">
        <v>1</v>
      </c>
      <c r="L368" s="4" t="s">
        <v>584</v>
      </c>
      <c r="M368" s="4" t="s">
        <v>413</v>
      </c>
      <c r="N368" s="4"/>
      <c r="O368" s="4"/>
      <c r="P368" s="14"/>
      <c r="Q368" s="14"/>
      <c r="R368" s="14"/>
      <c r="S368" s="14"/>
      <c r="T368" s="14"/>
      <c r="U368" s="14"/>
    </row>
    <row r="369" spans="1:21" ht="17.25" customHeight="1">
      <c r="A369" s="5" t="s">
        <v>593</v>
      </c>
      <c r="B369" s="6" t="s">
        <v>593</v>
      </c>
      <c r="C369" s="24" t="s">
        <v>2152</v>
      </c>
      <c r="D369" s="5" t="s">
        <v>594</v>
      </c>
      <c r="E369" s="5" t="s">
        <v>1257</v>
      </c>
      <c r="F369" s="14" t="s">
        <v>583</v>
      </c>
      <c r="G369" s="5" t="s">
        <v>409</v>
      </c>
      <c r="H369" s="41" t="s">
        <v>858</v>
      </c>
      <c r="I369" s="5" t="s">
        <v>410</v>
      </c>
      <c r="J369" s="14" t="s">
        <v>411</v>
      </c>
      <c r="K369" s="14" t="b">
        <v>1</v>
      </c>
      <c r="L369" s="5" t="s">
        <v>584</v>
      </c>
      <c r="M369" s="4" t="s">
        <v>413</v>
      </c>
      <c r="N369" s="4"/>
      <c r="O369" s="4"/>
      <c r="P369" s="14"/>
      <c r="Q369" s="14"/>
      <c r="R369" s="14"/>
      <c r="S369" s="14"/>
      <c r="T369" s="14"/>
      <c r="U369" s="14"/>
    </row>
    <row r="370" spans="1:21" ht="17.25" customHeight="1">
      <c r="A370" s="5" t="s">
        <v>423</v>
      </c>
      <c r="B370" s="6" t="s">
        <v>423</v>
      </c>
      <c r="C370" s="24" t="s">
        <v>2153</v>
      </c>
      <c r="D370" s="5" t="s">
        <v>595</v>
      </c>
      <c r="E370" s="5" t="s">
        <v>1262</v>
      </c>
      <c r="F370" s="14" t="s">
        <v>596</v>
      </c>
      <c r="G370" s="5" t="s">
        <v>409</v>
      </c>
      <c r="H370" s="41" t="s">
        <v>858</v>
      </c>
      <c r="I370" s="5" t="s">
        <v>410</v>
      </c>
      <c r="J370" s="14" t="s">
        <v>411</v>
      </c>
      <c r="K370" s="14" t="b">
        <v>1</v>
      </c>
      <c r="L370" s="5" t="s">
        <v>597</v>
      </c>
      <c r="M370" s="4" t="s">
        <v>413</v>
      </c>
      <c r="N370" s="4"/>
      <c r="O370" s="4"/>
      <c r="P370" s="14"/>
      <c r="Q370" s="14"/>
      <c r="R370" s="14"/>
      <c r="S370" s="14"/>
      <c r="T370" s="14"/>
      <c r="U370" s="14"/>
    </row>
    <row r="371" spans="1:21" ht="17.25" customHeight="1">
      <c r="A371" s="5" t="s">
        <v>598</v>
      </c>
      <c r="B371" s="6" t="s">
        <v>598</v>
      </c>
      <c r="C371" s="24" t="s">
        <v>2154</v>
      </c>
      <c r="D371" s="5" t="s">
        <v>599</v>
      </c>
      <c r="E371" s="5" t="s">
        <v>1262</v>
      </c>
      <c r="F371" s="14" t="s">
        <v>596</v>
      </c>
      <c r="G371" s="5" t="s">
        <v>409</v>
      </c>
      <c r="H371" s="41" t="s">
        <v>858</v>
      </c>
      <c r="I371" s="5" t="s">
        <v>410</v>
      </c>
      <c r="J371" s="14" t="s">
        <v>411</v>
      </c>
      <c r="K371" s="14" t="b">
        <v>1</v>
      </c>
      <c r="L371" s="4" t="s">
        <v>597</v>
      </c>
      <c r="M371" s="4" t="s">
        <v>413</v>
      </c>
      <c r="N371" s="4"/>
      <c r="O371" s="4"/>
      <c r="P371" s="14"/>
      <c r="Q371" s="14"/>
      <c r="R371" s="14"/>
      <c r="S371" s="14"/>
      <c r="T371" s="14"/>
      <c r="U371" s="14"/>
    </row>
    <row r="372" spans="1:21" ht="17.25" customHeight="1">
      <c r="A372" s="5" t="s">
        <v>600</v>
      </c>
      <c r="B372" s="6" t="s">
        <v>600</v>
      </c>
      <c r="C372" s="24" t="s">
        <v>2155</v>
      </c>
      <c r="D372" s="5" t="s">
        <v>601</v>
      </c>
      <c r="E372" s="5" t="s">
        <v>1262</v>
      </c>
      <c r="F372" s="14" t="s">
        <v>596</v>
      </c>
      <c r="G372" s="5" t="s">
        <v>409</v>
      </c>
      <c r="H372" s="41" t="s">
        <v>858</v>
      </c>
      <c r="I372" s="5" t="s">
        <v>410</v>
      </c>
      <c r="J372" s="14" t="s">
        <v>411</v>
      </c>
      <c r="K372" s="14" t="b">
        <v>1</v>
      </c>
      <c r="L372" s="4" t="s">
        <v>597</v>
      </c>
      <c r="M372" s="4" t="s">
        <v>413</v>
      </c>
      <c r="N372" s="4"/>
      <c r="O372" s="4"/>
      <c r="P372" s="14"/>
      <c r="Q372" s="14"/>
      <c r="R372" s="14"/>
      <c r="S372" s="14"/>
      <c r="T372" s="14"/>
      <c r="U372" s="14"/>
    </row>
    <row r="373" spans="1:21" ht="17.25" customHeight="1">
      <c r="A373" s="5" t="s">
        <v>602</v>
      </c>
      <c r="B373" s="6" t="s">
        <v>602</v>
      </c>
      <c r="C373" s="24" t="s">
        <v>2156</v>
      </c>
      <c r="D373" s="5" t="s">
        <v>603</v>
      </c>
      <c r="E373" s="5" t="s">
        <v>1262</v>
      </c>
      <c r="F373" s="14" t="s">
        <v>596</v>
      </c>
      <c r="G373" s="5" t="s">
        <v>409</v>
      </c>
      <c r="H373" s="41" t="s">
        <v>858</v>
      </c>
      <c r="I373" s="5" t="s">
        <v>410</v>
      </c>
      <c r="J373" s="14" t="s">
        <v>411</v>
      </c>
      <c r="K373" s="14" t="b">
        <v>1</v>
      </c>
      <c r="L373" s="4" t="s">
        <v>597</v>
      </c>
      <c r="M373" s="4" t="s">
        <v>413</v>
      </c>
      <c r="N373" s="4"/>
      <c r="O373" s="4"/>
      <c r="P373" s="14"/>
      <c r="Q373" s="14"/>
      <c r="R373" s="14"/>
      <c r="S373" s="14"/>
      <c r="T373" s="14"/>
      <c r="U373" s="14"/>
    </row>
    <row r="374" spans="1:21" ht="17.25" customHeight="1">
      <c r="A374" s="5" t="s">
        <v>604</v>
      </c>
      <c r="B374" s="6" t="s">
        <v>604</v>
      </c>
      <c r="C374" s="24" t="s">
        <v>2157</v>
      </c>
      <c r="D374" s="5" t="s">
        <v>605</v>
      </c>
      <c r="E374" s="5" t="s">
        <v>1262</v>
      </c>
      <c r="F374" s="14" t="s">
        <v>596</v>
      </c>
      <c r="G374" s="5" t="s">
        <v>409</v>
      </c>
      <c r="H374" s="41" t="s">
        <v>858</v>
      </c>
      <c r="I374" s="5" t="s">
        <v>410</v>
      </c>
      <c r="J374" s="14" t="s">
        <v>411</v>
      </c>
      <c r="K374" s="14" t="b">
        <v>1</v>
      </c>
      <c r="L374" s="4" t="s">
        <v>597</v>
      </c>
      <c r="M374" s="4" t="s">
        <v>413</v>
      </c>
      <c r="N374" s="4"/>
      <c r="O374" s="4"/>
      <c r="P374" s="14"/>
      <c r="Q374" s="14"/>
      <c r="R374" s="14"/>
      <c r="S374" s="14"/>
      <c r="T374" s="14"/>
      <c r="U374" s="14"/>
    </row>
    <row r="375" spans="1:21" ht="17.25" customHeight="1">
      <c r="A375" s="5" t="s">
        <v>606</v>
      </c>
      <c r="B375" s="6" t="s">
        <v>606</v>
      </c>
      <c r="C375" s="24" t="s">
        <v>2158</v>
      </c>
      <c r="D375" s="5" t="s">
        <v>607</v>
      </c>
      <c r="E375" s="5" t="s">
        <v>1262</v>
      </c>
      <c r="F375" s="14" t="s">
        <v>596</v>
      </c>
      <c r="G375" s="5" t="s">
        <v>409</v>
      </c>
      <c r="H375" s="41" t="s">
        <v>858</v>
      </c>
      <c r="I375" s="5" t="s">
        <v>410</v>
      </c>
      <c r="J375" s="14" t="s">
        <v>411</v>
      </c>
      <c r="K375" s="14" t="b">
        <v>1</v>
      </c>
      <c r="L375" s="4" t="s">
        <v>597</v>
      </c>
      <c r="M375" s="4" t="s">
        <v>413</v>
      </c>
      <c r="N375" s="4"/>
      <c r="O375" s="4"/>
      <c r="P375" s="14"/>
      <c r="Q375" s="14"/>
      <c r="R375" s="14"/>
      <c r="S375" s="14"/>
      <c r="T375" s="14"/>
      <c r="U375" s="14"/>
    </row>
    <row r="376" spans="1:21" ht="17.25" customHeight="1">
      <c r="A376" s="5" t="s">
        <v>608</v>
      </c>
      <c r="B376" s="6" t="s">
        <v>608</v>
      </c>
      <c r="C376" s="24" t="s">
        <v>2159</v>
      </c>
      <c r="D376" s="5" t="s">
        <v>609</v>
      </c>
      <c r="E376" s="5" t="s">
        <v>1262</v>
      </c>
      <c r="F376" s="14" t="s">
        <v>596</v>
      </c>
      <c r="G376" s="5" t="s">
        <v>409</v>
      </c>
      <c r="H376" s="41" t="s">
        <v>858</v>
      </c>
      <c r="I376" s="5" t="s">
        <v>410</v>
      </c>
      <c r="J376" s="14" t="s">
        <v>411</v>
      </c>
      <c r="K376" s="14" t="b">
        <v>1</v>
      </c>
      <c r="L376" s="5" t="s">
        <v>597</v>
      </c>
      <c r="M376" s="4" t="s">
        <v>413</v>
      </c>
      <c r="N376" s="4"/>
      <c r="O376" s="4"/>
      <c r="P376" s="14"/>
      <c r="Q376" s="14"/>
      <c r="R376" s="14"/>
      <c r="S376" s="14"/>
      <c r="T376" s="14"/>
      <c r="U376" s="14"/>
    </row>
    <row r="377" spans="1:21" ht="17.25" customHeight="1">
      <c r="A377" s="5" t="s">
        <v>406</v>
      </c>
      <c r="B377" s="6" t="s">
        <v>406</v>
      </c>
      <c r="C377" s="24" t="s">
        <v>2160</v>
      </c>
      <c r="D377" s="5" t="s">
        <v>610</v>
      </c>
      <c r="E377" s="5" t="s">
        <v>1265</v>
      </c>
      <c r="F377" s="14" t="s">
        <v>611</v>
      </c>
      <c r="G377" s="5" t="s">
        <v>409</v>
      </c>
      <c r="H377" s="41" t="s">
        <v>858</v>
      </c>
      <c r="I377" s="5" t="s">
        <v>410</v>
      </c>
      <c r="J377" s="14" t="s">
        <v>411</v>
      </c>
      <c r="K377" s="14" t="b">
        <v>1</v>
      </c>
      <c r="L377" s="5" t="s">
        <v>612</v>
      </c>
      <c r="M377" s="4" t="s">
        <v>413</v>
      </c>
      <c r="N377" s="4"/>
      <c r="O377" s="4"/>
      <c r="P377" s="14"/>
      <c r="Q377" s="14"/>
      <c r="R377" s="14"/>
      <c r="S377" s="14"/>
      <c r="T377" s="14"/>
      <c r="U377" s="14"/>
    </row>
    <row r="378" spans="1:21" ht="17.25" customHeight="1">
      <c r="A378" s="5" t="s">
        <v>615</v>
      </c>
      <c r="B378" s="6" t="s">
        <v>615</v>
      </c>
      <c r="C378" s="24" t="s">
        <v>2161</v>
      </c>
      <c r="D378" s="5" t="s">
        <v>616</v>
      </c>
      <c r="E378" s="5" t="s">
        <v>1269</v>
      </c>
      <c r="F378" s="14" t="s">
        <v>613</v>
      </c>
      <c r="G378" s="5" t="s">
        <v>409</v>
      </c>
      <c r="H378" s="41" t="s">
        <v>858</v>
      </c>
      <c r="I378" s="5" t="s">
        <v>410</v>
      </c>
      <c r="J378" s="14" t="s">
        <v>411</v>
      </c>
      <c r="K378" s="14" t="b">
        <v>1</v>
      </c>
      <c r="L378" s="4" t="s">
        <v>614</v>
      </c>
      <c r="M378" s="4" t="s">
        <v>413</v>
      </c>
      <c r="N378" s="4"/>
      <c r="O378" s="4"/>
      <c r="P378" s="14"/>
      <c r="Q378" s="14"/>
      <c r="R378" s="14"/>
      <c r="S378" s="14"/>
      <c r="T378" s="14"/>
      <c r="U378" s="14"/>
    </row>
    <row r="379" spans="1:21" ht="17.25" customHeight="1">
      <c r="A379" s="5" t="s">
        <v>617</v>
      </c>
      <c r="B379" s="6" t="s">
        <v>617</v>
      </c>
      <c r="C379" s="24" t="s">
        <v>2162</v>
      </c>
      <c r="D379" s="5" t="s">
        <v>618</v>
      </c>
      <c r="E379" s="5" t="s">
        <v>1269</v>
      </c>
      <c r="F379" s="14" t="s">
        <v>613</v>
      </c>
      <c r="G379" s="5" t="s">
        <v>409</v>
      </c>
      <c r="H379" s="41" t="s">
        <v>858</v>
      </c>
      <c r="I379" s="5" t="s">
        <v>410</v>
      </c>
      <c r="J379" s="14" t="s">
        <v>411</v>
      </c>
      <c r="K379" s="14" t="b">
        <v>1</v>
      </c>
      <c r="L379" s="4" t="s">
        <v>614</v>
      </c>
      <c r="M379" s="4" t="s">
        <v>413</v>
      </c>
      <c r="N379" s="4"/>
      <c r="O379" s="4"/>
      <c r="P379" s="14"/>
      <c r="Q379" s="14"/>
      <c r="R379" s="14"/>
      <c r="S379" s="14"/>
      <c r="T379" s="14"/>
      <c r="U379" s="14"/>
    </row>
    <row r="380" spans="1:21" ht="17.25" customHeight="1">
      <c r="A380" s="5" t="s">
        <v>619</v>
      </c>
      <c r="B380" s="6" t="s">
        <v>619</v>
      </c>
      <c r="C380" s="24" t="s">
        <v>2163</v>
      </c>
      <c r="D380" s="5" t="s">
        <v>620</v>
      </c>
      <c r="E380" s="5" t="s">
        <v>1269</v>
      </c>
      <c r="F380" s="14" t="s">
        <v>613</v>
      </c>
      <c r="G380" s="5" t="s">
        <v>409</v>
      </c>
      <c r="H380" s="41" t="s">
        <v>858</v>
      </c>
      <c r="I380" s="5" t="s">
        <v>410</v>
      </c>
      <c r="J380" s="14" t="s">
        <v>411</v>
      </c>
      <c r="K380" s="14" t="b">
        <v>1</v>
      </c>
      <c r="L380" s="4" t="s">
        <v>614</v>
      </c>
      <c r="M380" s="4" t="s">
        <v>413</v>
      </c>
      <c r="N380" s="4"/>
      <c r="O380" s="4"/>
      <c r="P380" s="14"/>
      <c r="Q380" s="14"/>
      <c r="R380" s="14"/>
      <c r="S380" s="14"/>
      <c r="T380" s="14"/>
      <c r="U380" s="14"/>
    </row>
    <row r="381" spans="1:21" ht="17.25" customHeight="1">
      <c r="A381" s="5" t="s">
        <v>621</v>
      </c>
      <c r="B381" s="6" t="s">
        <v>621</v>
      </c>
      <c r="C381" s="24" t="s">
        <v>2164</v>
      </c>
      <c r="D381" s="5" t="s">
        <v>622</v>
      </c>
      <c r="E381" s="5" t="s">
        <v>1269</v>
      </c>
      <c r="F381" s="14" t="s">
        <v>613</v>
      </c>
      <c r="G381" s="5" t="s">
        <v>409</v>
      </c>
      <c r="H381" s="41" t="s">
        <v>858</v>
      </c>
      <c r="I381" s="5" t="s">
        <v>410</v>
      </c>
      <c r="J381" s="14" t="s">
        <v>411</v>
      </c>
      <c r="K381" s="14" t="b">
        <v>1</v>
      </c>
      <c r="L381" s="4" t="s">
        <v>614</v>
      </c>
      <c r="M381" s="4" t="s">
        <v>413</v>
      </c>
      <c r="N381" s="4"/>
      <c r="O381" s="4"/>
      <c r="P381" s="14"/>
      <c r="Q381" s="14"/>
      <c r="R381" s="14"/>
      <c r="S381" s="14"/>
      <c r="T381" s="14"/>
      <c r="U381" s="14"/>
    </row>
    <row r="382" spans="1:21" ht="17.25" customHeight="1">
      <c r="A382" s="5" t="s">
        <v>623</v>
      </c>
      <c r="B382" s="6" t="s">
        <v>623</v>
      </c>
      <c r="C382" s="24" t="s">
        <v>2165</v>
      </c>
      <c r="D382" s="5" t="s">
        <v>624</v>
      </c>
      <c r="E382" s="5" t="s">
        <v>1269</v>
      </c>
      <c r="F382" s="14" t="s">
        <v>613</v>
      </c>
      <c r="G382" s="5" t="s">
        <v>409</v>
      </c>
      <c r="H382" s="41" t="s">
        <v>858</v>
      </c>
      <c r="I382" s="5" t="s">
        <v>410</v>
      </c>
      <c r="J382" s="14" t="s">
        <v>411</v>
      </c>
      <c r="K382" s="14" t="b">
        <v>1</v>
      </c>
      <c r="L382" s="4" t="s">
        <v>614</v>
      </c>
      <c r="M382" s="4" t="s">
        <v>413</v>
      </c>
      <c r="N382" s="4"/>
      <c r="O382" s="4"/>
      <c r="P382" s="14"/>
      <c r="Q382" s="14"/>
      <c r="R382" s="14"/>
      <c r="S382" s="14"/>
      <c r="T382" s="14"/>
      <c r="U382" s="14"/>
    </row>
    <row r="383" spans="1:21" ht="17.25" customHeight="1">
      <c r="A383" s="5" t="s">
        <v>625</v>
      </c>
      <c r="B383" s="6" t="s">
        <v>625</v>
      </c>
      <c r="C383" s="24" t="s">
        <v>2166</v>
      </c>
      <c r="D383" s="5" t="s">
        <v>626</v>
      </c>
      <c r="E383" s="5" t="s">
        <v>1269</v>
      </c>
      <c r="F383" s="14" t="s">
        <v>613</v>
      </c>
      <c r="G383" s="5" t="s">
        <v>409</v>
      </c>
      <c r="H383" s="41" t="s">
        <v>858</v>
      </c>
      <c r="I383" s="5" t="s">
        <v>410</v>
      </c>
      <c r="J383" s="14" t="s">
        <v>411</v>
      </c>
      <c r="K383" s="14" t="b">
        <v>1</v>
      </c>
      <c r="L383" s="4" t="s">
        <v>614</v>
      </c>
      <c r="M383" s="4" t="s">
        <v>413</v>
      </c>
      <c r="N383" s="4"/>
      <c r="O383" s="4"/>
      <c r="P383" s="14"/>
      <c r="Q383" s="14"/>
      <c r="R383" s="14"/>
      <c r="S383" s="14"/>
      <c r="T383" s="14"/>
      <c r="U383" s="14"/>
    </row>
    <row r="384" spans="1:21" ht="17.25" customHeight="1">
      <c r="A384" s="5" t="s">
        <v>627</v>
      </c>
      <c r="B384" s="6" t="s">
        <v>627</v>
      </c>
      <c r="C384" s="24" t="s">
        <v>2167</v>
      </c>
      <c r="D384" s="5" t="s">
        <v>628</v>
      </c>
      <c r="E384" s="5" t="s">
        <v>1269</v>
      </c>
      <c r="F384" s="14" t="s">
        <v>613</v>
      </c>
      <c r="G384" s="5" t="s">
        <v>409</v>
      </c>
      <c r="H384" s="41" t="s">
        <v>858</v>
      </c>
      <c r="I384" s="5" t="s">
        <v>410</v>
      </c>
      <c r="J384" s="14" t="s">
        <v>411</v>
      </c>
      <c r="K384" s="14" t="b">
        <v>1</v>
      </c>
      <c r="L384" s="4" t="s">
        <v>614</v>
      </c>
      <c r="M384" s="4" t="s">
        <v>413</v>
      </c>
      <c r="N384" s="4"/>
      <c r="O384" s="4"/>
      <c r="P384" s="14"/>
      <c r="Q384" s="14"/>
      <c r="R384" s="14"/>
      <c r="S384" s="14"/>
      <c r="T384" s="14"/>
      <c r="U384" s="14"/>
    </row>
    <row r="385" spans="1:21" ht="17.25" customHeight="1">
      <c r="A385" s="5" t="s">
        <v>629</v>
      </c>
      <c r="B385" s="6" t="s">
        <v>629</v>
      </c>
      <c r="C385" s="24" t="s">
        <v>2168</v>
      </c>
      <c r="D385" s="5" t="s">
        <v>630</v>
      </c>
      <c r="E385" s="5" t="s">
        <v>1269</v>
      </c>
      <c r="F385" s="14" t="s">
        <v>613</v>
      </c>
      <c r="G385" s="5" t="s">
        <v>409</v>
      </c>
      <c r="H385" s="41" t="s">
        <v>858</v>
      </c>
      <c r="I385" s="5" t="s">
        <v>410</v>
      </c>
      <c r="J385" s="14" t="s">
        <v>411</v>
      </c>
      <c r="K385" s="14" t="b">
        <v>1</v>
      </c>
      <c r="L385" s="4" t="s">
        <v>614</v>
      </c>
      <c r="M385" s="4" t="s">
        <v>413</v>
      </c>
      <c r="N385" s="4"/>
      <c r="O385" s="4"/>
      <c r="P385" s="14"/>
      <c r="Q385" s="14"/>
      <c r="R385" s="14"/>
      <c r="S385" s="14"/>
      <c r="T385" s="14"/>
      <c r="U385" s="14"/>
    </row>
    <row r="386" spans="1:21" ht="17.25" customHeight="1">
      <c r="A386" s="5" t="s">
        <v>631</v>
      </c>
      <c r="B386" s="6" t="s">
        <v>631</v>
      </c>
      <c r="C386" s="24" t="s">
        <v>2169</v>
      </c>
      <c r="D386" s="5" t="s">
        <v>632</v>
      </c>
      <c r="E386" s="5" t="s">
        <v>1269</v>
      </c>
      <c r="F386" s="14" t="s">
        <v>613</v>
      </c>
      <c r="G386" s="5" t="s">
        <v>409</v>
      </c>
      <c r="H386" s="41" t="s">
        <v>858</v>
      </c>
      <c r="I386" s="5" t="s">
        <v>410</v>
      </c>
      <c r="J386" s="14" t="s">
        <v>411</v>
      </c>
      <c r="K386" s="14" t="b">
        <v>1</v>
      </c>
      <c r="L386" s="4" t="s">
        <v>614</v>
      </c>
      <c r="M386" s="4" t="s">
        <v>413</v>
      </c>
      <c r="N386" s="4"/>
      <c r="O386" s="4"/>
      <c r="P386" s="14"/>
      <c r="Q386" s="14"/>
      <c r="R386" s="14"/>
      <c r="S386" s="14"/>
      <c r="T386" s="14"/>
      <c r="U386" s="14"/>
    </row>
    <row r="387" spans="1:21" ht="17.25" customHeight="1">
      <c r="A387" s="5" t="s">
        <v>633</v>
      </c>
      <c r="B387" s="6" t="s">
        <v>633</v>
      </c>
      <c r="C387" s="24" t="s">
        <v>2170</v>
      </c>
      <c r="D387" s="5" t="s">
        <v>634</v>
      </c>
      <c r="E387" s="5" t="s">
        <v>1269</v>
      </c>
      <c r="F387" s="14" t="s">
        <v>613</v>
      </c>
      <c r="G387" s="5" t="s">
        <v>409</v>
      </c>
      <c r="H387" s="41" t="s">
        <v>858</v>
      </c>
      <c r="I387" s="5" t="s">
        <v>410</v>
      </c>
      <c r="J387" s="14" t="s">
        <v>411</v>
      </c>
      <c r="K387" s="14" t="b">
        <v>1</v>
      </c>
      <c r="L387" s="4" t="s">
        <v>614</v>
      </c>
      <c r="M387" s="4" t="s">
        <v>413</v>
      </c>
      <c r="N387" s="4"/>
      <c r="O387" s="4"/>
      <c r="P387" s="14"/>
      <c r="Q387" s="14"/>
      <c r="R387" s="14"/>
      <c r="S387" s="14"/>
      <c r="T387" s="14"/>
      <c r="U387" s="14"/>
    </row>
    <row r="388" spans="1:21" ht="17.25" customHeight="1">
      <c r="A388" s="5" t="s">
        <v>635</v>
      </c>
      <c r="B388" s="6" t="s">
        <v>635</v>
      </c>
      <c r="C388" s="24" t="s">
        <v>2171</v>
      </c>
      <c r="D388" s="5" t="s">
        <v>636</v>
      </c>
      <c r="E388" s="5" t="s">
        <v>1269</v>
      </c>
      <c r="F388" s="14" t="s">
        <v>613</v>
      </c>
      <c r="G388" s="5" t="s">
        <v>409</v>
      </c>
      <c r="H388" s="41" t="s">
        <v>858</v>
      </c>
      <c r="I388" s="5" t="s">
        <v>410</v>
      </c>
      <c r="J388" s="14" t="s">
        <v>411</v>
      </c>
      <c r="K388" s="14" t="b">
        <v>1</v>
      </c>
      <c r="L388" s="4" t="s">
        <v>614</v>
      </c>
      <c r="M388" s="4" t="s">
        <v>413</v>
      </c>
      <c r="N388" s="4"/>
      <c r="O388" s="4"/>
      <c r="P388" s="14"/>
      <c r="Q388" s="14"/>
      <c r="R388" s="14"/>
      <c r="S388" s="14"/>
      <c r="T388" s="14"/>
      <c r="U388" s="14"/>
    </row>
    <row r="389" spans="1:21" ht="17.25" customHeight="1">
      <c r="A389" s="5" t="s">
        <v>637</v>
      </c>
      <c r="B389" s="6" t="s">
        <v>637</v>
      </c>
      <c r="C389" s="24" t="s">
        <v>2172</v>
      </c>
      <c r="D389" s="5" t="s">
        <v>638</v>
      </c>
      <c r="E389" s="5" t="s">
        <v>1269</v>
      </c>
      <c r="F389" s="14" t="s">
        <v>613</v>
      </c>
      <c r="G389" s="5" t="s">
        <v>409</v>
      </c>
      <c r="H389" s="41" t="s">
        <v>858</v>
      </c>
      <c r="I389" s="5" t="s">
        <v>410</v>
      </c>
      <c r="J389" s="14" t="s">
        <v>411</v>
      </c>
      <c r="K389" s="14" t="b">
        <v>1</v>
      </c>
      <c r="L389" s="4" t="s">
        <v>614</v>
      </c>
      <c r="M389" s="4" t="s">
        <v>413</v>
      </c>
      <c r="N389" s="4"/>
      <c r="O389" s="4"/>
      <c r="P389" s="14"/>
      <c r="Q389" s="14"/>
      <c r="R389" s="14"/>
      <c r="S389" s="14"/>
      <c r="T389" s="14"/>
      <c r="U389" s="14"/>
    </row>
    <row r="390" spans="1:21" ht="17.25" customHeight="1">
      <c r="A390" s="5" t="s">
        <v>639</v>
      </c>
      <c r="B390" s="6" t="s">
        <v>639</v>
      </c>
      <c r="C390" s="24" t="s">
        <v>2173</v>
      </c>
      <c r="D390" s="5" t="s">
        <v>640</v>
      </c>
      <c r="E390" s="5" t="s">
        <v>1269</v>
      </c>
      <c r="F390" s="14" t="s">
        <v>613</v>
      </c>
      <c r="G390" s="5" t="s">
        <v>409</v>
      </c>
      <c r="H390" s="41" t="s">
        <v>858</v>
      </c>
      <c r="I390" s="5" t="s">
        <v>410</v>
      </c>
      <c r="J390" s="14" t="s">
        <v>411</v>
      </c>
      <c r="K390" s="14" t="b">
        <v>1</v>
      </c>
      <c r="L390" s="4" t="s">
        <v>614</v>
      </c>
      <c r="M390" s="4" t="s">
        <v>413</v>
      </c>
      <c r="N390" s="4"/>
      <c r="O390" s="4"/>
      <c r="P390" s="14"/>
      <c r="Q390" s="14"/>
      <c r="R390" s="14"/>
      <c r="S390" s="14"/>
      <c r="T390" s="14"/>
      <c r="U390" s="14"/>
    </row>
    <row r="391" spans="1:21" ht="17.25" customHeight="1">
      <c r="A391" s="5" t="s">
        <v>641</v>
      </c>
      <c r="B391" s="6" t="s">
        <v>641</v>
      </c>
      <c r="C391" s="24" t="s">
        <v>2174</v>
      </c>
      <c r="D391" s="5" t="s">
        <v>642</v>
      </c>
      <c r="E391" s="5" t="s">
        <v>1269</v>
      </c>
      <c r="F391" s="14" t="s">
        <v>613</v>
      </c>
      <c r="G391" s="5" t="s">
        <v>409</v>
      </c>
      <c r="H391" s="41" t="s">
        <v>858</v>
      </c>
      <c r="I391" s="5" t="s">
        <v>410</v>
      </c>
      <c r="J391" s="14" t="s">
        <v>411</v>
      </c>
      <c r="K391" s="14" t="b">
        <v>1</v>
      </c>
      <c r="L391" s="4" t="s">
        <v>614</v>
      </c>
      <c r="M391" s="4" t="s">
        <v>413</v>
      </c>
      <c r="N391" s="4"/>
      <c r="O391" s="4"/>
      <c r="P391" s="14"/>
      <c r="Q391" s="14"/>
      <c r="R391" s="14"/>
      <c r="S391" s="14"/>
      <c r="T391" s="14"/>
      <c r="U391" s="14"/>
    </row>
    <row r="392" spans="1:21" ht="17.25" customHeight="1">
      <c r="A392" s="5" t="s">
        <v>643</v>
      </c>
      <c r="B392" s="6" t="s">
        <v>643</v>
      </c>
      <c r="C392" s="24" t="s">
        <v>2175</v>
      </c>
      <c r="D392" s="5" t="s">
        <v>644</v>
      </c>
      <c r="E392" s="5" t="s">
        <v>1269</v>
      </c>
      <c r="F392" s="14" t="s">
        <v>613</v>
      </c>
      <c r="G392" s="5" t="s">
        <v>409</v>
      </c>
      <c r="H392" s="41" t="s">
        <v>858</v>
      </c>
      <c r="I392" s="5" t="s">
        <v>410</v>
      </c>
      <c r="J392" s="14" t="s">
        <v>411</v>
      </c>
      <c r="K392" s="14" t="b">
        <v>1</v>
      </c>
      <c r="L392" s="4" t="s">
        <v>614</v>
      </c>
      <c r="M392" s="4" t="s">
        <v>413</v>
      </c>
      <c r="N392" s="4"/>
      <c r="O392" s="4"/>
      <c r="P392" s="14"/>
      <c r="Q392" s="14"/>
      <c r="R392" s="14"/>
      <c r="S392" s="14"/>
      <c r="T392" s="14"/>
      <c r="U392" s="14"/>
    </row>
    <row r="393" spans="1:21" ht="17.25" customHeight="1">
      <c r="A393" s="5" t="s">
        <v>406</v>
      </c>
      <c r="B393" s="6" t="s">
        <v>406</v>
      </c>
      <c r="C393" s="24" t="s">
        <v>2176</v>
      </c>
      <c r="D393" s="5" t="s">
        <v>645</v>
      </c>
      <c r="E393" s="5" t="s">
        <v>1272</v>
      </c>
      <c r="F393" s="14" t="s">
        <v>646</v>
      </c>
      <c r="G393" s="5" t="s">
        <v>409</v>
      </c>
      <c r="H393" s="41" t="s">
        <v>858</v>
      </c>
      <c r="I393" s="5" t="s">
        <v>410</v>
      </c>
      <c r="J393" s="14" t="s">
        <v>411</v>
      </c>
      <c r="K393" s="14" t="b">
        <v>1</v>
      </c>
      <c r="L393" s="4" t="s">
        <v>647</v>
      </c>
      <c r="M393" s="4" t="s">
        <v>413</v>
      </c>
      <c r="N393" s="4"/>
      <c r="O393" s="4"/>
      <c r="P393" s="14"/>
      <c r="Q393" s="14"/>
      <c r="R393" s="14"/>
      <c r="S393" s="14"/>
      <c r="T393" s="14"/>
      <c r="U393" s="14"/>
    </row>
    <row r="394" spans="1:21" ht="17.25" customHeight="1">
      <c r="A394" s="5" t="s">
        <v>406</v>
      </c>
      <c r="B394" s="6" t="s">
        <v>406</v>
      </c>
      <c r="C394" s="24" t="s">
        <v>2177</v>
      </c>
      <c r="D394" s="5" t="s">
        <v>648</v>
      </c>
      <c r="E394" s="5" t="s">
        <v>1272</v>
      </c>
      <c r="F394" s="14" t="s">
        <v>646</v>
      </c>
      <c r="G394" s="5" t="s">
        <v>409</v>
      </c>
      <c r="H394" s="41" t="s">
        <v>858</v>
      </c>
      <c r="I394" s="5" t="s">
        <v>410</v>
      </c>
      <c r="J394" s="14" t="s">
        <v>411</v>
      </c>
      <c r="K394" s="14" t="b">
        <v>1</v>
      </c>
      <c r="L394" s="4" t="s">
        <v>647</v>
      </c>
      <c r="M394" s="4" t="s">
        <v>413</v>
      </c>
      <c r="N394" s="4"/>
      <c r="O394" s="4"/>
      <c r="P394" s="14"/>
      <c r="Q394" s="14"/>
      <c r="R394" s="14"/>
      <c r="S394" s="14"/>
      <c r="T394" s="14"/>
      <c r="U394" s="14"/>
    </row>
    <row r="395" spans="1:21" ht="17.25" customHeight="1">
      <c r="A395" s="5" t="s">
        <v>649</v>
      </c>
      <c r="B395" s="6" t="s">
        <v>649</v>
      </c>
      <c r="C395" s="24" t="s">
        <v>2178</v>
      </c>
      <c r="D395" s="5" t="s">
        <v>650</v>
      </c>
      <c r="E395" s="5" t="s">
        <v>1276</v>
      </c>
      <c r="F395" s="14" t="s">
        <v>651</v>
      </c>
      <c r="G395" s="5" t="s">
        <v>409</v>
      </c>
      <c r="H395" s="41" t="s">
        <v>858</v>
      </c>
      <c r="I395" s="5" t="s">
        <v>410</v>
      </c>
      <c r="J395" s="14" t="s">
        <v>411</v>
      </c>
      <c r="K395" s="14" t="b">
        <v>1</v>
      </c>
      <c r="L395" s="4" t="s">
        <v>2279</v>
      </c>
      <c r="M395" s="4" t="s">
        <v>413</v>
      </c>
      <c r="N395" s="4"/>
      <c r="O395" s="4"/>
      <c r="P395" s="14"/>
      <c r="Q395" s="14"/>
      <c r="R395" s="14"/>
      <c r="S395" s="14"/>
      <c r="T395" s="14"/>
      <c r="U395" s="14"/>
    </row>
    <row r="396" spans="1:21" ht="17.25" customHeight="1">
      <c r="A396" s="5" t="s">
        <v>652</v>
      </c>
      <c r="B396" s="6" t="s">
        <v>652</v>
      </c>
      <c r="C396" s="24" t="s">
        <v>2179</v>
      </c>
      <c r="D396" s="5" t="s">
        <v>653</v>
      </c>
      <c r="E396" s="5" t="s">
        <v>1281</v>
      </c>
      <c r="F396" s="14" t="s">
        <v>654</v>
      </c>
      <c r="G396" s="5" t="s">
        <v>409</v>
      </c>
      <c r="H396" s="41" t="s">
        <v>858</v>
      </c>
      <c r="I396" s="5" t="s">
        <v>410</v>
      </c>
      <c r="J396" s="14" t="s">
        <v>411</v>
      </c>
      <c r="K396" s="14" t="b">
        <v>1</v>
      </c>
      <c r="L396" s="4" t="s">
        <v>655</v>
      </c>
      <c r="M396" s="4" t="s">
        <v>413</v>
      </c>
      <c r="N396" s="4"/>
      <c r="O396" s="4"/>
      <c r="P396" s="14"/>
      <c r="Q396" s="14"/>
      <c r="R396" s="14"/>
      <c r="S396" s="14"/>
      <c r="T396" s="14"/>
      <c r="U396" s="14"/>
    </row>
    <row r="397" spans="1:21" ht="17.25" customHeight="1">
      <c r="A397" s="5" t="s">
        <v>656</v>
      </c>
      <c r="B397" s="6" t="s">
        <v>656</v>
      </c>
      <c r="C397" s="24" t="s">
        <v>2180</v>
      </c>
      <c r="D397" s="5" t="s">
        <v>657</v>
      </c>
      <c r="E397" s="5" t="s">
        <v>1281</v>
      </c>
      <c r="F397" s="14" t="s">
        <v>654</v>
      </c>
      <c r="G397" s="5" t="s">
        <v>409</v>
      </c>
      <c r="H397" s="41" t="s">
        <v>858</v>
      </c>
      <c r="I397" s="5" t="s">
        <v>410</v>
      </c>
      <c r="J397" s="14" t="s">
        <v>411</v>
      </c>
      <c r="K397" s="14" t="b">
        <v>1</v>
      </c>
      <c r="L397" s="4" t="s">
        <v>655</v>
      </c>
      <c r="M397" s="4" t="s">
        <v>413</v>
      </c>
      <c r="N397" s="4"/>
      <c r="O397" s="4"/>
      <c r="P397" s="14"/>
      <c r="Q397" s="14"/>
      <c r="R397" s="14"/>
      <c r="S397" s="14"/>
      <c r="T397" s="14"/>
      <c r="U397" s="14"/>
    </row>
    <row r="398" spans="1:21" ht="17.25" customHeight="1">
      <c r="A398" s="5" t="s">
        <v>658</v>
      </c>
      <c r="B398" s="6" t="s">
        <v>658</v>
      </c>
      <c r="C398" s="24" t="s">
        <v>2181</v>
      </c>
      <c r="D398" s="5" t="s">
        <v>659</v>
      </c>
      <c r="E398" s="5" t="s">
        <v>1281</v>
      </c>
      <c r="F398" s="14" t="s">
        <v>654</v>
      </c>
      <c r="G398" s="5" t="s">
        <v>409</v>
      </c>
      <c r="H398" s="41" t="s">
        <v>858</v>
      </c>
      <c r="I398" s="5" t="s">
        <v>410</v>
      </c>
      <c r="J398" s="14" t="s">
        <v>411</v>
      </c>
      <c r="K398" s="14" t="b">
        <v>1</v>
      </c>
      <c r="L398" s="4" t="s">
        <v>655</v>
      </c>
      <c r="M398" s="4" t="s">
        <v>413</v>
      </c>
      <c r="N398" s="4"/>
      <c r="O398" s="4"/>
      <c r="P398" s="14"/>
      <c r="Q398" s="14"/>
      <c r="R398" s="14"/>
      <c r="S398" s="14"/>
      <c r="T398" s="14"/>
      <c r="U398" s="14"/>
    </row>
    <row r="399" spans="1:21" ht="17.25" customHeight="1">
      <c r="A399" s="5" t="s">
        <v>660</v>
      </c>
      <c r="B399" s="6" t="s">
        <v>660</v>
      </c>
      <c r="C399" s="24" t="s">
        <v>2182</v>
      </c>
      <c r="D399" s="5" t="s">
        <v>661</v>
      </c>
      <c r="E399" s="5" t="s">
        <v>1281</v>
      </c>
      <c r="F399" s="14" t="s">
        <v>654</v>
      </c>
      <c r="G399" s="5" t="s">
        <v>409</v>
      </c>
      <c r="H399" s="41" t="s">
        <v>858</v>
      </c>
      <c r="I399" s="5" t="s">
        <v>410</v>
      </c>
      <c r="J399" s="14" t="s">
        <v>411</v>
      </c>
      <c r="K399" s="14" t="b">
        <v>1</v>
      </c>
      <c r="L399" s="5" t="s">
        <v>655</v>
      </c>
      <c r="M399" s="4" t="s">
        <v>413</v>
      </c>
      <c r="N399" s="4"/>
      <c r="O399" s="4"/>
      <c r="P399" s="14"/>
      <c r="Q399" s="14"/>
      <c r="R399" s="14"/>
      <c r="S399" s="14"/>
      <c r="T399" s="14"/>
      <c r="U399" s="14"/>
    </row>
    <row r="400" spans="1:21" ht="17.25" customHeight="1">
      <c r="A400" s="5" t="s">
        <v>423</v>
      </c>
      <c r="B400" s="6" t="s">
        <v>423</v>
      </c>
      <c r="C400" s="24" t="s">
        <v>2183</v>
      </c>
      <c r="D400" s="5" t="s">
        <v>662</v>
      </c>
      <c r="E400" s="5" t="s">
        <v>1281</v>
      </c>
      <c r="F400" s="14" t="s">
        <v>654</v>
      </c>
      <c r="G400" s="5" t="s">
        <v>409</v>
      </c>
      <c r="H400" s="41" t="s">
        <v>858</v>
      </c>
      <c r="I400" s="5" t="s">
        <v>410</v>
      </c>
      <c r="J400" s="14" t="s">
        <v>411</v>
      </c>
      <c r="K400" s="14" t="b">
        <v>1</v>
      </c>
      <c r="L400" s="4" t="s">
        <v>655</v>
      </c>
      <c r="M400" s="4" t="s">
        <v>413</v>
      </c>
      <c r="N400" s="4"/>
      <c r="O400" s="4"/>
      <c r="P400" s="14"/>
      <c r="Q400" s="14"/>
      <c r="R400" s="14"/>
      <c r="S400" s="14"/>
      <c r="T400" s="14"/>
      <c r="U400" s="14"/>
    </row>
    <row r="401" spans="1:21" ht="17.25" customHeight="1">
      <c r="A401" s="5" t="s">
        <v>406</v>
      </c>
      <c r="B401" s="6" t="s">
        <v>406</v>
      </c>
      <c r="C401" s="24" t="s">
        <v>2184</v>
      </c>
      <c r="D401" s="5" t="s">
        <v>663</v>
      </c>
      <c r="E401" s="5" t="s">
        <v>1284</v>
      </c>
      <c r="F401" s="14" t="s">
        <v>664</v>
      </c>
      <c r="G401" s="5" t="s">
        <v>409</v>
      </c>
      <c r="H401" s="41" t="s">
        <v>858</v>
      </c>
      <c r="I401" s="5" t="s">
        <v>410</v>
      </c>
      <c r="J401" s="14" t="s">
        <v>411</v>
      </c>
      <c r="K401" s="14" t="b">
        <v>1</v>
      </c>
      <c r="L401" s="4" t="s">
        <v>665</v>
      </c>
      <c r="M401" s="5" t="s">
        <v>413</v>
      </c>
      <c r="N401" s="4"/>
      <c r="O401" s="4"/>
      <c r="P401" s="14"/>
      <c r="Q401" s="14"/>
      <c r="R401" s="14"/>
      <c r="S401" s="14"/>
      <c r="T401" s="14"/>
      <c r="U401" s="14"/>
    </row>
    <row r="402" spans="1:21" ht="17.25" customHeight="1">
      <c r="A402" s="5" t="s">
        <v>666</v>
      </c>
      <c r="B402" s="6" t="s">
        <v>666</v>
      </c>
      <c r="C402" s="24" t="s">
        <v>2185</v>
      </c>
      <c r="D402" s="5" t="s">
        <v>667</v>
      </c>
      <c r="E402" s="5" t="s">
        <v>1284</v>
      </c>
      <c r="F402" s="14" t="s">
        <v>664</v>
      </c>
      <c r="G402" s="5" t="s">
        <v>409</v>
      </c>
      <c r="H402" s="41" t="s">
        <v>858</v>
      </c>
      <c r="I402" s="5" t="s">
        <v>410</v>
      </c>
      <c r="J402" s="14" t="s">
        <v>411</v>
      </c>
      <c r="K402" s="14" t="b">
        <v>1</v>
      </c>
      <c r="L402" s="4" t="s">
        <v>665</v>
      </c>
      <c r="M402" s="5" t="s">
        <v>413</v>
      </c>
      <c r="N402" s="4"/>
      <c r="O402" s="4"/>
      <c r="P402" s="14"/>
      <c r="Q402" s="14"/>
      <c r="R402" s="14"/>
      <c r="S402" s="14"/>
      <c r="T402" s="14"/>
      <c r="U402" s="14"/>
    </row>
    <row r="403" spans="1:21" ht="17.25" customHeight="1">
      <c r="A403" s="14" t="s">
        <v>668</v>
      </c>
      <c r="B403" s="6" t="s">
        <v>669</v>
      </c>
      <c r="C403" s="5" t="s">
        <v>670</v>
      </c>
      <c r="D403" s="7" t="str">
        <f t="shared" ref="D403:D466" si="2">CONCATENATE("bossdb://",C403,"/",A403,"/",B403,)</f>
        <v>bossdb://XBrainGTech5/Proj4/cells_Pub</v>
      </c>
      <c r="E403" s="5" t="s">
        <v>1287</v>
      </c>
      <c r="F403" s="7" t="s">
        <v>671</v>
      </c>
      <c r="G403" s="5" t="s">
        <v>409</v>
      </c>
      <c r="H403" s="5">
        <v>2017</v>
      </c>
      <c r="I403" s="5" t="s">
        <v>2433</v>
      </c>
      <c r="J403" s="5" t="s">
        <v>673</v>
      </c>
      <c r="K403" s="14" t="b">
        <v>1</v>
      </c>
      <c r="L403" s="5" t="s">
        <v>2280</v>
      </c>
      <c r="M403" s="5" t="s">
        <v>413</v>
      </c>
      <c r="N403" s="4"/>
      <c r="O403" s="4"/>
      <c r="P403" s="14"/>
      <c r="Q403" s="14"/>
      <c r="R403" s="14"/>
      <c r="S403" s="14"/>
      <c r="T403" s="14"/>
      <c r="U403" s="14"/>
    </row>
    <row r="404" spans="1:21" ht="17.25" customHeight="1">
      <c r="A404" s="14" t="s">
        <v>668</v>
      </c>
      <c r="B404" s="6" t="s">
        <v>674</v>
      </c>
      <c r="C404" s="5" t="s">
        <v>670</v>
      </c>
      <c r="D404" s="7" t="str">
        <f t="shared" si="2"/>
        <v>bossdb://XBrainGTech5/Proj4/full_vol</v>
      </c>
      <c r="E404" s="5" t="s">
        <v>1287</v>
      </c>
      <c r="F404" s="7" t="s">
        <v>671</v>
      </c>
      <c r="G404" s="5" t="s">
        <v>409</v>
      </c>
      <c r="H404" s="5">
        <v>2017</v>
      </c>
      <c r="I404" s="5" t="s">
        <v>410</v>
      </c>
      <c r="J404" s="5" t="s">
        <v>411</v>
      </c>
      <c r="K404" s="14" t="b">
        <v>1</v>
      </c>
      <c r="L404" s="5" t="s">
        <v>2280</v>
      </c>
      <c r="M404" s="5" t="s">
        <v>413</v>
      </c>
      <c r="N404" s="4"/>
      <c r="O404" s="4"/>
      <c r="P404" s="14"/>
      <c r="Q404" s="14"/>
      <c r="R404" s="14"/>
      <c r="S404" s="14"/>
      <c r="T404" s="14"/>
      <c r="U404" s="14"/>
    </row>
    <row r="405" spans="1:21" ht="17.25" customHeight="1">
      <c r="A405" s="14" t="s">
        <v>668</v>
      </c>
      <c r="B405" s="6" t="s">
        <v>675</v>
      </c>
      <c r="C405" s="5" t="s">
        <v>670</v>
      </c>
      <c r="D405" s="7" t="str">
        <f t="shared" si="2"/>
        <v>bossdb://XBrainGTech5/Proj4/vessels_Pub</v>
      </c>
      <c r="E405" s="5" t="s">
        <v>1287</v>
      </c>
      <c r="F405" s="7" t="s">
        <v>671</v>
      </c>
      <c r="G405" s="5" t="s">
        <v>409</v>
      </c>
      <c r="H405" s="5">
        <v>2017</v>
      </c>
      <c r="I405" s="5" t="s">
        <v>2433</v>
      </c>
      <c r="J405" s="5" t="s">
        <v>673</v>
      </c>
      <c r="K405" s="14" t="b">
        <v>1</v>
      </c>
      <c r="L405" s="5" t="s">
        <v>2280</v>
      </c>
      <c r="M405" s="5" t="s">
        <v>413</v>
      </c>
      <c r="N405" s="4"/>
      <c r="O405" s="4"/>
      <c r="P405" s="14"/>
      <c r="Q405" s="14"/>
      <c r="R405" s="14"/>
      <c r="S405" s="14"/>
      <c r="T405" s="14"/>
      <c r="U405" s="14"/>
    </row>
    <row r="406" spans="1:21" ht="18" customHeight="1">
      <c r="A406" s="14" t="s">
        <v>676</v>
      </c>
      <c r="B406" s="6" t="s">
        <v>677</v>
      </c>
      <c r="C406" s="5" t="s">
        <v>678</v>
      </c>
      <c r="D406" s="7" t="str">
        <f t="shared" si="2"/>
        <v>bossdb://ara_2016/sagittal_100um/annotation_100um_2016</v>
      </c>
      <c r="E406" s="5" t="s">
        <v>1291</v>
      </c>
      <c r="F406" s="7" t="s">
        <v>679</v>
      </c>
      <c r="G406" s="5" t="s">
        <v>409</v>
      </c>
      <c r="H406" s="5">
        <v>2017</v>
      </c>
      <c r="I406" s="5" t="s">
        <v>2433</v>
      </c>
      <c r="J406" s="5" t="s">
        <v>673</v>
      </c>
      <c r="K406" s="14" t="b">
        <v>1</v>
      </c>
      <c r="L406" s="5" t="s">
        <v>2281</v>
      </c>
      <c r="M406" s="5" t="s">
        <v>413</v>
      </c>
      <c r="N406" s="4"/>
      <c r="O406" s="4"/>
      <c r="P406" s="14"/>
      <c r="Q406" s="14"/>
      <c r="R406" s="14"/>
      <c r="S406" s="14"/>
      <c r="T406" s="14"/>
      <c r="U406" s="14"/>
    </row>
    <row r="407" spans="1:21" ht="17.25" customHeight="1">
      <c r="A407" s="14" t="s">
        <v>676</v>
      </c>
      <c r="B407" s="6" t="s">
        <v>680</v>
      </c>
      <c r="C407" s="5" t="s">
        <v>678</v>
      </c>
      <c r="D407" s="7" t="str">
        <f t="shared" si="2"/>
        <v>bossdb://ara_2016/sagittal_100um/annotation_100um_2017</v>
      </c>
      <c r="E407" s="5" t="s">
        <v>1291</v>
      </c>
      <c r="F407" s="7" t="s">
        <v>679</v>
      </c>
      <c r="G407" s="5" t="s">
        <v>409</v>
      </c>
      <c r="H407" s="5">
        <v>2017</v>
      </c>
      <c r="I407" s="5" t="s">
        <v>2433</v>
      </c>
      <c r="J407" s="5" t="s">
        <v>673</v>
      </c>
      <c r="K407" s="14" t="b">
        <v>1</v>
      </c>
      <c r="L407" s="5" t="s">
        <v>2281</v>
      </c>
      <c r="M407" s="5" t="s">
        <v>413</v>
      </c>
      <c r="N407" s="4"/>
      <c r="O407" s="4"/>
      <c r="P407" s="14"/>
      <c r="Q407" s="14"/>
      <c r="R407" s="14"/>
      <c r="S407" s="14"/>
      <c r="T407" s="14"/>
      <c r="U407" s="14"/>
    </row>
    <row r="408" spans="1:21" ht="17.25" customHeight="1">
      <c r="A408" s="14" t="s">
        <v>676</v>
      </c>
      <c r="B408" s="6" t="s">
        <v>681</v>
      </c>
      <c r="C408" s="5" t="s">
        <v>678</v>
      </c>
      <c r="D408" s="7" t="str">
        <f t="shared" si="2"/>
        <v>bossdb://ara_2016/sagittal_100um/average_100um</v>
      </c>
      <c r="E408" s="5" t="s">
        <v>1291</v>
      </c>
      <c r="F408" s="7" t="s">
        <v>679</v>
      </c>
      <c r="G408" s="5" t="s">
        <v>409</v>
      </c>
      <c r="H408" s="5">
        <v>2017</v>
      </c>
      <c r="I408" s="5" t="s">
        <v>410</v>
      </c>
      <c r="J408" s="5" t="s">
        <v>682</v>
      </c>
      <c r="K408" s="14" t="b">
        <v>1</v>
      </c>
      <c r="L408" s="5" t="s">
        <v>2281</v>
      </c>
      <c r="M408" s="5" t="s">
        <v>413</v>
      </c>
      <c r="N408" s="4"/>
      <c r="O408" s="4"/>
      <c r="P408" s="14"/>
      <c r="Q408" s="14"/>
      <c r="R408" s="14"/>
      <c r="S408" s="14"/>
      <c r="T408" s="14"/>
      <c r="U408" s="14"/>
    </row>
    <row r="409" spans="1:21" ht="17.25" customHeight="1">
      <c r="A409" s="14" t="s">
        <v>683</v>
      </c>
      <c r="B409" s="6" t="s">
        <v>684</v>
      </c>
      <c r="C409" s="5" t="s">
        <v>678</v>
      </c>
      <c r="D409" s="7" t="str">
        <f t="shared" si="2"/>
        <v>bossdb://ara_2016/sagittal_10um/annotation_10um_2017</v>
      </c>
      <c r="E409" s="5" t="s">
        <v>1291</v>
      </c>
      <c r="F409" s="7" t="s">
        <v>679</v>
      </c>
      <c r="G409" s="5" t="s">
        <v>409</v>
      </c>
      <c r="H409" s="5">
        <v>2017</v>
      </c>
      <c r="I409" s="5" t="s">
        <v>2433</v>
      </c>
      <c r="J409" s="5" t="s">
        <v>673</v>
      </c>
      <c r="K409" s="14" t="b">
        <v>1</v>
      </c>
      <c r="L409" s="5" t="s">
        <v>2281</v>
      </c>
      <c r="M409" s="5" t="s">
        <v>413</v>
      </c>
      <c r="N409" s="4"/>
      <c r="O409" s="4"/>
      <c r="P409" s="14"/>
      <c r="Q409" s="14"/>
      <c r="R409" s="14"/>
      <c r="S409" s="14"/>
      <c r="T409" s="14"/>
      <c r="U409" s="14"/>
    </row>
    <row r="410" spans="1:21" ht="17.25" customHeight="1">
      <c r="A410" s="14" t="s">
        <v>683</v>
      </c>
      <c r="B410" s="6" t="s">
        <v>685</v>
      </c>
      <c r="C410" s="5" t="s">
        <v>678</v>
      </c>
      <c r="D410" s="7" t="str">
        <f t="shared" si="2"/>
        <v>bossdb://ara_2016/sagittal_10um/average_10um</v>
      </c>
      <c r="E410" s="5" t="s">
        <v>1291</v>
      </c>
      <c r="F410" s="7" t="s">
        <v>679</v>
      </c>
      <c r="G410" s="5" t="s">
        <v>409</v>
      </c>
      <c r="H410" s="5">
        <v>2017</v>
      </c>
      <c r="I410" s="5" t="s">
        <v>410</v>
      </c>
      <c r="J410" s="5" t="s">
        <v>682</v>
      </c>
      <c r="K410" s="14" t="b">
        <v>1</v>
      </c>
      <c r="L410" s="5" t="s">
        <v>2281</v>
      </c>
      <c r="M410" s="5" t="s">
        <v>413</v>
      </c>
      <c r="N410" s="4"/>
      <c r="O410" s="4"/>
      <c r="P410" s="14"/>
      <c r="Q410" s="14"/>
      <c r="R410" s="14"/>
      <c r="S410" s="14"/>
      <c r="T410" s="14"/>
      <c r="U410" s="14"/>
    </row>
    <row r="411" spans="1:21" ht="17.25" customHeight="1">
      <c r="A411" s="14" t="s">
        <v>683</v>
      </c>
      <c r="B411" s="40" t="s">
        <v>686</v>
      </c>
      <c r="C411" s="5" t="s">
        <v>678</v>
      </c>
      <c r="D411" s="7" t="str">
        <f t="shared" si="2"/>
        <v>bossdb://ara_2016/sagittal_10um/nissl_10um</v>
      </c>
      <c r="E411" s="5" t="s">
        <v>1291</v>
      </c>
      <c r="F411" s="7" t="s">
        <v>679</v>
      </c>
      <c r="G411" s="5" t="s">
        <v>409</v>
      </c>
      <c r="H411" s="5">
        <v>2017</v>
      </c>
      <c r="I411" s="5" t="s">
        <v>410</v>
      </c>
      <c r="J411" s="5" t="s">
        <v>682</v>
      </c>
      <c r="K411" s="14" t="b">
        <v>1</v>
      </c>
      <c r="L411" s="5" t="s">
        <v>2281</v>
      </c>
      <c r="M411" s="5" t="s">
        <v>413</v>
      </c>
      <c r="N411" s="4"/>
      <c r="O411" s="4"/>
      <c r="P411" s="14"/>
      <c r="Q411" s="14"/>
      <c r="R411" s="14"/>
      <c r="S411" s="14"/>
      <c r="T411" s="14"/>
      <c r="U411" s="14"/>
    </row>
    <row r="412" spans="1:21" ht="17.25" customHeight="1">
      <c r="A412" s="14" t="s">
        <v>687</v>
      </c>
      <c r="B412" s="40" t="s">
        <v>688</v>
      </c>
      <c r="C412" s="5" t="s">
        <v>678</v>
      </c>
      <c r="D412" s="7" t="str">
        <f t="shared" si="2"/>
        <v>bossdb://ara_2016/sagittal_25um/annotation_25um_2016</v>
      </c>
      <c r="E412" s="5" t="s">
        <v>1291</v>
      </c>
      <c r="F412" s="7" t="s">
        <v>679</v>
      </c>
      <c r="G412" s="5" t="s">
        <v>409</v>
      </c>
      <c r="H412" s="5">
        <v>2017</v>
      </c>
      <c r="I412" s="5" t="s">
        <v>2433</v>
      </c>
      <c r="J412" s="5" t="s">
        <v>673</v>
      </c>
      <c r="K412" s="14" t="b">
        <v>1</v>
      </c>
      <c r="L412" s="5" t="s">
        <v>2281</v>
      </c>
      <c r="M412" s="5" t="s">
        <v>413</v>
      </c>
      <c r="N412" s="4"/>
      <c r="O412" s="4"/>
      <c r="P412" s="14"/>
      <c r="Q412" s="14"/>
      <c r="R412" s="14"/>
      <c r="S412" s="14"/>
      <c r="T412" s="14"/>
      <c r="U412" s="14"/>
    </row>
    <row r="413" spans="1:21" ht="17.25" customHeight="1">
      <c r="A413" s="14" t="s">
        <v>687</v>
      </c>
      <c r="B413" s="40" t="s">
        <v>689</v>
      </c>
      <c r="C413" s="5" t="s">
        <v>678</v>
      </c>
      <c r="D413" s="7" t="str">
        <f t="shared" si="2"/>
        <v>bossdb://ara_2016/sagittal_25um/annotation_25um_2017</v>
      </c>
      <c r="E413" s="5" t="s">
        <v>1291</v>
      </c>
      <c r="F413" s="7" t="s">
        <v>679</v>
      </c>
      <c r="G413" s="5" t="s">
        <v>409</v>
      </c>
      <c r="H413" s="5">
        <v>2017</v>
      </c>
      <c r="I413" s="5" t="s">
        <v>2433</v>
      </c>
      <c r="J413" s="5" t="s">
        <v>673</v>
      </c>
      <c r="K413" s="14" t="b">
        <v>1</v>
      </c>
      <c r="L413" s="5" t="s">
        <v>2281</v>
      </c>
      <c r="M413" s="5" t="s">
        <v>413</v>
      </c>
      <c r="N413" s="4"/>
      <c r="O413" s="4"/>
      <c r="P413" s="14"/>
      <c r="Q413" s="14"/>
      <c r="R413" s="14"/>
      <c r="S413" s="14"/>
      <c r="T413" s="14"/>
      <c r="U413" s="14"/>
    </row>
    <row r="414" spans="1:21" ht="17.25" customHeight="1">
      <c r="A414" s="14" t="s">
        <v>687</v>
      </c>
      <c r="B414" s="40" t="s">
        <v>690</v>
      </c>
      <c r="C414" s="5" t="s">
        <v>678</v>
      </c>
      <c r="D414" s="7" t="str">
        <f t="shared" si="2"/>
        <v>bossdb://ara_2016/sagittal_25um/average_25um</v>
      </c>
      <c r="E414" s="5" t="s">
        <v>1291</v>
      </c>
      <c r="F414" s="7" t="s">
        <v>679</v>
      </c>
      <c r="G414" s="5" t="s">
        <v>409</v>
      </c>
      <c r="H414" s="5">
        <v>2017</v>
      </c>
      <c r="I414" s="5" t="s">
        <v>410</v>
      </c>
      <c r="J414" s="5" t="s">
        <v>682</v>
      </c>
      <c r="K414" s="14" t="b">
        <v>1</v>
      </c>
      <c r="L414" s="5" t="s">
        <v>2281</v>
      </c>
      <c r="M414" s="5" t="s">
        <v>413</v>
      </c>
      <c r="N414" s="4"/>
      <c r="O414" s="4"/>
      <c r="P414" s="14"/>
      <c r="Q414" s="14"/>
      <c r="R414" s="14"/>
      <c r="S414" s="14"/>
      <c r="T414" s="14"/>
      <c r="U414" s="14"/>
    </row>
    <row r="415" spans="1:21" ht="17.25" customHeight="1">
      <c r="A415" s="14" t="s">
        <v>687</v>
      </c>
      <c r="B415" s="6" t="s">
        <v>691</v>
      </c>
      <c r="C415" s="5" t="s">
        <v>678</v>
      </c>
      <c r="D415" s="7" t="str">
        <f t="shared" si="2"/>
        <v xml:space="preserve">bossdb://ara_2016/sagittal_25um/nissl_25um </v>
      </c>
      <c r="E415" s="5" t="s">
        <v>1291</v>
      </c>
      <c r="F415" s="7" t="s">
        <v>679</v>
      </c>
      <c r="G415" s="5" t="s">
        <v>409</v>
      </c>
      <c r="H415" s="5">
        <v>2017</v>
      </c>
      <c r="I415" s="5" t="s">
        <v>410</v>
      </c>
      <c r="J415" s="5" t="s">
        <v>682</v>
      </c>
      <c r="K415" s="14" t="b">
        <v>1</v>
      </c>
      <c r="L415" s="5" t="s">
        <v>2281</v>
      </c>
      <c r="M415" s="5" t="s">
        <v>413</v>
      </c>
      <c r="N415" s="4"/>
      <c r="O415" s="4"/>
      <c r="P415" s="14"/>
      <c r="Q415" s="14"/>
      <c r="R415" s="14"/>
      <c r="S415" s="14"/>
      <c r="T415" s="14"/>
      <c r="U415" s="14"/>
    </row>
    <row r="416" spans="1:21" ht="17.25" customHeight="1">
      <c r="A416" s="14" t="s">
        <v>692</v>
      </c>
      <c r="B416" s="6" t="s">
        <v>693</v>
      </c>
      <c r="C416" s="5" t="s">
        <v>678</v>
      </c>
      <c r="D416" s="7" t="str">
        <f t="shared" si="2"/>
        <v>bossdb://ara_2016/sagittal_50um/annotation_50um</v>
      </c>
      <c r="E416" s="5" t="s">
        <v>1291</v>
      </c>
      <c r="F416" s="7" t="s">
        <v>679</v>
      </c>
      <c r="G416" s="5" t="s">
        <v>409</v>
      </c>
      <c r="H416" s="5">
        <v>2017</v>
      </c>
      <c r="I416" s="5" t="s">
        <v>2433</v>
      </c>
      <c r="J416" s="5" t="s">
        <v>673</v>
      </c>
      <c r="K416" s="14" t="b">
        <v>1</v>
      </c>
      <c r="L416" s="5" t="s">
        <v>2281</v>
      </c>
      <c r="M416" s="5" t="s">
        <v>413</v>
      </c>
      <c r="N416" s="4"/>
      <c r="O416" s="4"/>
      <c r="P416" s="14"/>
      <c r="Q416" s="14"/>
      <c r="R416" s="14"/>
      <c r="S416" s="14"/>
      <c r="T416" s="14"/>
      <c r="U416" s="14"/>
    </row>
    <row r="417" spans="1:21" ht="17.25" customHeight="1">
      <c r="A417" s="14" t="s">
        <v>692</v>
      </c>
      <c r="B417" s="6" t="s">
        <v>694</v>
      </c>
      <c r="C417" s="5" t="s">
        <v>678</v>
      </c>
      <c r="D417" s="7" t="str">
        <f t="shared" si="2"/>
        <v>bossdb://ara_2016/sagittal_50um/ average_50um</v>
      </c>
      <c r="E417" s="5" t="s">
        <v>1291</v>
      </c>
      <c r="F417" s="7" t="s">
        <v>679</v>
      </c>
      <c r="G417" s="5" t="s">
        <v>409</v>
      </c>
      <c r="H417" s="5">
        <v>2017</v>
      </c>
      <c r="I417" s="5" t="s">
        <v>410</v>
      </c>
      <c r="J417" s="5" t="s">
        <v>682</v>
      </c>
      <c r="K417" s="14" t="b">
        <v>1</v>
      </c>
      <c r="L417" s="5" t="s">
        <v>2281</v>
      </c>
      <c r="M417" s="5" t="s">
        <v>413</v>
      </c>
      <c r="N417" s="4"/>
      <c r="O417" s="4"/>
      <c r="P417" s="14"/>
      <c r="Q417" s="14"/>
      <c r="R417" s="14"/>
      <c r="S417" s="14"/>
      <c r="T417" s="14"/>
      <c r="U417" s="14"/>
    </row>
    <row r="418" spans="1:21" ht="17.25" customHeight="1">
      <c r="A418" s="14" t="s">
        <v>692</v>
      </c>
      <c r="B418" s="6" t="s">
        <v>695</v>
      </c>
      <c r="C418" s="5" t="s">
        <v>678</v>
      </c>
      <c r="D418" s="7" t="str">
        <f t="shared" si="2"/>
        <v>bossdb://ara_2016/sagittal_50um/nissl_50um</v>
      </c>
      <c r="E418" s="5" t="s">
        <v>1291</v>
      </c>
      <c r="F418" s="7" t="s">
        <v>679</v>
      </c>
      <c r="G418" s="5" t="s">
        <v>409</v>
      </c>
      <c r="H418" s="5">
        <v>2017</v>
      </c>
      <c r="I418" s="5" t="s">
        <v>410</v>
      </c>
      <c r="J418" s="5" t="s">
        <v>682</v>
      </c>
      <c r="K418" s="14" t="b">
        <v>1</v>
      </c>
      <c r="L418" s="5" t="s">
        <v>2281</v>
      </c>
      <c r="M418" s="5" t="s">
        <v>413</v>
      </c>
      <c r="N418" s="4"/>
      <c r="O418" s="4"/>
      <c r="P418" s="14"/>
      <c r="Q418" s="14"/>
      <c r="R418" s="14"/>
      <c r="S418" s="14"/>
      <c r="T418" s="14"/>
      <c r="U418" s="14"/>
    </row>
    <row r="419" spans="1:21" ht="17.25" customHeight="1">
      <c r="A419" s="14" t="s">
        <v>696</v>
      </c>
      <c r="B419" s="6">
        <v>151009</v>
      </c>
      <c r="C419" s="5" t="s">
        <v>697</v>
      </c>
      <c r="D419" s="7" t="str">
        <f t="shared" si="2"/>
        <v>bossdb://hildebrand/120809zf104/151009</v>
      </c>
      <c r="E419" s="5" t="s">
        <v>1294</v>
      </c>
      <c r="F419" s="7" t="s">
        <v>698</v>
      </c>
      <c r="G419" s="5" t="s">
        <v>409</v>
      </c>
      <c r="H419" s="5">
        <v>2017</v>
      </c>
      <c r="I419" s="5" t="s">
        <v>410</v>
      </c>
      <c r="J419" s="5" t="s">
        <v>411</v>
      </c>
      <c r="K419" s="14" t="b">
        <v>1</v>
      </c>
      <c r="L419" s="5" t="s">
        <v>2282</v>
      </c>
      <c r="M419" s="5" t="s">
        <v>413</v>
      </c>
      <c r="N419" s="4"/>
      <c r="O419" s="4"/>
      <c r="P419" s="14"/>
      <c r="Q419" s="14"/>
      <c r="R419" s="14"/>
      <c r="S419" s="14"/>
      <c r="T419" s="14"/>
      <c r="U419" s="14"/>
    </row>
    <row r="420" spans="1:21" ht="17.25" customHeight="1">
      <c r="A420" s="14" t="s">
        <v>699</v>
      </c>
      <c r="B420" s="6" t="s">
        <v>700</v>
      </c>
      <c r="C420" s="5" t="s">
        <v>697</v>
      </c>
      <c r="D420" s="7" t="s">
        <v>1038</v>
      </c>
      <c r="E420" s="5" t="s">
        <v>1294</v>
      </c>
      <c r="F420" s="7" t="s">
        <v>698</v>
      </c>
      <c r="G420" s="5" t="s">
        <v>409</v>
      </c>
      <c r="H420" s="5">
        <v>2017</v>
      </c>
      <c r="I420" s="5" t="s">
        <v>410</v>
      </c>
      <c r="J420" s="5" t="s">
        <v>411</v>
      </c>
      <c r="K420" s="14" t="b">
        <v>1</v>
      </c>
      <c r="L420" s="5" t="s">
        <v>2282</v>
      </c>
      <c r="M420" s="5" t="s">
        <v>413</v>
      </c>
      <c r="N420" s="4"/>
      <c r="O420" s="4"/>
      <c r="P420" s="14"/>
      <c r="Q420" s="14"/>
      <c r="R420" s="14"/>
      <c r="S420" s="14"/>
      <c r="T420" s="14"/>
      <c r="U420" s="14"/>
    </row>
    <row r="421" spans="1:21" ht="17.25" customHeight="1">
      <c r="A421" s="14" t="s">
        <v>701</v>
      </c>
      <c r="B421" s="6" t="s">
        <v>702</v>
      </c>
      <c r="C421" s="5" t="s">
        <v>703</v>
      </c>
      <c r="D421" s="7" t="str">
        <f t="shared" si="2"/>
        <v>bossdb://wanner16/AA201605/SBEM1</v>
      </c>
      <c r="E421" s="5" t="s">
        <v>1297</v>
      </c>
      <c r="F421" s="7" t="s">
        <v>704</v>
      </c>
      <c r="G421" s="5" t="s">
        <v>409</v>
      </c>
      <c r="H421" s="5">
        <v>2016</v>
      </c>
      <c r="I421" s="5" t="s">
        <v>410</v>
      </c>
      <c r="J421" s="5" t="s">
        <v>411</v>
      </c>
      <c r="K421" s="14" t="b">
        <v>1</v>
      </c>
      <c r="L421" s="5" t="s">
        <v>2432</v>
      </c>
      <c r="M421" s="5" t="s">
        <v>413</v>
      </c>
      <c r="N421" s="4"/>
      <c r="O421" s="4"/>
      <c r="P421" s="14"/>
      <c r="Q421" s="14"/>
      <c r="R421" s="14"/>
      <c r="S421" s="14"/>
      <c r="T421" s="14"/>
      <c r="U421" s="14"/>
    </row>
    <row r="422" spans="1:21" ht="17.25" customHeight="1">
      <c r="A422" s="14" t="s">
        <v>423</v>
      </c>
      <c r="B422" s="6" t="s">
        <v>705</v>
      </c>
      <c r="C422" s="5" t="s">
        <v>2330</v>
      </c>
      <c r="D422" s="7" t="str">
        <f t="shared" si="2"/>
        <v>bossdb://kristi15/image/5HT1A_6th</v>
      </c>
      <c r="E422" s="5" t="s">
        <v>1299</v>
      </c>
      <c r="F422" s="7" t="s">
        <v>2378</v>
      </c>
      <c r="G422" s="5" t="s">
        <v>409</v>
      </c>
      <c r="H422" s="5">
        <v>2015</v>
      </c>
      <c r="I422" s="5" t="s">
        <v>410</v>
      </c>
      <c r="J422" s="5" t="s">
        <v>682</v>
      </c>
      <c r="K422" s="14" t="b">
        <v>1</v>
      </c>
      <c r="L422" s="5" t="s">
        <v>2284</v>
      </c>
      <c r="M422" s="5" t="s">
        <v>413</v>
      </c>
      <c r="N422" s="4"/>
      <c r="O422" s="4"/>
      <c r="P422" s="14"/>
      <c r="Q422" s="14"/>
      <c r="R422" s="14"/>
      <c r="S422" s="14"/>
      <c r="T422" s="14"/>
      <c r="U422" s="14"/>
    </row>
    <row r="423" spans="1:21" ht="17.25" customHeight="1">
      <c r="A423" s="14" t="s">
        <v>423</v>
      </c>
      <c r="B423" s="6" t="s">
        <v>707</v>
      </c>
      <c r="C423" s="5" t="s">
        <v>2330</v>
      </c>
      <c r="D423" s="7" t="str">
        <f t="shared" si="2"/>
        <v>bossdb://kristi15/image/CR1_2ndA</v>
      </c>
      <c r="E423" s="5" t="s">
        <v>1299</v>
      </c>
      <c r="F423" s="7" t="s">
        <v>2378</v>
      </c>
      <c r="G423" s="5" t="s">
        <v>409</v>
      </c>
      <c r="H423" s="5">
        <v>2015</v>
      </c>
      <c r="I423" s="5" t="s">
        <v>410</v>
      </c>
      <c r="J423" s="5" t="s">
        <v>682</v>
      </c>
      <c r="K423" s="14" t="b">
        <v>1</v>
      </c>
      <c r="L423" s="5" t="s">
        <v>2284</v>
      </c>
      <c r="M423" s="5" t="s">
        <v>413</v>
      </c>
      <c r="N423" s="4"/>
      <c r="O423" s="4"/>
      <c r="P423" s="14"/>
      <c r="Q423" s="14"/>
      <c r="R423" s="14"/>
      <c r="S423" s="14"/>
      <c r="T423" s="14"/>
      <c r="U423" s="14"/>
    </row>
    <row r="424" spans="1:21" ht="17.25" customHeight="1">
      <c r="A424" s="14" t="s">
        <v>423</v>
      </c>
      <c r="B424" s="6" t="s">
        <v>708</v>
      </c>
      <c r="C424" s="5" t="s">
        <v>2330</v>
      </c>
      <c r="D424" s="7" t="str">
        <f t="shared" si="2"/>
        <v xml:space="preserve">bossdb://kristi15/image/dapi_1stA </v>
      </c>
      <c r="E424" s="5" t="s">
        <v>1299</v>
      </c>
      <c r="F424" s="7" t="s">
        <v>2378</v>
      </c>
      <c r="G424" s="5" t="s">
        <v>409</v>
      </c>
      <c r="H424" s="5">
        <v>2015</v>
      </c>
      <c r="I424" s="5" t="s">
        <v>410</v>
      </c>
      <c r="J424" s="5" t="s">
        <v>682</v>
      </c>
      <c r="K424" s="14" t="b">
        <v>1</v>
      </c>
      <c r="L424" s="5" t="s">
        <v>2284</v>
      </c>
      <c r="M424" s="5" t="s">
        <v>413</v>
      </c>
      <c r="N424" s="4"/>
      <c r="O424" s="4"/>
      <c r="P424" s="14"/>
      <c r="Q424" s="14"/>
      <c r="R424" s="14"/>
      <c r="S424" s="14"/>
      <c r="T424" s="14"/>
      <c r="U424" s="14"/>
    </row>
    <row r="425" spans="1:21" ht="17.25" customHeight="1">
      <c r="A425" s="14" t="s">
        <v>423</v>
      </c>
      <c r="B425" s="6" t="s">
        <v>709</v>
      </c>
      <c r="C425" s="5" t="s">
        <v>2330</v>
      </c>
      <c r="D425" s="7" t="str">
        <f t="shared" si="2"/>
        <v xml:space="preserve">bossdb://kristi15/image/GABABR1_3rdA </v>
      </c>
      <c r="E425" s="5" t="s">
        <v>1299</v>
      </c>
      <c r="F425" s="7" t="s">
        <v>2378</v>
      </c>
      <c r="G425" s="5" t="s">
        <v>409</v>
      </c>
      <c r="H425" s="5">
        <v>2015</v>
      </c>
      <c r="I425" s="5" t="s">
        <v>410</v>
      </c>
      <c r="J425" s="5" t="s">
        <v>682</v>
      </c>
      <c r="K425" s="14" t="b">
        <v>1</v>
      </c>
      <c r="L425" s="5" t="s">
        <v>2284</v>
      </c>
      <c r="M425" s="5" t="s">
        <v>413</v>
      </c>
      <c r="N425" s="4"/>
      <c r="O425" s="4"/>
      <c r="P425" s="14"/>
      <c r="Q425" s="14"/>
      <c r="R425" s="14"/>
      <c r="S425" s="14"/>
      <c r="T425" s="14"/>
      <c r="U425" s="14"/>
    </row>
    <row r="426" spans="1:21" ht="17.25" customHeight="1">
      <c r="A426" s="14" t="s">
        <v>423</v>
      </c>
      <c r="B426" s="6" t="s">
        <v>710</v>
      </c>
      <c r="C426" s="5" t="s">
        <v>2330</v>
      </c>
      <c r="D426" s="7" t="str">
        <f t="shared" si="2"/>
        <v xml:space="preserve">bossdb://kristi15/image/GABARa1_4thA </v>
      </c>
      <c r="E426" s="5" t="s">
        <v>1299</v>
      </c>
      <c r="F426" s="7" t="s">
        <v>2378</v>
      </c>
      <c r="G426" s="5" t="s">
        <v>409</v>
      </c>
      <c r="H426" s="5">
        <v>2015</v>
      </c>
      <c r="I426" s="5" t="s">
        <v>410</v>
      </c>
      <c r="J426" s="5" t="s">
        <v>682</v>
      </c>
      <c r="K426" s="14" t="b">
        <v>1</v>
      </c>
      <c r="L426" s="5" t="s">
        <v>2284</v>
      </c>
      <c r="M426" s="5" t="s">
        <v>413</v>
      </c>
      <c r="N426" s="4"/>
      <c r="O426" s="4"/>
      <c r="P426" s="14"/>
      <c r="Q426" s="14"/>
      <c r="R426" s="14"/>
      <c r="S426" s="14"/>
      <c r="T426" s="14"/>
      <c r="U426" s="14"/>
    </row>
    <row r="427" spans="1:21" ht="17.25" customHeight="1">
      <c r="A427" s="14" t="s">
        <v>423</v>
      </c>
      <c r="B427" s="6" t="s">
        <v>711</v>
      </c>
      <c r="C427" s="5" t="s">
        <v>2330</v>
      </c>
      <c r="D427" s="7" t="str">
        <f t="shared" si="2"/>
        <v>bossdb://kristi15/image/GAD_6thA</v>
      </c>
      <c r="E427" s="5" t="s">
        <v>1299</v>
      </c>
      <c r="F427" s="7" t="s">
        <v>2378</v>
      </c>
      <c r="G427" s="5" t="s">
        <v>409</v>
      </c>
      <c r="H427" s="5">
        <v>2015</v>
      </c>
      <c r="I427" s="5" t="s">
        <v>410</v>
      </c>
      <c r="J427" s="5" t="s">
        <v>682</v>
      </c>
      <c r="K427" s="14" t="b">
        <v>1</v>
      </c>
      <c r="L427" s="5" t="s">
        <v>2284</v>
      </c>
      <c r="M427" s="5" t="s">
        <v>413</v>
      </c>
      <c r="N427" s="4"/>
      <c r="O427" s="4"/>
      <c r="P427" s="14"/>
      <c r="Q427" s="14"/>
      <c r="R427" s="14"/>
      <c r="S427" s="14"/>
      <c r="T427" s="14"/>
      <c r="U427" s="14"/>
    </row>
    <row r="428" spans="1:21" ht="17.25" customHeight="1">
      <c r="A428" s="14" t="s">
        <v>423</v>
      </c>
      <c r="B428" s="6" t="s">
        <v>712</v>
      </c>
      <c r="C428" s="5" t="s">
        <v>2330</v>
      </c>
      <c r="D428" s="7" t="str">
        <f t="shared" si="2"/>
        <v>bossdb://kristi15/image/gephyrin_1stA</v>
      </c>
      <c r="E428" s="5" t="s">
        <v>1299</v>
      </c>
      <c r="F428" s="7" t="s">
        <v>2378</v>
      </c>
      <c r="G428" s="5" t="s">
        <v>409</v>
      </c>
      <c r="H428" s="5">
        <v>2015</v>
      </c>
      <c r="I428" s="5" t="s">
        <v>410</v>
      </c>
      <c r="J428" s="5" t="s">
        <v>682</v>
      </c>
      <c r="K428" s="14" t="b">
        <v>1</v>
      </c>
      <c r="L428" s="5" t="s">
        <v>2284</v>
      </c>
      <c r="M428" s="5" t="s">
        <v>413</v>
      </c>
      <c r="N428" s="4"/>
      <c r="O428" s="4"/>
      <c r="P428" s="14"/>
      <c r="Q428" s="14"/>
      <c r="R428" s="14"/>
      <c r="S428" s="14"/>
      <c r="T428" s="14"/>
      <c r="U428" s="14"/>
    </row>
    <row r="429" spans="1:21" ht="17.25" customHeight="1">
      <c r="A429" s="14" t="s">
        <v>423</v>
      </c>
      <c r="B429" s="6" t="s">
        <v>713</v>
      </c>
      <c r="C429" s="5" t="s">
        <v>2330</v>
      </c>
      <c r="D429" s="7" t="str">
        <f t="shared" si="2"/>
        <v>bossdb://kristi15/image/GluR2_2ndA</v>
      </c>
      <c r="E429" s="5" t="s">
        <v>1299</v>
      </c>
      <c r="F429" s="7" t="s">
        <v>2378</v>
      </c>
      <c r="G429" s="5" t="s">
        <v>409</v>
      </c>
      <c r="H429" s="5">
        <v>2015</v>
      </c>
      <c r="I429" s="5" t="s">
        <v>410</v>
      </c>
      <c r="J429" s="5" t="s">
        <v>682</v>
      </c>
      <c r="K429" s="14" t="b">
        <v>1</v>
      </c>
      <c r="L429" s="5" t="s">
        <v>2284</v>
      </c>
      <c r="M429" s="5" t="s">
        <v>413</v>
      </c>
      <c r="N429" s="4"/>
      <c r="O429" s="4"/>
      <c r="P429" s="14"/>
      <c r="Q429" s="14"/>
      <c r="R429" s="14"/>
      <c r="S429" s="14"/>
      <c r="T429" s="14"/>
      <c r="U429" s="14"/>
    </row>
    <row r="430" spans="1:21" ht="17.25" customHeight="1">
      <c r="A430" s="14" t="s">
        <v>423</v>
      </c>
      <c r="B430" s="6" t="s">
        <v>714</v>
      </c>
      <c r="C430" s="5" t="s">
        <v>2330</v>
      </c>
      <c r="D430" s="7" t="str">
        <f t="shared" si="2"/>
        <v>bossdb://kristi15/image/NMDAR1_6thA</v>
      </c>
      <c r="E430" s="5" t="s">
        <v>1299</v>
      </c>
      <c r="F430" s="7" t="s">
        <v>2378</v>
      </c>
      <c r="G430" s="5" t="s">
        <v>409</v>
      </c>
      <c r="H430" s="5">
        <v>2015</v>
      </c>
      <c r="I430" s="5" t="s">
        <v>410</v>
      </c>
      <c r="J430" s="5" t="s">
        <v>682</v>
      </c>
      <c r="K430" s="14" t="b">
        <v>1</v>
      </c>
      <c r="L430" s="5" t="s">
        <v>2284</v>
      </c>
      <c r="M430" s="5" t="s">
        <v>413</v>
      </c>
      <c r="N430" s="4"/>
      <c r="O430" s="4"/>
      <c r="P430" s="14"/>
      <c r="Q430" s="14"/>
      <c r="R430" s="14"/>
      <c r="S430" s="14"/>
      <c r="T430" s="14"/>
      <c r="U430" s="14"/>
    </row>
    <row r="431" spans="1:21" ht="17.25" customHeight="1">
      <c r="A431" s="14" t="s">
        <v>423</v>
      </c>
      <c r="B431" s="6" t="s">
        <v>715</v>
      </c>
      <c r="C431" s="5" t="s">
        <v>2330</v>
      </c>
      <c r="D431" s="7" t="str">
        <f t="shared" si="2"/>
        <v>bossdb://kristi15/image/NOS_9thA</v>
      </c>
      <c r="E431" s="5" t="s">
        <v>1299</v>
      </c>
      <c r="F431" s="7" t="s">
        <v>2378</v>
      </c>
      <c r="G431" s="5" t="s">
        <v>409</v>
      </c>
      <c r="H431" s="5">
        <v>2015</v>
      </c>
      <c r="I431" s="5" t="s">
        <v>410</v>
      </c>
      <c r="J431" s="5" t="s">
        <v>682</v>
      </c>
      <c r="K431" s="14" t="b">
        <v>1</v>
      </c>
      <c r="L431" s="5" t="s">
        <v>2284</v>
      </c>
      <c r="M431" s="5" t="s">
        <v>413</v>
      </c>
      <c r="N431" s="4"/>
      <c r="O431" s="4"/>
      <c r="P431" s="14"/>
      <c r="Q431" s="14"/>
      <c r="R431" s="14"/>
      <c r="S431" s="14"/>
      <c r="T431" s="14"/>
      <c r="U431" s="14"/>
    </row>
    <row r="432" spans="1:21" ht="17.25" customHeight="1">
      <c r="A432" s="14" t="s">
        <v>716</v>
      </c>
      <c r="B432" s="6" t="s">
        <v>717</v>
      </c>
      <c r="C432" s="5" t="s">
        <v>718</v>
      </c>
      <c r="D432" s="7" t="str">
        <f t="shared" si="2"/>
        <v>bossdb://kutten/Cocaine174 /Grayscale</v>
      </c>
      <c r="E432" s="5" t="s">
        <v>1302</v>
      </c>
      <c r="F432" s="7" t="s">
        <v>719</v>
      </c>
      <c r="G432" s="5" t="s">
        <v>409</v>
      </c>
      <c r="H432" s="5">
        <v>2016</v>
      </c>
      <c r="I432" s="5" t="s">
        <v>410</v>
      </c>
      <c r="J432" s="5" t="s">
        <v>682</v>
      </c>
      <c r="K432" s="14" t="b">
        <v>1</v>
      </c>
      <c r="L432" s="5" t="s">
        <v>2285</v>
      </c>
      <c r="M432" s="5" t="s">
        <v>413</v>
      </c>
      <c r="N432" s="4"/>
      <c r="O432" s="4"/>
      <c r="P432" s="14"/>
      <c r="Q432" s="14"/>
      <c r="R432" s="14"/>
      <c r="S432" s="14"/>
      <c r="T432" s="14"/>
      <c r="U432" s="14"/>
    </row>
    <row r="433" spans="1:21" ht="17.25" customHeight="1">
      <c r="A433" s="14" t="s">
        <v>720</v>
      </c>
      <c r="B433" s="6" t="s">
        <v>717</v>
      </c>
      <c r="C433" s="5" t="s">
        <v>718</v>
      </c>
      <c r="D433" s="7" t="str">
        <f t="shared" si="2"/>
        <v>bossdb://kutten/Cocaine175/Grayscale</v>
      </c>
      <c r="E433" s="5" t="s">
        <v>1302</v>
      </c>
      <c r="F433" s="7" t="s">
        <v>719</v>
      </c>
      <c r="G433" s="5" t="s">
        <v>409</v>
      </c>
      <c r="H433" s="5">
        <v>2016</v>
      </c>
      <c r="I433" s="5" t="s">
        <v>410</v>
      </c>
      <c r="J433" s="5" t="s">
        <v>682</v>
      </c>
      <c r="K433" s="14" t="b">
        <v>1</v>
      </c>
      <c r="L433" s="5" t="s">
        <v>2285</v>
      </c>
      <c r="M433" s="5" t="s">
        <v>413</v>
      </c>
      <c r="N433" s="4"/>
      <c r="O433" s="4"/>
      <c r="P433" s="14"/>
      <c r="Q433" s="14"/>
      <c r="R433" s="14"/>
      <c r="S433" s="14"/>
      <c r="T433" s="14"/>
      <c r="U433" s="14"/>
    </row>
    <row r="434" spans="1:21" ht="17.25" customHeight="1">
      <c r="A434" s="14" t="s">
        <v>721</v>
      </c>
      <c r="B434" s="6" t="s">
        <v>717</v>
      </c>
      <c r="C434" s="5" t="s">
        <v>718</v>
      </c>
      <c r="D434" s="7" t="str">
        <f t="shared" si="2"/>
        <v>bossdb://kutten/Cocaine178/Grayscale</v>
      </c>
      <c r="E434" s="5" t="s">
        <v>1302</v>
      </c>
      <c r="F434" s="7" t="s">
        <v>719</v>
      </c>
      <c r="G434" s="5" t="s">
        <v>409</v>
      </c>
      <c r="H434" s="5">
        <v>2016</v>
      </c>
      <c r="I434" s="5" t="s">
        <v>410</v>
      </c>
      <c r="J434" s="5" t="s">
        <v>682</v>
      </c>
      <c r="K434" s="14" t="b">
        <v>1</v>
      </c>
      <c r="L434" s="5" t="s">
        <v>2285</v>
      </c>
      <c r="M434" s="5" t="s">
        <v>413</v>
      </c>
      <c r="N434" s="4"/>
      <c r="O434" s="4"/>
      <c r="P434" s="14"/>
      <c r="Q434" s="14"/>
      <c r="R434" s="14"/>
      <c r="S434" s="14"/>
      <c r="T434" s="14"/>
      <c r="U434" s="14"/>
    </row>
    <row r="435" spans="1:21" ht="17.25" customHeight="1">
      <c r="A435" s="14" t="s">
        <v>722</v>
      </c>
      <c r="B435" s="6" t="s">
        <v>717</v>
      </c>
      <c r="C435" s="5" t="s">
        <v>718</v>
      </c>
      <c r="D435" s="7" t="str">
        <f t="shared" si="2"/>
        <v>bossdb://kutten/Control181/Grayscale</v>
      </c>
      <c r="E435" s="5" t="s">
        <v>1302</v>
      </c>
      <c r="F435" s="7" t="s">
        <v>719</v>
      </c>
      <c r="G435" s="5" t="s">
        <v>409</v>
      </c>
      <c r="H435" s="5">
        <v>2016</v>
      </c>
      <c r="I435" s="5" t="s">
        <v>410</v>
      </c>
      <c r="J435" s="5" t="s">
        <v>682</v>
      </c>
      <c r="K435" s="14" t="b">
        <v>1</v>
      </c>
      <c r="L435" s="5" t="s">
        <v>2285</v>
      </c>
      <c r="M435" s="5" t="s">
        <v>413</v>
      </c>
      <c r="N435" s="4"/>
      <c r="O435" s="4"/>
      <c r="P435" s="14"/>
      <c r="Q435" s="14"/>
      <c r="R435" s="14"/>
      <c r="S435" s="14"/>
      <c r="T435" s="14"/>
      <c r="U435" s="14"/>
    </row>
    <row r="436" spans="1:21" ht="17.25" customHeight="1">
      <c r="A436" s="14" t="s">
        <v>723</v>
      </c>
      <c r="B436" s="6" t="s">
        <v>717</v>
      </c>
      <c r="C436" s="5" t="s">
        <v>718</v>
      </c>
      <c r="D436" s="7" t="str">
        <f t="shared" si="2"/>
        <v>bossdb://kutten/Control182/Grayscale</v>
      </c>
      <c r="E436" s="5" t="s">
        <v>1302</v>
      </c>
      <c r="F436" s="7" t="s">
        <v>719</v>
      </c>
      <c r="G436" s="5" t="s">
        <v>409</v>
      </c>
      <c r="H436" s="5">
        <v>2016</v>
      </c>
      <c r="I436" s="5" t="s">
        <v>410</v>
      </c>
      <c r="J436" s="5" t="s">
        <v>682</v>
      </c>
      <c r="K436" s="14" t="b">
        <v>1</v>
      </c>
      <c r="L436" s="5" t="s">
        <v>2285</v>
      </c>
      <c r="M436" s="5" t="s">
        <v>413</v>
      </c>
      <c r="N436" s="4"/>
      <c r="O436" s="4"/>
      <c r="P436" s="14"/>
      <c r="Q436" s="14"/>
      <c r="R436" s="14"/>
      <c r="S436" s="14"/>
      <c r="T436" s="14"/>
      <c r="U436" s="14"/>
    </row>
    <row r="437" spans="1:21" ht="17.25" customHeight="1">
      <c r="A437" s="14" t="s">
        <v>724</v>
      </c>
      <c r="B437" s="6" t="s">
        <v>717</v>
      </c>
      <c r="C437" s="5" t="s">
        <v>718</v>
      </c>
      <c r="D437" s="7" t="str">
        <f t="shared" si="2"/>
        <v>bossdb://kutten/Control189/Grayscale</v>
      </c>
      <c r="E437" s="5" t="s">
        <v>1302</v>
      </c>
      <c r="F437" s="7" t="s">
        <v>719</v>
      </c>
      <c r="G437" s="5" t="s">
        <v>409</v>
      </c>
      <c r="H437" s="5">
        <v>2016</v>
      </c>
      <c r="I437" s="5" t="s">
        <v>410</v>
      </c>
      <c r="J437" s="5" t="s">
        <v>682</v>
      </c>
      <c r="K437" s="14" t="b">
        <v>1</v>
      </c>
      <c r="L437" s="5" t="s">
        <v>2285</v>
      </c>
      <c r="M437" s="5" t="s">
        <v>413</v>
      </c>
      <c r="N437" s="4"/>
      <c r="O437" s="4"/>
      <c r="P437" s="14"/>
      <c r="Q437" s="14"/>
      <c r="R437" s="14"/>
      <c r="S437" s="14"/>
      <c r="T437" s="14"/>
      <c r="U437" s="14"/>
    </row>
    <row r="438" spans="1:21" ht="17.25" customHeight="1">
      <c r="A438" s="14" t="s">
        <v>725</v>
      </c>
      <c r="B438" s="6" t="s">
        <v>717</v>
      </c>
      <c r="C438" s="5" t="s">
        <v>718</v>
      </c>
      <c r="D438" s="7" t="str">
        <f t="shared" si="2"/>
        <v>bossdb://kutten/Control239/Grayscale</v>
      </c>
      <c r="E438" s="5" t="s">
        <v>1302</v>
      </c>
      <c r="F438" s="7" t="s">
        <v>719</v>
      </c>
      <c r="G438" s="5" t="s">
        <v>409</v>
      </c>
      <c r="H438" s="5">
        <v>2016</v>
      </c>
      <c r="I438" s="5" t="s">
        <v>410</v>
      </c>
      <c r="J438" s="5" t="s">
        <v>682</v>
      </c>
      <c r="K438" s="14" t="b">
        <v>1</v>
      </c>
      <c r="L438" s="5" t="s">
        <v>2285</v>
      </c>
      <c r="M438" s="5" t="s">
        <v>413</v>
      </c>
      <c r="N438" s="4"/>
      <c r="O438" s="4"/>
      <c r="P438" s="14"/>
      <c r="Q438" s="14"/>
      <c r="R438" s="14"/>
      <c r="S438" s="14"/>
      <c r="T438" s="14"/>
      <c r="U438" s="14"/>
    </row>
    <row r="439" spans="1:21" ht="17.25" customHeight="1">
      <c r="A439" s="14" t="s">
        <v>726</v>
      </c>
      <c r="B439" s="6" t="s">
        <v>717</v>
      </c>
      <c r="C439" s="5" t="s">
        <v>718</v>
      </c>
      <c r="D439" s="7" t="str">
        <f t="shared" si="2"/>
        <v>bossdb://kutten/Control258/Grayscale</v>
      </c>
      <c r="E439" s="5" t="s">
        <v>1302</v>
      </c>
      <c r="F439" s="7" t="s">
        <v>719</v>
      </c>
      <c r="G439" s="5" t="s">
        <v>409</v>
      </c>
      <c r="H439" s="5">
        <v>2016</v>
      </c>
      <c r="I439" s="5" t="s">
        <v>410</v>
      </c>
      <c r="J439" s="5" t="s">
        <v>682</v>
      </c>
      <c r="K439" s="14" t="b">
        <v>1</v>
      </c>
      <c r="L439" s="5" t="s">
        <v>2285</v>
      </c>
      <c r="M439" s="5" t="s">
        <v>413</v>
      </c>
      <c r="N439" s="4"/>
      <c r="O439" s="4"/>
      <c r="P439" s="14"/>
      <c r="Q439" s="14"/>
      <c r="R439" s="14"/>
      <c r="S439" s="14"/>
      <c r="T439" s="14"/>
      <c r="U439" s="14"/>
    </row>
    <row r="440" spans="1:21" ht="17.25" customHeight="1">
      <c r="A440" s="14" t="s">
        <v>727</v>
      </c>
      <c r="B440" s="6" t="s">
        <v>717</v>
      </c>
      <c r="C440" s="5" t="s">
        <v>718</v>
      </c>
      <c r="D440" s="7" t="str">
        <f t="shared" si="2"/>
        <v>bossdb://kutten/Fear187/Grayscale</v>
      </c>
      <c r="E440" s="5" t="s">
        <v>1302</v>
      </c>
      <c r="F440" s="7" t="s">
        <v>719</v>
      </c>
      <c r="G440" s="5" t="s">
        <v>409</v>
      </c>
      <c r="H440" s="5">
        <v>2016</v>
      </c>
      <c r="I440" s="5" t="s">
        <v>410</v>
      </c>
      <c r="J440" s="5" t="s">
        <v>682</v>
      </c>
      <c r="K440" s="14" t="b">
        <v>1</v>
      </c>
      <c r="L440" s="5" t="s">
        <v>2285</v>
      </c>
      <c r="M440" s="5" t="s">
        <v>413</v>
      </c>
      <c r="N440" s="4"/>
      <c r="O440" s="4"/>
      <c r="P440" s="14"/>
      <c r="Q440" s="14"/>
      <c r="R440" s="14"/>
      <c r="S440" s="14"/>
      <c r="T440" s="14"/>
      <c r="U440" s="14"/>
    </row>
    <row r="441" spans="1:21" ht="17.25" customHeight="1">
      <c r="A441" s="14" t="s">
        <v>728</v>
      </c>
      <c r="B441" s="6" t="s">
        <v>717</v>
      </c>
      <c r="C441" s="5" t="s">
        <v>718</v>
      </c>
      <c r="D441" s="7" t="str">
        <f t="shared" si="2"/>
        <v>bossdb://kutten/Fear197/Grayscale</v>
      </c>
      <c r="E441" s="5" t="s">
        <v>1302</v>
      </c>
      <c r="F441" s="7" t="s">
        <v>719</v>
      </c>
      <c r="G441" s="5" t="s">
        <v>409</v>
      </c>
      <c r="H441" s="5">
        <v>2016</v>
      </c>
      <c r="I441" s="5" t="s">
        <v>410</v>
      </c>
      <c r="J441" s="5" t="s">
        <v>682</v>
      </c>
      <c r="K441" s="14" t="b">
        <v>1</v>
      </c>
      <c r="L441" s="5" t="s">
        <v>2285</v>
      </c>
      <c r="M441" s="5" t="s">
        <v>413</v>
      </c>
      <c r="N441" s="4"/>
      <c r="O441" s="4"/>
      <c r="P441" s="14"/>
      <c r="Q441" s="14"/>
      <c r="R441" s="14"/>
      <c r="S441" s="14"/>
      <c r="T441" s="14"/>
      <c r="U441" s="14"/>
    </row>
    <row r="442" spans="1:21" ht="17.25" customHeight="1">
      <c r="A442" s="14" t="s">
        <v>729</v>
      </c>
      <c r="B442" s="6" t="s">
        <v>423</v>
      </c>
      <c r="C442" s="5" t="s">
        <v>730</v>
      </c>
      <c r="D442" s="7" t="str">
        <f t="shared" si="2"/>
        <v>bossdb://dyer /dyer16 /image</v>
      </c>
      <c r="E442" s="5" t="s">
        <v>1305</v>
      </c>
      <c r="F442" s="7" t="s">
        <v>671</v>
      </c>
      <c r="G442" s="5" t="s">
        <v>409</v>
      </c>
      <c r="H442" s="5">
        <v>2016</v>
      </c>
      <c r="I442" s="5" t="s">
        <v>410</v>
      </c>
      <c r="J442" s="5" t="s">
        <v>411</v>
      </c>
      <c r="K442" s="14" t="b">
        <v>1</v>
      </c>
      <c r="L442" s="5" t="s">
        <v>2286</v>
      </c>
      <c r="M442" s="5" t="s">
        <v>413</v>
      </c>
      <c r="N442" s="4"/>
      <c r="O442" s="4"/>
      <c r="P442" s="14"/>
      <c r="Q442" s="14"/>
      <c r="R442" s="14"/>
      <c r="S442" s="14"/>
      <c r="T442" s="14"/>
      <c r="U442" s="14"/>
    </row>
    <row r="443" spans="1:21" ht="17.25" customHeight="1">
      <c r="A443" s="14" t="s">
        <v>731</v>
      </c>
      <c r="B443" s="6" t="s">
        <v>423</v>
      </c>
      <c r="C443" s="5" t="s">
        <v>732</v>
      </c>
      <c r="D443" s="7" t="str">
        <f t="shared" si="2"/>
        <v>bossdb://lee/lee16 /image</v>
      </c>
      <c r="E443" s="5" t="s">
        <v>1309</v>
      </c>
      <c r="F443" s="7" t="s">
        <v>733</v>
      </c>
      <c r="G443" s="5" t="s">
        <v>409</v>
      </c>
      <c r="H443" s="5">
        <v>2016</v>
      </c>
      <c r="I443" s="5" t="s">
        <v>410</v>
      </c>
      <c r="J443" s="5" t="s">
        <v>411</v>
      </c>
      <c r="K443" s="14" t="b">
        <v>1</v>
      </c>
      <c r="L443" s="5" t="s">
        <v>2438</v>
      </c>
      <c r="M443" s="5" t="s">
        <v>413</v>
      </c>
      <c r="N443" s="4"/>
      <c r="O443" s="4"/>
      <c r="P443" s="14"/>
      <c r="Q443" s="14"/>
      <c r="R443" s="14"/>
      <c r="S443" s="14"/>
      <c r="T443" s="14"/>
      <c r="U443" s="14"/>
    </row>
    <row r="444" spans="1:21" ht="17.25" customHeight="1">
      <c r="A444" s="14" t="s">
        <v>734</v>
      </c>
      <c r="B444" s="6" t="s">
        <v>652</v>
      </c>
      <c r="C444" s="5" t="s">
        <v>735</v>
      </c>
      <c r="D444" s="7" t="str">
        <f t="shared" si="2"/>
        <v>bossdb://bloss /bloss16 /channel0</v>
      </c>
      <c r="E444" s="5" t="s">
        <v>2440</v>
      </c>
      <c r="F444" s="7" t="s">
        <v>736</v>
      </c>
      <c r="G444" s="5" t="s">
        <v>409</v>
      </c>
      <c r="H444" s="5">
        <v>2016</v>
      </c>
      <c r="I444" s="5" t="s">
        <v>410</v>
      </c>
      <c r="J444" s="5" t="s">
        <v>411</v>
      </c>
      <c r="K444" s="14" t="b">
        <v>1</v>
      </c>
      <c r="L444" s="5" t="s">
        <v>2288</v>
      </c>
      <c r="M444" s="5" t="s">
        <v>413</v>
      </c>
      <c r="N444" s="4"/>
      <c r="O444" s="4"/>
      <c r="P444" s="14"/>
      <c r="Q444" s="14"/>
      <c r="R444" s="14"/>
      <c r="S444" s="14"/>
      <c r="T444" s="14"/>
      <c r="U444" s="14"/>
    </row>
    <row r="445" spans="1:21" ht="17.25" customHeight="1">
      <c r="A445" s="14" t="s">
        <v>734</v>
      </c>
      <c r="B445" s="6" t="s">
        <v>656</v>
      </c>
      <c r="C445" s="5" t="s">
        <v>735</v>
      </c>
      <c r="D445" s="7" t="str">
        <f t="shared" si="2"/>
        <v>bossdb://bloss /bloss16 /channel1</v>
      </c>
      <c r="E445" s="5" t="s">
        <v>2440</v>
      </c>
      <c r="F445" s="7" t="s">
        <v>736</v>
      </c>
      <c r="G445" s="5" t="s">
        <v>409</v>
      </c>
      <c r="H445" s="5">
        <v>2016</v>
      </c>
      <c r="I445" s="5" t="s">
        <v>410</v>
      </c>
      <c r="J445" s="5" t="s">
        <v>411</v>
      </c>
      <c r="K445" s="14" t="b">
        <v>1</v>
      </c>
      <c r="L445" s="5" t="s">
        <v>2288</v>
      </c>
      <c r="M445" s="5" t="s">
        <v>413</v>
      </c>
      <c r="N445" s="4"/>
      <c r="O445" s="4"/>
      <c r="P445" s="14"/>
      <c r="Q445" s="14"/>
      <c r="R445" s="14"/>
      <c r="S445" s="14"/>
      <c r="T445" s="14"/>
      <c r="U445" s="14"/>
    </row>
    <row r="446" spans="1:21" ht="17.25" customHeight="1">
      <c r="A446" s="14" t="s">
        <v>734</v>
      </c>
      <c r="B446" s="6" t="s">
        <v>658</v>
      </c>
      <c r="C446" s="5" t="s">
        <v>735</v>
      </c>
      <c r="D446" s="7" t="str">
        <f t="shared" si="2"/>
        <v>bossdb://bloss /bloss16 /channel2</v>
      </c>
      <c r="E446" s="5" t="s">
        <v>2440</v>
      </c>
      <c r="F446" s="7" t="s">
        <v>736</v>
      </c>
      <c r="G446" s="5" t="s">
        <v>409</v>
      </c>
      <c r="H446" s="5">
        <v>2016</v>
      </c>
      <c r="I446" s="5" t="s">
        <v>410</v>
      </c>
      <c r="J446" s="5" t="s">
        <v>411</v>
      </c>
      <c r="K446" s="14" t="b">
        <v>1</v>
      </c>
      <c r="L446" s="5" t="s">
        <v>2288</v>
      </c>
      <c r="M446" s="5" t="s">
        <v>413</v>
      </c>
      <c r="N446" s="4"/>
      <c r="O446" s="4"/>
      <c r="P446" s="14"/>
      <c r="Q446" s="14"/>
      <c r="R446" s="14"/>
      <c r="S446" s="14"/>
      <c r="T446" s="14"/>
      <c r="U446" s="14"/>
    </row>
    <row r="447" spans="1:21" ht="17.25" customHeight="1">
      <c r="A447" s="14" t="s">
        <v>734</v>
      </c>
      <c r="B447" s="6" t="s">
        <v>660</v>
      </c>
      <c r="C447" s="5" t="s">
        <v>735</v>
      </c>
      <c r="D447" s="7" t="str">
        <f t="shared" si="2"/>
        <v>bossdb://bloss /bloss16 /channel3</v>
      </c>
      <c r="E447" s="5" t="s">
        <v>2440</v>
      </c>
      <c r="F447" s="7" t="s">
        <v>736</v>
      </c>
      <c r="G447" s="5" t="s">
        <v>409</v>
      </c>
      <c r="H447" s="5">
        <v>2016</v>
      </c>
      <c r="I447" s="5" t="s">
        <v>410</v>
      </c>
      <c r="J447" s="5" t="s">
        <v>411</v>
      </c>
      <c r="K447" s="14" t="b">
        <v>1</v>
      </c>
      <c r="L447" s="5" t="s">
        <v>2288</v>
      </c>
      <c r="M447" s="5" t="s">
        <v>413</v>
      </c>
      <c r="N447" s="4"/>
      <c r="O447" s="4"/>
      <c r="P447" s="14"/>
      <c r="Q447" s="14"/>
      <c r="R447" s="14"/>
      <c r="S447" s="14"/>
      <c r="T447" s="14"/>
      <c r="U447" s="14"/>
    </row>
    <row r="448" spans="1:21" ht="17.25" customHeight="1">
      <c r="A448" s="14" t="s">
        <v>737</v>
      </c>
      <c r="B448" s="6" t="s">
        <v>738</v>
      </c>
      <c r="C448" s="5" t="s">
        <v>738</v>
      </c>
      <c r="D448" s="7" t="str">
        <f t="shared" si="2"/>
        <v>bossdb://Webpage not available/Webpage not found/Webpage not available</v>
      </c>
      <c r="E448" s="5" t="s">
        <v>1317</v>
      </c>
      <c r="F448" s="7" t="s">
        <v>739</v>
      </c>
      <c r="G448" s="5" t="s">
        <v>409</v>
      </c>
      <c r="H448" s="5">
        <v>2015</v>
      </c>
      <c r="I448" s="5" t="s">
        <v>740</v>
      </c>
      <c r="J448" s="14"/>
      <c r="K448" s="14" t="b">
        <v>1</v>
      </c>
      <c r="L448" s="5" t="s">
        <v>2434</v>
      </c>
      <c r="M448" s="5" t="s">
        <v>413</v>
      </c>
      <c r="N448" s="4"/>
      <c r="O448" s="4"/>
      <c r="P448" s="14"/>
      <c r="Q448" s="14"/>
      <c r="R448" s="14"/>
      <c r="S448" s="14"/>
      <c r="T448" s="14"/>
      <c r="U448" s="14"/>
    </row>
    <row r="449" spans="1:21" ht="17.25" customHeight="1">
      <c r="A449" s="14" t="s">
        <v>741</v>
      </c>
      <c r="B449" s="6" t="s">
        <v>742</v>
      </c>
      <c r="C449" s="5" t="s">
        <v>743</v>
      </c>
      <c r="D449" s="7" t="str">
        <f t="shared" si="2"/>
        <v>bossdb://kharris15/apical/anno</v>
      </c>
      <c r="E449" s="5" t="s">
        <v>1320</v>
      </c>
      <c r="F449" s="7" t="s">
        <v>744</v>
      </c>
      <c r="G449" s="5" t="s">
        <v>409</v>
      </c>
      <c r="H449" s="5">
        <v>2015</v>
      </c>
      <c r="I449" s="5" t="s">
        <v>2433</v>
      </c>
      <c r="J449" s="5" t="s">
        <v>673</v>
      </c>
      <c r="K449" s="14" t="b">
        <v>1</v>
      </c>
      <c r="L449" s="5" t="s">
        <v>2435</v>
      </c>
      <c r="M449" s="5" t="s">
        <v>413</v>
      </c>
      <c r="N449" s="4"/>
      <c r="O449" s="4"/>
      <c r="P449" s="14"/>
      <c r="Q449" s="14"/>
      <c r="R449" s="14"/>
      <c r="S449" s="14"/>
      <c r="T449" s="14"/>
      <c r="U449" s="14"/>
    </row>
    <row r="450" spans="1:21" ht="17.25" customHeight="1">
      <c r="A450" s="14" t="s">
        <v>741</v>
      </c>
      <c r="B450" s="6" t="s">
        <v>406</v>
      </c>
      <c r="C450" s="5" t="s">
        <v>743</v>
      </c>
      <c r="D450" s="7" t="str">
        <f t="shared" si="2"/>
        <v>bossdb://kharris15/apical/em</v>
      </c>
      <c r="E450" s="5" t="s">
        <v>1320</v>
      </c>
      <c r="F450" s="7" t="s">
        <v>744</v>
      </c>
      <c r="G450" s="5" t="s">
        <v>409</v>
      </c>
      <c r="H450" s="5">
        <v>2015</v>
      </c>
      <c r="I450" s="5" t="s">
        <v>410</v>
      </c>
      <c r="J450" s="5" t="s">
        <v>411</v>
      </c>
      <c r="K450" s="14" t="b">
        <v>1</v>
      </c>
      <c r="L450" s="5" t="s">
        <v>2435</v>
      </c>
      <c r="M450" s="5" t="s">
        <v>413</v>
      </c>
      <c r="N450" s="4"/>
      <c r="O450" s="4"/>
      <c r="P450" s="14"/>
      <c r="Q450" s="14"/>
      <c r="R450" s="14"/>
      <c r="S450" s="14"/>
      <c r="T450" s="14"/>
      <c r="U450" s="14"/>
    </row>
    <row r="451" spans="1:21" ht="17.25" customHeight="1">
      <c r="A451" s="14" t="s">
        <v>745</v>
      </c>
      <c r="B451" s="6" t="s">
        <v>742</v>
      </c>
      <c r="C451" s="5" t="s">
        <v>743</v>
      </c>
      <c r="D451" s="7" t="str">
        <f t="shared" si="2"/>
        <v>bossdb://kharris15/oblique/anno</v>
      </c>
      <c r="E451" s="5" t="s">
        <v>1320</v>
      </c>
      <c r="F451" s="7" t="s">
        <v>744</v>
      </c>
      <c r="G451" s="5" t="s">
        <v>409</v>
      </c>
      <c r="H451" s="5">
        <v>2015</v>
      </c>
      <c r="I451" s="5" t="s">
        <v>2433</v>
      </c>
      <c r="J451" s="5" t="s">
        <v>673</v>
      </c>
      <c r="K451" s="14" t="b">
        <v>1</v>
      </c>
      <c r="L451" s="5" t="s">
        <v>2435</v>
      </c>
      <c r="M451" s="5" t="s">
        <v>413</v>
      </c>
      <c r="N451" s="4"/>
      <c r="O451" s="4"/>
      <c r="P451" s="14"/>
      <c r="Q451" s="14"/>
      <c r="R451" s="14"/>
      <c r="S451" s="14"/>
      <c r="T451" s="14"/>
      <c r="U451" s="14"/>
    </row>
    <row r="452" spans="1:21" ht="17.25" customHeight="1">
      <c r="A452" s="14" t="s">
        <v>745</v>
      </c>
      <c r="B452" s="6" t="s">
        <v>406</v>
      </c>
      <c r="C452" s="5" t="s">
        <v>743</v>
      </c>
      <c r="D452" s="7" t="str">
        <f t="shared" si="2"/>
        <v>bossdb://kharris15/oblique/em</v>
      </c>
      <c r="E452" s="5" t="s">
        <v>1320</v>
      </c>
      <c r="F452" s="7" t="s">
        <v>744</v>
      </c>
      <c r="G452" s="5" t="s">
        <v>409</v>
      </c>
      <c r="H452" s="5">
        <v>2015</v>
      </c>
      <c r="I452" s="5" t="s">
        <v>410</v>
      </c>
      <c r="J452" s="5" t="s">
        <v>411</v>
      </c>
      <c r="K452" s="14" t="b">
        <v>1</v>
      </c>
      <c r="L452" s="5" t="s">
        <v>2435</v>
      </c>
      <c r="M452" s="5" t="s">
        <v>413</v>
      </c>
      <c r="N452" s="4"/>
      <c r="O452" s="4"/>
      <c r="P452" s="14"/>
      <c r="Q452" s="14"/>
      <c r="R452" s="14"/>
      <c r="S452" s="14"/>
      <c r="T452" s="14"/>
      <c r="U452" s="14"/>
    </row>
    <row r="453" spans="1:21" ht="17.25" customHeight="1">
      <c r="A453" s="14" t="s">
        <v>746</v>
      </c>
      <c r="B453" s="6" t="s">
        <v>742</v>
      </c>
      <c r="C453" s="5" t="s">
        <v>743</v>
      </c>
      <c r="D453" s="7" t="str">
        <f t="shared" si="2"/>
        <v>bossdb://kharris15/spine/anno</v>
      </c>
      <c r="E453" s="5" t="s">
        <v>1320</v>
      </c>
      <c r="F453" s="7" t="s">
        <v>744</v>
      </c>
      <c r="G453" s="5" t="s">
        <v>409</v>
      </c>
      <c r="H453" s="5">
        <v>2015</v>
      </c>
      <c r="I453" s="5" t="s">
        <v>2433</v>
      </c>
      <c r="J453" s="5" t="s">
        <v>673</v>
      </c>
      <c r="K453" s="14" t="b">
        <v>1</v>
      </c>
      <c r="L453" s="5" t="s">
        <v>2435</v>
      </c>
      <c r="M453" s="5" t="s">
        <v>413</v>
      </c>
      <c r="N453" s="4"/>
      <c r="O453" s="4"/>
      <c r="P453" s="14"/>
      <c r="Q453" s="14"/>
      <c r="R453" s="14"/>
      <c r="S453" s="14"/>
      <c r="T453" s="14"/>
      <c r="U453" s="14"/>
    </row>
    <row r="454" spans="1:21" ht="17.25" customHeight="1">
      <c r="A454" s="14" t="s">
        <v>746</v>
      </c>
      <c r="B454" s="6" t="s">
        <v>406</v>
      </c>
      <c r="C454" s="5" t="s">
        <v>743</v>
      </c>
      <c r="D454" s="7" t="str">
        <f t="shared" si="2"/>
        <v>bossdb://kharris15/spine/em</v>
      </c>
      <c r="E454" s="5" t="s">
        <v>1320</v>
      </c>
      <c r="F454" s="7" t="s">
        <v>744</v>
      </c>
      <c r="G454" s="5" t="s">
        <v>409</v>
      </c>
      <c r="H454" s="5">
        <v>2015</v>
      </c>
      <c r="I454" s="5" t="s">
        <v>410</v>
      </c>
      <c r="J454" s="5" t="s">
        <v>411</v>
      </c>
      <c r="K454" s="14" t="b">
        <v>1</v>
      </c>
      <c r="L454" s="5" t="s">
        <v>2435</v>
      </c>
      <c r="M454" s="5" t="s">
        <v>413</v>
      </c>
      <c r="N454" s="4"/>
      <c r="O454" s="4"/>
      <c r="P454" s="14"/>
      <c r="Q454" s="14"/>
      <c r="R454" s="14"/>
      <c r="S454" s="14"/>
      <c r="T454" s="14"/>
      <c r="U454" s="14"/>
    </row>
    <row r="455" spans="1:21" ht="17.25" customHeight="1">
      <c r="A455" s="14" t="s">
        <v>747</v>
      </c>
      <c r="B455" s="6" t="s">
        <v>672</v>
      </c>
      <c r="C455" s="5" t="s">
        <v>748</v>
      </c>
      <c r="D455" s="7" t="str">
        <f t="shared" si="2"/>
        <v>bossdb://bhatla /ritaN2 /annotation</v>
      </c>
      <c r="E455" s="5" t="s">
        <v>1324</v>
      </c>
      <c r="F455" s="7" t="s">
        <v>749</v>
      </c>
      <c r="G455" s="5" t="s">
        <v>409</v>
      </c>
      <c r="H455" s="5">
        <v>2015</v>
      </c>
      <c r="I455" s="5" t="s">
        <v>2433</v>
      </c>
      <c r="J455" s="5" t="s">
        <v>673</v>
      </c>
      <c r="K455" s="14" t="b">
        <v>1</v>
      </c>
      <c r="L455" s="5" t="s">
        <v>2291</v>
      </c>
      <c r="M455" s="5" t="s">
        <v>413</v>
      </c>
      <c r="N455" s="4"/>
      <c r="O455" s="4"/>
      <c r="P455" s="14"/>
      <c r="Q455" s="14"/>
      <c r="R455" s="14"/>
      <c r="S455" s="14"/>
      <c r="T455" s="14"/>
      <c r="U455" s="14"/>
    </row>
    <row r="456" spans="1:21" ht="17.25" customHeight="1">
      <c r="A456" s="14" t="s">
        <v>747</v>
      </c>
      <c r="B456" s="6" t="s">
        <v>423</v>
      </c>
      <c r="C456" s="5" t="s">
        <v>748</v>
      </c>
      <c r="D456" s="7" t="str">
        <f t="shared" si="2"/>
        <v>bossdb://bhatla /ritaN2 /image</v>
      </c>
      <c r="E456" s="5" t="s">
        <v>1324</v>
      </c>
      <c r="F456" s="7" t="s">
        <v>749</v>
      </c>
      <c r="G456" s="5" t="s">
        <v>409</v>
      </c>
      <c r="H456" s="5">
        <v>2015</v>
      </c>
      <c r="I456" s="5" t="s">
        <v>410</v>
      </c>
      <c r="J456" s="5" t="s">
        <v>411</v>
      </c>
      <c r="K456" s="14" t="b">
        <v>1</v>
      </c>
      <c r="L456" s="5" t="s">
        <v>2291</v>
      </c>
      <c r="M456" s="5" t="s">
        <v>413</v>
      </c>
      <c r="N456" s="4"/>
      <c r="O456" s="4"/>
      <c r="P456" s="14"/>
      <c r="Q456" s="14"/>
      <c r="R456" s="14"/>
      <c r="S456" s="14"/>
      <c r="T456" s="14"/>
      <c r="U456" s="14"/>
    </row>
    <row r="457" spans="1:21" ht="17.25" customHeight="1">
      <c r="A457" s="14" t="s">
        <v>750</v>
      </c>
      <c r="B457" s="6" t="s">
        <v>406</v>
      </c>
      <c r="C457" s="5" t="s">
        <v>751</v>
      </c>
      <c r="D457" s="7" t="str">
        <f t="shared" si="2"/>
        <v>bossdb://Kasthuri/ac4/em</v>
      </c>
      <c r="E457" s="5" t="s">
        <v>1327</v>
      </c>
      <c r="F457" s="7" t="s">
        <v>752</v>
      </c>
      <c r="G457" s="5" t="s">
        <v>409</v>
      </c>
      <c r="H457" s="5">
        <v>2015</v>
      </c>
      <c r="I457" s="5" t="s">
        <v>410</v>
      </c>
      <c r="J457" s="5" t="s">
        <v>411</v>
      </c>
      <c r="K457" s="14" t="b">
        <v>1</v>
      </c>
      <c r="L457" s="5" t="s">
        <v>2428</v>
      </c>
      <c r="M457" s="5" t="s">
        <v>413</v>
      </c>
      <c r="N457" s="4"/>
      <c r="O457" s="4"/>
      <c r="P457" s="14"/>
      <c r="Q457" s="14"/>
      <c r="R457" s="14"/>
      <c r="S457" s="14"/>
      <c r="T457" s="14"/>
      <c r="U457" s="14"/>
    </row>
    <row r="458" spans="1:21" ht="17.25" customHeight="1">
      <c r="A458" s="14" t="s">
        <v>750</v>
      </c>
      <c r="B458" s="6" t="s">
        <v>753</v>
      </c>
      <c r="C458" s="5" t="s">
        <v>751</v>
      </c>
      <c r="D458" s="7" t="str">
        <f t="shared" si="2"/>
        <v>bossdb://Kasthuri/ac4/emblack</v>
      </c>
      <c r="E458" s="5" t="s">
        <v>1327</v>
      </c>
      <c r="F458" s="7" t="s">
        <v>752</v>
      </c>
      <c r="G458" s="5" t="s">
        <v>409</v>
      </c>
      <c r="H458" s="5">
        <v>2015</v>
      </c>
      <c r="I458" s="5" t="s">
        <v>410</v>
      </c>
      <c r="J458" s="5" t="s">
        <v>411</v>
      </c>
      <c r="K458" s="14" t="b">
        <v>1</v>
      </c>
      <c r="L458" s="5" t="s">
        <v>2428</v>
      </c>
      <c r="M458" s="5" t="s">
        <v>413</v>
      </c>
      <c r="N458" s="14"/>
      <c r="O458" s="14"/>
      <c r="P458" s="14"/>
      <c r="Q458" s="14"/>
      <c r="R458" s="14"/>
      <c r="S458" s="14"/>
      <c r="T458" s="14"/>
      <c r="U458" s="14"/>
    </row>
    <row r="459" spans="1:21" ht="17.25" customHeight="1">
      <c r="A459" s="14" t="s">
        <v>750</v>
      </c>
      <c r="B459" s="6" t="s">
        <v>754</v>
      </c>
      <c r="C459" s="5" t="s">
        <v>751</v>
      </c>
      <c r="D459" s="7" t="str">
        <f t="shared" si="2"/>
        <v>bossdb://Kasthuri/ac4/membrane</v>
      </c>
      <c r="E459" s="5" t="s">
        <v>1327</v>
      </c>
      <c r="F459" s="7" t="s">
        <v>752</v>
      </c>
      <c r="G459" s="5" t="s">
        <v>409</v>
      </c>
      <c r="H459" s="5">
        <v>2015</v>
      </c>
      <c r="I459" s="5" t="s">
        <v>2433</v>
      </c>
      <c r="J459" s="5" t="s">
        <v>673</v>
      </c>
      <c r="K459" s="14" t="b">
        <v>1</v>
      </c>
      <c r="L459" s="5" t="s">
        <v>2428</v>
      </c>
      <c r="M459" s="5" t="s">
        <v>413</v>
      </c>
      <c r="N459" s="14"/>
      <c r="O459" s="14"/>
      <c r="P459" s="14"/>
      <c r="Q459" s="14"/>
      <c r="R459" s="14"/>
      <c r="S459" s="14"/>
      <c r="T459" s="14"/>
      <c r="U459" s="14"/>
    </row>
    <row r="460" spans="1:21" ht="17.25" customHeight="1">
      <c r="A460" s="14" t="s">
        <v>750</v>
      </c>
      <c r="B460" s="6" t="s">
        <v>755</v>
      </c>
      <c r="C460" s="5" t="s">
        <v>751</v>
      </c>
      <c r="D460" s="7" t="str">
        <f t="shared" si="2"/>
        <v>bossdb://Kasthuri/ac4/neuron</v>
      </c>
      <c r="E460" s="5" t="s">
        <v>1327</v>
      </c>
      <c r="F460" s="7" t="s">
        <v>752</v>
      </c>
      <c r="G460" s="5" t="s">
        <v>409</v>
      </c>
      <c r="H460" s="5">
        <v>2015</v>
      </c>
      <c r="I460" s="5" t="s">
        <v>2433</v>
      </c>
      <c r="J460" s="5" t="s">
        <v>673</v>
      </c>
      <c r="K460" s="14" t="b">
        <v>1</v>
      </c>
      <c r="L460" s="5" t="s">
        <v>2428</v>
      </c>
      <c r="M460" s="5" t="s">
        <v>413</v>
      </c>
      <c r="N460" s="14"/>
      <c r="O460" s="14"/>
      <c r="P460" s="14"/>
      <c r="Q460" s="14"/>
      <c r="R460" s="14"/>
      <c r="S460" s="14"/>
      <c r="T460" s="14"/>
      <c r="U460" s="14"/>
    </row>
    <row r="461" spans="1:21" ht="17.25" customHeight="1">
      <c r="A461" s="14" t="s">
        <v>750</v>
      </c>
      <c r="B461" s="6" t="s">
        <v>756</v>
      </c>
      <c r="C461" s="5" t="s">
        <v>751</v>
      </c>
      <c r="D461" s="7" t="str">
        <f t="shared" si="2"/>
        <v>bossdb://Kasthuri/ac4/synapse</v>
      </c>
      <c r="E461" s="5" t="s">
        <v>1327</v>
      </c>
      <c r="F461" s="7" t="s">
        <v>752</v>
      </c>
      <c r="G461" s="5" t="s">
        <v>409</v>
      </c>
      <c r="H461" s="5">
        <v>2015</v>
      </c>
      <c r="I461" s="5" t="s">
        <v>2433</v>
      </c>
      <c r="J461" s="5" t="s">
        <v>673</v>
      </c>
      <c r="K461" s="14" t="b">
        <v>1</v>
      </c>
      <c r="L461" s="5" t="s">
        <v>2428</v>
      </c>
      <c r="M461" s="5" t="s">
        <v>413</v>
      </c>
      <c r="N461" s="14"/>
      <c r="O461" s="14"/>
      <c r="P461" s="14"/>
      <c r="Q461" s="14"/>
      <c r="R461" s="14"/>
      <c r="S461" s="14"/>
      <c r="T461" s="14"/>
      <c r="U461" s="14"/>
    </row>
    <row r="462" spans="1:21" ht="17.25" customHeight="1">
      <c r="A462" s="14" t="s">
        <v>757</v>
      </c>
      <c r="B462" s="6" t="s">
        <v>758</v>
      </c>
      <c r="C462" s="5" t="s">
        <v>751</v>
      </c>
      <c r="D462" s="7" t="str">
        <f t="shared" si="2"/>
        <v xml:space="preserve">bossdb://Kasthuri/connectomics2019_results/NA </v>
      </c>
      <c r="E462" s="5" t="s">
        <v>1327</v>
      </c>
      <c r="F462" s="7" t="s">
        <v>752</v>
      </c>
      <c r="G462" s="5" t="s">
        <v>409</v>
      </c>
      <c r="H462" s="5">
        <v>2015</v>
      </c>
      <c r="I462" s="5"/>
      <c r="J462" s="14"/>
      <c r="K462" s="14" t="b">
        <v>1</v>
      </c>
      <c r="L462" s="5" t="s">
        <v>2428</v>
      </c>
      <c r="M462" s="5" t="s">
        <v>413</v>
      </c>
      <c r="N462" s="14"/>
      <c r="O462" s="14"/>
      <c r="P462" s="14"/>
      <c r="Q462" s="14"/>
      <c r="R462" s="14"/>
      <c r="S462" s="14"/>
      <c r="T462" s="14"/>
      <c r="U462" s="14"/>
    </row>
    <row r="463" spans="1:21" ht="17.25" customHeight="1">
      <c r="A463" s="14" t="s">
        <v>406</v>
      </c>
      <c r="B463" s="6" t="s">
        <v>760</v>
      </c>
      <c r="C463" s="5" t="s">
        <v>751</v>
      </c>
      <c r="D463" s="7" t="str">
        <f t="shared" si="2"/>
        <v>bossdb://Kasthuri/em/I2G_Membranes_i_Pub</v>
      </c>
      <c r="E463" s="5" t="s">
        <v>1327</v>
      </c>
      <c r="F463" s="7" t="s">
        <v>752</v>
      </c>
      <c r="G463" s="5" t="s">
        <v>409</v>
      </c>
      <c r="H463" s="5">
        <v>2015</v>
      </c>
      <c r="I463" s="5" t="s">
        <v>410</v>
      </c>
      <c r="J463" s="5" t="s">
        <v>411</v>
      </c>
      <c r="K463" s="14" t="b">
        <v>1</v>
      </c>
      <c r="L463" s="5" t="s">
        <v>2428</v>
      </c>
      <c r="M463" s="5" t="s">
        <v>413</v>
      </c>
      <c r="N463" s="14"/>
      <c r="O463" s="14"/>
      <c r="P463" s="14"/>
      <c r="Q463" s="14"/>
      <c r="R463" s="14"/>
      <c r="S463" s="14"/>
      <c r="T463" s="14"/>
      <c r="U463" s="14"/>
    </row>
    <row r="464" spans="1:21" ht="17.25" customHeight="1">
      <c r="A464" s="14" t="s">
        <v>406</v>
      </c>
      <c r="B464" s="6" t="s">
        <v>761</v>
      </c>
      <c r="C464" s="5" t="s">
        <v>751</v>
      </c>
      <c r="D464" s="7" t="str">
        <f t="shared" si="2"/>
        <v xml:space="preserve">bossdb://Kasthuri/em/I2G_Synapses_i_Pub </v>
      </c>
      <c r="E464" s="5" t="s">
        <v>1327</v>
      </c>
      <c r="F464" s="7" t="s">
        <v>752</v>
      </c>
      <c r="G464" s="5" t="s">
        <v>409</v>
      </c>
      <c r="H464" s="5">
        <v>2015</v>
      </c>
      <c r="I464" s="5" t="s">
        <v>410</v>
      </c>
      <c r="J464" s="5" t="s">
        <v>411</v>
      </c>
      <c r="K464" s="14" t="b">
        <v>1</v>
      </c>
      <c r="L464" s="5" t="s">
        <v>2428</v>
      </c>
      <c r="M464" s="5" t="s">
        <v>413</v>
      </c>
      <c r="N464" s="14"/>
      <c r="O464" s="14"/>
      <c r="P464" s="14"/>
      <c r="Q464" s="14"/>
      <c r="R464" s="14"/>
      <c r="S464" s="14"/>
      <c r="T464" s="14"/>
      <c r="U464" s="14"/>
    </row>
    <row r="465" spans="1:21" ht="17.25" customHeight="1">
      <c r="A465" s="14" t="s">
        <v>406</v>
      </c>
      <c r="B465" s="6" t="s">
        <v>762</v>
      </c>
      <c r="C465" s="5" t="s">
        <v>751</v>
      </c>
      <c r="D465" s="7" t="str">
        <f t="shared" si="2"/>
        <v>bossdb://Kasthuri/em/images</v>
      </c>
      <c r="E465" s="5" t="s">
        <v>1327</v>
      </c>
      <c r="F465" s="7" t="s">
        <v>752</v>
      </c>
      <c r="G465" s="5" t="s">
        <v>409</v>
      </c>
      <c r="H465" s="5">
        <v>2015</v>
      </c>
      <c r="I465" s="5" t="s">
        <v>410</v>
      </c>
      <c r="J465" s="5" t="s">
        <v>411</v>
      </c>
      <c r="K465" s="85" t="s">
        <v>2428</v>
      </c>
      <c r="L465" s="5" t="s">
        <v>2428</v>
      </c>
      <c r="M465" s="5" t="s">
        <v>413</v>
      </c>
      <c r="N465" s="14"/>
      <c r="O465" s="14"/>
      <c r="P465" s="14"/>
      <c r="Q465" s="14"/>
      <c r="R465" s="14"/>
      <c r="S465" s="14"/>
      <c r="T465" s="14"/>
      <c r="U465" s="14"/>
    </row>
    <row r="466" spans="1:21" ht="17.25" customHeight="1">
      <c r="A466" s="14" t="s">
        <v>406</v>
      </c>
      <c r="B466" s="6" t="s">
        <v>763</v>
      </c>
      <c r="C466" s="5" t="s">
        <v>751</v>
      </c>
      <c r="D466" s="7" t="str">
        <f t="shared" si="2"/>
        <v>bossdb://Kasthuri/em/mitochondria_raw</v>
      </c>
      <c r="E466" s="5" t="s">
        <v>1327</v>
      </c>
      <c r="F466" s="7" t="s">
        <v>752</v>
      </c>
      <c r="G466" s="5" t="s">
        <v>409</v>
      </c>
      <c r="H466" s="5">
        <v>2015</v>
      </c>
      <c r="I466" s="5" t="s">
        <v>410</v>
      </c>
      <c r="J466" s="5" t="s">
        <v>411</v>
      </c>
      <c r="K466" s="14" t="b">
        <v>1</v>
      </c>
      <c r="L466" s="5" t="s">
        <v>2428</v>
      </c>
      <c r="M466" s="5" t="s">
        <v>413</v>
      </c>
      <c r="N466" s="14"/>
      <c r="O466" s="14"/>
      <c r="P466" s="14"/>
      <c r="Q466" s="14"/>
      <c r="R466" s="14"/>
      <c r="S466" s="14"/>
      <c r="T466" s="14"/>
      <c r="U466" s="14"/>
    </row>
    <row r="467" spans="1:21" ht="17.25" customHeight="1">
      <c r="A467" s="14" t="s">
        <v>406</v>
      </c>
      <c r="B467" s="6" t="s">
        <v>758</v>
      </c>
      <c r="C467" s="5" t="s">
        <v>751</v>
      </c>
      <c r="D467" s="7" t="str">
        <f t="shared" ref="D467:D524" si="3">CONCATENATE("bossdb://",C467,"/",A467,"/",B467,)</f>
        <v xml:space="preserve">bossdb://Kasthuri/em/NA </v>
      </c>
      <c r="E467" s="5" t="s">
        <v>1327</v>
      </c>
      <c r="F467" s="7" t="s">
        <v>752</v>
      </c>
      <c r="G467" s="5" t="s">
        <v>409</v>
      </c>
      <c r="H467" s="5">
        <v>2015</v>
      </c>
      <c r="I467" s="5"/>
      <c r="J467" s="14"/>
      <c r="K467" s="14" t="b">
        <v>1</v>
      </c>
      <c r="L467" s="5" t="s">
        <v>2428</v>
      </c>
      <c r="M467" s="5" t="s">
        <v>413</v>
      </c>
      <c r="N467" s="14"/>
      <c r="O467" s="14"/>
      <c r="P467" s="14"/>
      <c r="Q467" s="14"/>
      <c r="R467" s="14"/>
      <c r="S467" s="14"/>
      <c r="T467" s="14"/>
      <c r="U467" s="14"/>
    </row>
    <row r="468" spans="1:21" ht="17.25" customHeight="1">
      <c r="A468" s="14" t="s">
        <v>764</v>
      </c>
      <c r="B468" s="6" t="s">
        <v>423</v>
      </c>
      <c r="C468" s="5" t="s">
        <v>765</v>
      </c>
      <c r="D468" s="7" t="str">
        <f t="shared" si="3"/>
        <v>bossdb://bigbrain/release2015 /image</v>
      </c>
      <c r="E468" s="5" t="s">
        <v>1330</v>
      </c>
      <c r="F468" s="7" t="s">
        <v>766</v>
      </c>
      <c r="G468" s="5" t="s">
        <v>409</v>
      </c>
      <c r="H468" s="5">
        <v>2015</v>
      </c>
      <c r="I468" s="5" t="s">
        <v>410</v>
      </c>
      <c r="J468" s="5" t="s">
        <v>411</v>
      </c>
      <c r="K468" s="14" t="b">
        <v>1</v>
      </c>
      <c r="L468" s="5" t="s">
        <v>2293</v>
      </c>
      <c r="M468" s="5" t="s">
        <v>413</v>
      </c>
      <c r="N468" s="14"/>
      <c r="O468" s="14"/>
      <c r="P468" s="14"/>
      <c r="Q468" s="14"/>
      <c r="R468" s="14"/>
      <c r="S468" s="14"/>
      <c r="T468" s="14"/>
      <c r="U468" s="14"/>
    </row>
    <row r="469" spans="1:21" ht="17.25" customHeight="1">
      <c r="A469" s="14" t="s">
        <v>767</v>
      </c>
      <c r="B469" s="6" t="s">
        <v>768</v>
      </c>
      <c r="C469" s="5" t="s">
        <v>2339</v>
      </c>
      <c r="D469" s="7" t="str">
        <f t="shared" si="3"/>
        <v xml:space="preserve">bossdb://cardo/acardona_0111_8__12_03_2017/image </v>
      </c>
      <c r="E469" s="5" t="s">
        <v>1333</v>
      </c>
      <c r="F469" s="7" t="s">
        <v>2379</v>
      </c>
      <c r="G469" s="5" t="s">
        <v>409</v>
      </c>
      <c r="H469" s="5">
        <v>2015</v>
      </c>
      <c r="I469" s="5" t="s">
        <v>410</v>
      </c>
      <c r="J469" s="5" t="s">
        <v>411</v>
      </c>
      <c r="K469" s="14" t="b">
        <v>1</v>
      </c>
      <c r="L469" s="5" t="s">
        <v>2436</v>
      </c>
      <c r="M469" s="5" t="s">
        <v>413</v>
      </c>
      <c r="N469" s="14"/>
      <c r="O469" s="14"/>
      <c r="P469" s="14"/>
      <c r="Q469" s="14"/>
      <c r="R469" s="14"/>
      <c r="S469" s="14"/>
      <c r="T469" s="14"/>
      <c r="U469" s="14"/>
    </row>
    <row r="470" spans="1:21" ht="17.25" customHeight="1">
      <c r="A470" s="14" t="s">
        <v>770</v>
      </c>
      <c r="B470" s="6" t="s">
        <v>768</v>
      </c>
      <c r="C470" s="5" t="s">
        <v>2339</v>
      </c>
      <c r="D470" s="7" t="str">
        <f t="shared" si="3"/>
        <v xml:space="preserve">bossdb://cardo/acardona_abd1_5/image </v>
      </c>
      <c r="E470" s="5" t="s">
        <v>1333</v>
      </c>
      <c r="F470" s="7" t="s">
        <v>2379</v>
      </c>
      <c r="G470" s="5" t="s">
        <v>409</v>
      </c>
      <c r="H470" s="5">
        <v>2015</v>
      </c>
      <c r="I470" s="5" t="s">
        <v>410</v>
      </c>
      <c r="J470" s="5" t="s">
        <v>411</v>
      </c>
      <c r="K470" s="14" t="b">
        <v>1</v>
      </c>
      <c r="L470" s="5" t="s">
        <v>2436</v>
      </c>
      <c r="M470" s="5" t="s">
        <v>413</v>
      </c>
      <c r="N470" s="14"/>
      <c r="O470" s="14"/>
      <c r="P470" s="14"/>
      <c r="Q470" s="14"/>
      <c r="R470" s="14"/>
      <c r="S470" s="14"/>
      <c r="T470" s="14"/>
      <c r="U470" s="14"/>
    </row>
    <row r="471" spans="1:21" ht="17.25" customHeight="1">
      <c r="A471" s="14" t="s">
        <v>771</v>
      </c>
      <c r="B471" s="6" t="s">
        <v>772</v>
      </c>
      <c r="C471" s="5" t="s">
        <v>773</v>
      </c>
      <c r="D471" s="7" t="str">
        <f t="shared" si="3"/>
        <v xml:space="preserve">bossdb://collman/collman14v2/annotation </v>
      </c>
      <c r="E471" s="5" t="s">
        <v>1337</v>
      </c>
      <c r="F471" s="7" t="s">
        <v>774</v>
      </c>
      <c r="G471" s="5" t="s">
        <v>409</v>
      </c>
      <c r="H471" s="5">
        <v>2015</v>
      </c>
      <c r="I471" s="5" t="s">
        <v>2433</v>
      </c>
      <c r="J471" s="5" t="s">
        <v>673</v>
      </c>
      <c r="K471" s="14" t="b">
        <v>1</v>
      </c>
      <c r="L471" s="5" t="s">
        <v>2429</v>
      </c>
      <c r="M471" s="5" t="s">
        <v>413</v>
      </c>
      <c r="N471" s="14"/>
      <c r="O471" s="14"/>
      <c r="P471" s="14"/>
      <c r="Q471" s="14"/>
      <c r="R471" s="14"/>
      <c r="S471" s="14"/>
      <c r="T471" s="14"/>
      <c r="U471" s="14"/>
    </row>
    <row r="472" spans="1:21" ht="17.25" customHeight="1">
      <c r="A472" s="14" t="s">
        <v>771</v>
      </c>
      <c r="B472" s="6" t="s">
        <v>775</v>
      </c>
      <c r="C472" s="5" t="s">
        <v>773</v>
      </c>
      <c r="D472" s="7" t="str">
        <f t="shared" si="3"/>
        <v>bossdb://collman/collman14v2/ bIIItubulin</v>
      </c>
      <c r="E472" s="5" t="s">
        <v>1337</v>
      </c>
      <c r="F472" s="7" t="s">
        <v>774</v>
      </c>
      <c r="G472" s="5" t="s">
        <v>409</v>
      </c>
      <c r="H472" s="5">
        <v>2015</v>
      </c>
      <c r="I472" s="5" t="s">
        <v>410</v>
      </c>
      <c r="J472" s="5" t="s">
        <v>411</v>
      </c>
      <c r="K472" s="14" t="b">
        <v>1</v>
      </c>
      <c r="L472" s="5" t="s">
        <v>2429</v>
      </c>
      <c r="M472" s="5" t="s">
        <v>413</v>
      </c>
      <c r="N472" s="14"/>
      <c r="O472" s="14"/>
      <c r="P472" s="14"/>
      <c r="Q472" s="14"/>
      <c r="R472" s="14"/>
      <c r="S472" s="14"/>
      <c r="T472" s="14"/>
      <c r="U472" s="14"/>
    </row>
    <row r="473" spans="1:21" ht="17.25" customHeight="1">
      <c r="A473" s="14" t="s">
        <v>771</v>
      </c>
      <c r="B473" s="6" t="s">
        <v>776</v>
      </c>
      <c r="C473" s="5" t="s">
        <v>773</v>
      </c>
      <c r="D473" s="7" t="str">
        <f t="shared" si="3"/>
        <v xml:space="preserve">bossdb://collman/collman14v2/DAPI_2nd </v>
      </c>
      <c r="E473" s="5" t="s">
        <v>1337</v>
      </c>
      <c r="F473" s="7" t="s">
        <v>774</v>
      </c>
      <c r="G473" s="5" t="s">
        <v>409</v>
      </c>
      <c r="H473" s="5">
        <v>2015</v>
      </c>
      <c r="I473" s="5" t="s">
        <v>410</v>
      </c>
      <c r="J473" s="5" t="s">
        <v>411</v>
      </c>
      <c r="K473" s="14" t="b">
        <v>1</v>
      </c>
      <c r="L473" s="5" t="s">
        <v>2429</v>
      </c>
      <c r="M473" s="5" t="s">
        <v>413</v>
      </c>
      <c r="N473" s="14"/>
      <c r="O473" s="14"/>
      <c r="P473" s="14"/>
      <c r="Q473" s="14"/>
      <c r="R473" s="14"/>
      <c r="S473" s="14"/>
      <c r="T473" s="14"/>
      <c r="U473" s="14"/>
    </row>
    <row r="474" spans="1:21" ht="17.25" customHeight="1">
      <c r="A474" s="14" t="s">
        <v>771</v>
      </c>
      <c r="B474" s="6" t="s">
        <v>777</v>
      </c>
      <c r="C474" s="5" t="s">
        <v>773</v>
      </c>
      <c r="D474" s="7" t="str">
        <f t="shared" si="3"/>
        <v>bossdb://collman/collman14v2/DAPI_3rd</v>
      </c>
      <c r="E474" s="5" t="s">
        <v>1337</v>
      </c>
      <c r="F474" s="7" t="s">
        <v>774</v>
      </c>
      <c r="G474" s="5" t="s">
        <v>409</v>
      </c>
      <c r="H474" s="5">
        <v>2015</v>
      </c>
      <c r="I474" s="5" t="s">
        <v>410</v>
      </c>
      <c r="J474" s="5" t="s">
        <v>411</v>
      </c>
      <c r="K474" s="14" t="b">
        <v>1</v>
      </c>
      <c r="L474" s="5" t="s">
        <v>2429</v>
      </c>
      <c r="M474" s="5" t="s">
        <v>413</v>
      </c>
      <c r="N474" s="14"/>
      <c r="O474" s="14"/>
      <c r="P474" s="14"/>
      <c r="Q474" s="14"/>
      <c r="R474" s="14"/>
      <c r="S474" s="14"/>
      <c r="T474" s="14"/>
      <c r="U474" s="14"/>
    </row>
    <row r="475" spans="1:21" ht="17.25" customHeight="1">
      <c r="A475" s="14" t="s">
        <v>771</v>
      </c>
      <c r="B475" s="6" t="s">
        <v>778</v>
      </c>
      <c r="C475" s="5" t="s">
        <v>773</v>
      </c>
      <c r="D475" s="7" t="str">
        <f t="shared" si="3"/>
        <v>bossdb://collman/collman14v2/EM10K</v>
      </c>
      <c r="E475" s="5" t="s">
        <v>1337</v>
      </c>
      <c r="F475" s="7" t="s">
        <v>774</v>
      </c>
      <c r="G475" s="5" t="s">
        <v>409</v>
      </c>
      <c r="H475" s="5">
        <v>2015</v>
      </c>
      <c r="I475" s="5" t="s">
        <v>410</v>
      </c>
      <c r="J475" s="5" t="s">
        <v>411</v>
      </c>
      <c r="K475" s="14" t="b">
        <v>1</v>
      </c>
      <c r="L475" s="5" t="s">
        <v>2429</v>
      </c>
      <c r="M475" s="5" t="s">
        <v>413</v>
      </c>
      <c r="N475" s="14"/>
      <c r="O475" s="14"/>
      <c r="P475" s="14"/>
      <c r="Q475" s="14"/>
      <c r="R475" s="14"/>
      <c r="S475" s="14"/>
      <c r="T475" s="14"/>
      <c r="U475" s="14"/>
    </row>
    <row r="476" spans="1:21" ht="17.25" customHeight="1">
      <c r="A476" s="14" t="s">
        <v>771</v>
      </c>
      <c r="B476" s="6" t="s">
        <v>779</v>
      </c>
      <c r="C476" s="5" t="s">
        <v>773</v>
      </c>
      <c r="D476" s="7" t="str">
        <f t="shared" si="3"/>
        <v xml:space="preserve">bossdb://collman/collman14v2/GABA </v>
      </c>
      <c r="E476" s="5" t="s">
        <v>1337</v>
      </c>
      <c r="F476" s="7" t="s">
        <v>774</v>
      </c>
      <c r="G476" s="5" t="s">
        <v>409</v>
      </c>
      <c r="H476" s="5">
        <v>2015</v>
      </c>
      <c r="I476" s="5" t="s">
        <v>410</v>
      </c>
      <c r="J476" s="5" t="s">
        <v>411</v>
      </c>
      <c r="K476" s="14" t="b">
        <v>1</v>
      </c>
      <c r="L476" s="5" t="s">
        <v>2429</v>
      </c>
      <c r="M476" s="5" t="s">
        <v>413</v>
      </c>
      <c r="N476" s="14"/>
      <c r="O476" s="14"/>
      <c r="P476" s="14"/>
      <c r="Q476" s="14"/>
      <c r="R476" s="14"/>
      <c r="S476" s="14"/>
      <c r="T476" s="14"/>
      <c r="U476" s="14"/>
    </row>
    <row r="477" spans="1:21" ht="17.25" customHeight="1">
      <c r="A477" s="14" t="s">
        <v>771</v>
      </c>
      <c r="B477" s="6" t="s">
        <v>780</v>
      </c>
      <c r="C477" s="5" t="s">
        <v>773</v>
      </c>
      <c r="D477" s="7" t="str">
        <f t="shared" si="3"/>
        <v>bossdb://collman/collman14v2/GAD2</v>
      </c>
      <c r="E477" s="5" t="s">
        <v>1337</v>
      </c>
      <c r="F477" s="7" t="s">
        <v>774</v>
      </c>
      <c r="G477" s="5" t="s">
        <v>409</v>
      </c>
      <c r="H477" s="5">
        <v>2015</v>
      </c>
      <c r="I477" s="5" t="s">
        <v>410</v>
      </c>
      <c r="J477" s="5" t="s">
        <v>411</v>
      </c>
      <c r="K477" s="14" t="b">
        <v>1</v>
      </c>
      <c r="L477" s="5" t="s">
        <v>2429</v>
      </c>
      <c r="M477" s="5" t="s">
        <v>413</v>
      </c>
      <c r="N477" s="14"/>
      <c r="O477" s="14"/>
      <c r="P477" s="14"/>
      <c r="Q477" s="14"/>
      <c r="R477" s="14"/>
      <c r="S477" s="14"/>
      <c r="T477" s="14"/>
      <c r="U477" s="14"/>
    </row>
    <row r="478" spans="1:21" ht="17.25" customHeight="1">
      <c r="A478" s="14" t="s">
        <v>771</v>
      </c>
      <c r="B478" s="6" t="s">
        <v>781</v>
      </c>
      <c r="C478" s="5" t="s">
        <v>773</v>
      </c>
      <c r="D478" s="7" t="str">
        <f t="shared" si="3"/>
        <v>bossdb://collman/collman14v2/gephyrin</v>
      </c>
      <c r="E478" s="5" t="s">
        <v>1337</v>
      </c>
      <c r="F478" s="7" t="s">
        <v>774</v>
      </c>
      <c r="G478" s="5" t="s">
        <v>409</v>
      </c>
      <c r="H478" s="5">
        <v>2015</v>
      </c>
      <c r="I478" s="5" t="s">
        <v>410</v>
      </c>
      <c r="J478" s="5" t="s">
        <v>411</v>
      </c>
      <c r="K478" s="14" t="b">
        <v>1</v>
      </c>
      <c r="L478" s="5" t="s">
        <v>2429</v>
      </c>
      <c r="M478" s="5" t="s">
        <v>413</v>
      </c>
      <c r="N478" s="14"/>
      <c r="O478" s="14"/>
      <c r="P478" s="14"/>
      <c r="Q478" s="14"/>
      <c r="R478" s="14"/>
      <c r="S478" s="14"/>
      <c r="T478" s="14"/>
      <c r="U478" s="14"/>
    </row>
    <row r="479" spans="1:21" ht="17.25" customHeight="1">
      <c r="A479" s="14" t="s">
        <v>771</v>
      </c>
      <c r="B479" s="6" t="s">
        <v>782</v>
      </c>
      <c r="C479" s="5" t="s">
        <v>773</v>
      </c>
      <c r="D479" s="7" t="str">
        <f t="shared" si="3"/>
        <v>bossdb://collman/collman14v2/NR1</v>
      </c>
      <c r="E479" s="5" t="s">
        <v>1337</v>
      </c>
      <c r="F479" s="7" t="s">
        <v>774</v>
      </c>
      <c r="G479" s="5" t="s">
        <v>409</v>
      </c>
      <c r="H479" s="5">
        <v>2015</v>
      </c>
      <c r="I479" s="5" t="s">
        <v>410</v>
      </c>
      <c r="J479" s="5" t="s">
        <v>411</v>
      </c>
      <c r="K479" s="14" t="b">
        <v>1</v>
      </c>
      <c r="L479" s="5" t="s">
        <v>2429</v>
      </c>
      <c r="M479" s="5" t="s">
        <v>413</v>
      </c>
      <c r="N479" s="14"/>
      <c r="O479" s="14"/>
      <c r="P479" s="14"/>
      <c r="Q479" s="14"/>
      <c r="R479" s="14"/>
      <c r="S479" s="14"/>
      <c r="T479" s="14"/>
      <c r="U479" s="14"/>
    </row>
    <row r="480" spans="1:21" ht="17.25" customHeight="1">
      <c r="A480" s="14" t="s">
        <v>771</v>
      </c>
      <c r="B480" s="6" t="s">
        <v>783</v>
      </c>
      <c r="C480" s="5" t="s">
        <v>773</v>
      </c>
      <c r="D480" s="7" t="str">
        <f t="shared" si="3"/>
        <v>bossdb://collman/collman14v2/PSDr</v>
      </c>
      <c r="E480" s="5" t="s">
        <v>1337</v>
      </c>
      <c r="F480" s="7" t="s">
        <v>774</v>
      </c>
      <c r="G480" s="5" t="s">
        <v>409</v>
      </c>
      <c r="H480" s="5">
        <v>2015</v>
      </c>
      <c r="I480" s="5" t="s">
        <v>410</v>
      </c>
      <c r="J480" s="5" t="s">
        <v>411</v>
      </c>
      <c r="K480" s="14" t="b">
        <v>1</v>
      </c>
      <c r="L480" s="5" t="s">
        <v>2429</v>
      </c>
      <c r="M480" s="5" t="s">
        <v>413</v>
      </c>
      <c r="N480" s="14"/>
      <c r="O480" s="14"/>
      <c r="P480" s="14"/>
      <c r="Q480" s="14"/>
      <c r="R480" s="14"/>
      <c r="S480" s="14"/>
      <c r="T480" s="14"/>
      <c r="U480" s="14"/>
    </row>
    <row r="481" spans="1:21" ht="17.25" customHeight="1">
      <c r="A481" s="14" t="s">
        <v>784</v>
      </c>
      <c r="B481" s="6" t="s">
        <v>672</v>
      </c>
      <c r="C481" s="5" t="s">
        <v>773</v>
      </c>
      <c r="D481" s="7" t="str">
        <f t="shared" si="3"/>
        <v>bossdb://collman/collman15v2/annotation</v>
      </c>
      <c r="E481" s="5" t="s">
        <v>1337</v>
      </c>
      <c r="F481" s="7" t="s">
        <v>774</v>
      </c>
      <c r="G481" s="5" t="s">
        <v>409</v>
      </c>
      <c r="H481" s="5">
        <v>2015</v>
      </c>
      <c r="I481" s="5" t="s">
        <v>2433</v>
      </c>
      <c r="J481" s="5" t="s">
        <v>673</v>
      </c>
      <c r="K481" s="14" t="b">
        <v>1</v>
      </c>
      <c r="L481" s="5" t="s">
        <v>2429</v>
      </c>
      <c r="M481" s="5" t="s">
        <v>413</v>
      </c>
      <c r="N481" s="14"/>
      <c r="O481" s="14"/>
      <c r="P481" s="14"/>
      <c r="Q481" s="14"/>
      <c r="R481" s="14"/>
      <c r="S481" s="14"/>
      <c r="T481" s="14"/>
      <c r="U481" s="14"/>
    </row>
    <row r="482" spans="1:21" ht="17.25" customHeight="1">
      <c r="A482" s="14" t="s">
        <v>784</v>
      </c>
      <c r="B482" s="6" t="s">
        <v>785</v>
      </c>
      <c r="C482" s="5" t="s">
        <v>773</v>
      </c>
      <c r="D482" s="7" t="str">
        <f t="shared" si="3"/>
        <v>bossdb://collman/collman15v2/DAPI1st</v>
      </c>
      <c r="E482" s="5" t="s">
        <v>1337</v>
      </c>
      <c r="F482" s="7" t="s">
        <v>774</v>
      </c>
      <c r="G482" s="5" t="s">
        <v>409</v>
      </c>
      <c r="H482" s="5">
        <v>2015</v>
      </c>
      <c r="I482" s="5" t="s">
        <v>410</v>
      </c>
      <c r="J482" s="5" t="s">
        <v>411</v>
      </c>
      <c r="K482" s="14" t="b">
        <v>1</v>
      </c>
      <c r="L482" s="5" t="s">
        <v>2429</v>
      </c>
      <c r="M482" s="5" t="s">
        <v>413</v>
      </c>
      <c r="N482" s="14"/>
      <c r="O482" s="14"/>
      <c r="P482" s="14"/>
      <c r="Q482" s="14"/>
      <c r="R482" s="14"/>
      <c r="S482" s="14"/>
      <c r="T482" s="14"/>
      <c r="U482" s="14"/>
    </row>
    <row r="483" spans="1:21" ht="17.25" customHeight="1">
      <c r="A483" s="14" t="s">
        <v>784</v>
      </c>
      <c r="B483" s="6" t="s">
        <v>786</v>
      </c>
      <c r="C483" s="5" t="s">
        <v>773</v>
      </c>
      <c r="D483" s="7" t="str">
        <f t="shared" si="3"/>
        <v>bossdb://collman/collman15v2/DAPI2nd</v>
      </c>
      <c r="E483" s="5" t="s">
        <v>1337</v>
      </c>
      <c r="F483" s="7" t="s">
        <v>774</v>
      </c>
      <c r="G483" s="5" t="s">
        <v>409</v>
      </c>
      <c r="H483" s="5">
        <v>2015</v>
      </c>
      <c r="I483" s="5" t="s">
        <v>410</v>
      </c>
      <c r="J483" s="5" t="s">
        <v>411</v>
      </c>
      <c r="K483" s="14" t="b">
        <v>1</v>
      </c>
      <c r="L483" s="5" t="s">
        <v>2429</v>
      </c>
      <c r="M483" s="5" t="s">
        <v>413</v>
      </c>
      <c r="N483" s="14"/>
      <c r="O483" s="14"/>
      <c r="P483" s="14"/>
      <c r="Q483" s="14"/>
      <c r="R483" s="14"/>
      <c r="S483" s="14"/>
      <c r="T483" s="14"/>
      <c r="U483" s="14"/>
    </row>
    <row r="484" spans="1:21" ht="17.25" customHeight="1">
      <c r="A484" s="14" t="s">
        <v>784</v>
      </c>
      <c r="B484" s="6" t="s">
        <v>787</v>
      </c>
      <c r="C484" s="5" t="s">
        <v>773</v>
      </c>
      <c r="D484" s="7" t="str">
        <f t="shared" si="3"/>
        <v>bossdb://collman/collman15v2/DAPI3rd</v>
      </c>
      <c r="E484" s="5" t="s">
        <v>1337</v>
      </c>
      <c r="F484" s="7" t="s">
        <v>774</v>
      </c>
      <c r="G484" s="5" t="s">
        <v>409</v>
      </c>
      <c r="H484" s="5">
        <v>2015</v>
      </c>
      <c r="I484" s="5" t="s">
        <v>410</v>
      </c>
      <c r="J484" s="5" t="s">
        <v>411</v>
      </c>
      <c r="K484" s="14" t="b">
        <v>1</v>
      </c>
      <c r="L484" s="5" t="s">
        <v>2429</v>
      </c>
      <c r="M484" s="5" t="s">
        <v>413</v>
      </c>
      <c r="N484" s="14"/>
      <c r="O484" s="14"/>
      <c r="P484" s="14"/>
      <c r="Q484" s="14"/>
      <c r="R484" s="14"/>
      <c r="S484" s="14"/>
      <c r="T484" s="14"/>
      <c r="U484" s="14"/>
    </row>
    <row r="485" spans="1:21" ht="17.25" customHeight="1">
      <c r="A485" s="14" t="s">
        <v>784</v>
      </c>
      <c r="B485" s="6" t="s">
        <v>788</v>
      </c>
      <c r="C485" s="5" t="s">
        <v>773</v>
      </c>
      <c r="D485" s="7" t="str">
        <f t="shared" si="3"/>
        <v>bossdb://collman/collman15v2/EM25K</v>
      </c>
      <c r="E485" s="5" t="s">
        <v>1337</v>
      </c>
      <c r="F485" s="7" t="s">
        <v>774</v>
      </c>
      <c r="G485" s="5" t="s">
        <v>409</v>
      </c>
      <c r="H485" s="5">
        <v>2015</v>
      </c>
      <c r="I485" s="5" t="s">
        <v>410</v>
      </c>
      <c r="J485" s="5" t="s">
        <v>411</v>
      </c>
      <c r="K485" s="14" t="b">
        <v>1</v>
      </c>
      <c r="L485" s="5" t="s">
        <v>2429</v>
      </c>
      <c r="M485" s="5" t="s">
        <v>413</v>
      </c>
      <c r="N485" s="14"/>
      <c r="O485" s="14"/>
      <c r="P485" s="14"/>
      <c r="Q485" s="14"/>
      <c r="R485" s="14"/>
      <c r="S485" s="14"/>
      <c r="T485" s="14"/>
      <c r="U485" s="14"/>
    </row>
    <row r="486" spans="1:21" ht="17.25" customHeight="1">
      <c r="A486" s="14" t="s">
        <v>784</v>
      </c>
      <c r="B486" s="6" t="s">
        <v>789</v>
      </c>
      <c r="C486" s="5" t="s">
        <v>773</v>
      </c>
      <c r="D486" s="7" t="str">
        <f t="shared" si="3"/>
        <v>bossdb://collman/collman15v2/EM2k</v>
      </c>
      <c r="E486" s="5" t="s">
        <v>1337</v>
      </c>
      <c r="F486" s="7" t="s">
        <v>774</v>
      </c>
      <c r="G486" s="5" t="s">
        <v>409</v>
      </c>
      <c r="H486" s="5">
        <v>2015</v>
      </c>
      <c r="I486" s="5" t="s">
        <v>410</v>
      </c>
      <c r="J486" s="5" t="s">
        <v>411</v>
      </c>
      <c r="K486" s="14" t="b">
        <v>1</v>
      </c>
      <c r="L486" s="5" t="s">
        <v>2429</v>
      </c>
      <c r="M486" s="5" t="s">
        <v>413</v>
      </c>
      <c r="N486" s="14"/>
      <c r="O486" s="14"/>
      <c r="P486" s="14"/>
      <c r="Q486" s="14"/>
      <c r="R486" s="14"/>
      <c r="S486" s="14"/>
      <c r="T486" s="14"/>
      <c r="U486" s="14"/>
    </row>
    <row r="487" spans="1:21" ht="17.25" customHeight="1">
      <c r="A487" s="14" t="s">
        <v>784</v>
      </c>
      <c r="B487" s="6" t="s">
        <v>790</v>
      </c>
      <c r="C487" s="5" t="s">
        <v>773</v>
      </c>
      <c r="D487" s="7" t="str">
        <f t="shared" si="3"/>
        <v>bossdb://collman/collman15v2/GABA488</v>
      </c>
      <c r="E487" s="5" t="s">
        <v>1337</v>
      </c>
      <c r="F487" s="7" t="s">
        <v>774</v>
      </c>
      <c r="G487" s="5" t="s">
        <v>409</v>
      </c>
      <c r="H487" s="5">
        <v>2015</v>
      </c>
      <c r="I487" s="5" t="s">
        <v>410</v>
      </c>
      <c r="J487" s="5" t="s">
        <v>411</v>
      </c>
      <c r="K487" s="14" t="b">
        <v>1</v>
      </c>
      <c r="L487" s="5" t="s">
        <v>2429</v>
      </c>
      <c r="M487" s="5" t="s">
        <v>413</v>
      </c>
      <c r="N487" s="14"/>
      <c r="O487" s="14"/>
      <c r="P487" s="14"/>
      <c r="Q487" s="14"/>
      <c r="R487" s="14"/>
      <c r="S487" s="14"/>
      <c r="T487" s="14"/>
      <c r="U487" s="14"/>
    </row>
    <row r="488" spans="1:21" ht="17.25" customHeight="1">
      <c r="A488" s="14" t="s">
        <v>784</v>
      </c>
      <c r="B488" s="6" t="s">
        <v>791</v>
      </c>
      <c r="C488" s="5" t="s">
        <v>773</v>
      </c>
      <c r="D488" s="7" t="str">
        <f t="shared" si="3"/>
        <v>bossdb://collman/collman15v2/GAD647</v>
      </c>
      <c r="E488" s="5" t="s">
        <v>1337</v>
      </c>
      <c r="F488" s="7" t="s">
        <v>774</v>
      </c>
      <c r="G488" s="5" t="s">
        <v>409</v>
      </c>
      <c r="H488" s="5">
        <v>2015</v>
      </c>
      <c r="I488" s="5" t="s">
        <v>410</v>
      </c>
      <c r="J488" s="5" t="s">
        <v>411</v>
      </c>
      <c r="K488" s="14" t="b">
        <v>1</v>
      </c>
      <c r="L488" s="5" t="s">
        <v>2429</v>
      </c>
      <c r="M488" s="5" t="s">
        <v>413</v>
      </c>
      <c r="N488" s="14"/>
      <c r="O488" s="14"/>
      <c r="P488" s="14"/>
      <c r="Q488" s="14"/>
      <c r="R488" s="14"/>
      <c r="S488" s="14"/>
      <c r="T488" s="14"/>
      <c r="U488" s="14"/>
    </row>
    <row r="489" spans="1:21" ht="17.25" customHeight="1">
      <c r="A489" s="14" t="s">
        <v>784</v>
      </c>
      <c r="B489" s="6" t="s">
        <v>792</v>
      </c>
      <c r="C489" s="5" t="s">
        <v>773</v>
      </c>
      <c r="D489" s="7" t="str">
        <f t="shared" si="3"/>
        <v>bossdb://collman/collman15v2/gephyrin594</v>
      </c>
      <c r="E489" s="5" t="s">
        <v>1337</v>
      </c>
      <c r="F489" s="7" t="s">
        <v>774</v>
      </c>
      <c r="G489" s="5" t="s">
        <v>409</v>
      </c>
      <c r="H489" s="5">
        <v>2015</v>
      </c>
      <c r="I489" s="5" t="s">
        <v>410</v>
      </c>
      <c r="J489" s="5" t="s">
        <v>411</v>
      </c>
      <c r="K489" s="14" t="b">
        <v>1</v>
      </c>
      <c r="L489" s="5" t="s">
        <v>2429</v>
      </c>
      <c r="M489" s="5" t="s">
        <v>413</v>
      </c>
      <c r="N489" s="14"/>
      <c r="O489" s="14"/>
      <c r="P489" s="14"/>
      <c r="Q489" s="14"/>
      <c r="R489" s="14"/>
      <c r="S489" s="14"/>
      <c r="T489" s="14"/>
      <c r="U489" s="14"/>
    </row>
    <row r="490" spans="1:21" ht="17.25" customHeight="1">
      <c r="A490" s="14" t="s">
        <v>784</v>
      </c>
      <c r="B490" s="6" t="s">
        <v>793</v>
      </c>
      <c r="C490" s="5" t="s">
        <v>773</v>
      </c>
      <c r="D490" s="7" t="str">
        <f t="shared" si="3"/>
        <v>bossdb://collman/collman15v2/GS594</v>
      </c>
      <c r="E490" s="5" t="s">
        <v>1337</v>
      </c>
      <c r="F490" s="7" t="s">
        <v>774</v>
      </c>
      <c r="G490" s="5" t="s">
        <v>409</v>
      </c>
      <c r="H490" s="5">
        <v>2015</v>
      </c>
      <c r="I490" s="5" t="s">
        <v>410</v>
      </c>
      <c r="J490" s="5" t="s">
        <v>411</v>
      </c>
      <c r="K490" s="14" t="b">
        <v>1</v>
      </c>
      <c r="L490" s="5" t="s">
        <v>2429</v>
      </c>
      <c r="M490" s="5" t="s">
        <v>413</v>
      </c>
      <c r="N490" s="14"/>
      <c r="O490" s="14"/>
      <c r="P490" s="14"/>
      <c r="Q490" s="14"/>
      <c r="R490" s="14"/>
      <c r="S490" s="14"/>
      <c r="T490" s="14"/>
      <c r="U490" s="14"/>
    </row>
    <row r="491" spans="1:21" ht="17.25" customHeight="1">
      <c r="A491" s="14" t="s">
        <v>794</v>
      </c>
      <c r="B491" s="6" t="s">
        <v>795</v>
      </c>
      <c r="C491" s="5" t="s">
        <v>796</v>
      </c>
      <c r="D491" s="7" t="str">
        <f t="shared" si="3"/>
        <v xml:space="preserve">bossdb://weiler14/Ex10R55/Arc_5 </v>
      </c>
      <c r="E491" s="5" t="s">
        <v>1341</v>
      </c>
      <c r="F491" s="7" t="s">
        <v>797</v>
      </c>
      <c r="G491" s="5" t="s">
        <v>409</v>
      </c>
      <c r="H491" s="5">
        <v>2014</v>
      </c>
      <c r="I491" s="5" t="s">
        <v>410</v>
      </c>
      <c r="J491" s="5" t="s">
        <v>682</v>
      </c>
      <c r="K491" s="14" t="b">
        <v>1</v>
      </c>
      <c r="L491" s="5" t="s">
        <v>2437</v>
      </c>
      <c r="M491" s="5" t="s">
        <v>413</v>
      </c>
      <c r="N491" s="14"/>
      <c r="O491" s="14"/>
      <c r="P491" s="14"/>
      <c r="Q491" s="14"/>
      <c r="R491" s="14"/>
      <c r="S491" s="14"/>
      <c r="T491" s="14"/>
      <c r="U491" s="14"/>
    </row>
    <row r="492" spans="1:21" ht="17.25" customHeight="1">
      <c r="A492" s="14" t="s">
        <v>794</v>
      </c>
      <c r="B492" s="6" t="s">
        <v>798</v>
      </c>
      <c r="C492" s="5" t="s">
        <v>796</v>
      </c>
      <c r="D492" s="7" t="str">
        <f t="shared" si="3"/>
        <v>bossdb://weiler14/Ex10R55/ Calbindin_7</v>
      </c>
      <c r="E492" s="5" t="s">
        <v>1341</v>
      </c>
      <c r="F492" s="7" t="s">
        <v>797</v>
      </c>
      <c r="G492" s="5" t="s">
        <v>409</v>
      </c>
      <c r="H492" s="5">
        <v>2014</v>
      </c>
      <c r="I492" s="5" t="s">
        <v>410</v>
      </c>
      <c r="J492" s="5" t="s">
        <v>682</v>
      </c>
      <c r="K492" s="14" t="b">
        <v>1</v>
      </c>
      <c r="L492" s="5" t="s">
        <v>2437</v>
      </c>
      <c r="M492" s="5" t="s">
        <v>413</v>
      </c>
      <c r="N492" s="14"/>
      <c r="O492" s="14"/>
      <c r="P492" s="14"/>
      <c r="Q492" s="14"/>
      <c r="R492" s="14"/>
      <c r="S492" s="14"/>
      <c r="T492" s="14"/>
      <c r="U492" s="14"/>
    </row>
    <row r="493" spans="1:21" ht="17.25" customHeight="1">
      <c r="A493" s="14" t="s">
        <v>794</v>
      </c>
      <c r="B493" s="6" t="s">
        <v>799</v>
      </c>
      <c r="C493" s="5" t="s">
        <v>796</v>
      </c>
      <c r="D493" s="7" t="str">
        <f t="shared" si="3"/>
        <v>bossdb://weiler14/Ex10R55/DAPI_1</v>
      </c>
      <c r="E493" s="5" t="s">
        <v>1341</v>
      </c>
      <c r="F493" s="7" t="s">
        <v>797</v>
      </c>
      <c r="G493" s="5" t="s">
        <v>409</v>
      </c>
      <c r="H493" s="5">
        <v>2014</v>
      </c>
      <c r="I493" s="5" t="s">
        <v>410</v>
      </c>
      <c r="J493" s="5" t="s">
        <v>682</v>
      </c>
      <c r="K493" s="14" t="b">
        <v>1</v>
      </c>
      <c r="L493" s="5" t="s">
        <v>2437</v>
      </c>
      <c r="M493" s="5" t="s">
        <v>413</v>
      </c>
      <c r="N493" s="14"/>
      <c r="O493" s="14"/>
      <c r="P493" s="14"/>
      <c r="Q493" s="14"/>
      <c r="R493" s="14"/>
      <c r="S493" s="14"/>
      <c r="T493" s="14"/>
      <c r="U493" s="14"/>
    </row>
    <row r="494" spans="1:21" ht="17.25" customHeight="1">
      <c r="A494" s="14" t="s">
        <v>794</v>
      </c>
      <c r="B494" s="6" t="s">
        <v>800</v>
      </c>
      <c r="C494" s="5" t="s">
        <v>796</v>
      </c>
      <c r="D494" s="7" t="str">
        <f t="shared" si="3"/>
        <v>bossdb://weiler14/Ex10R55/DAPI_2</v>
      </c>
      <c r="E494" s="5" t="s">
        <v>1341</v>
      </c>
      <c r="F494" s="7" t="s">
        <v>797</v>
      </c>
      <c r="G494" s="5" t="s">
        <v>409</v>
      </c>
      <c r="H494" s="5">
        <v>2014</v>
      </c>
      <c r="I494" s="5" t="s">
        <v>410</v>
      </c>
      <c r="J494" s="5" t="s">
        <v>682</v>
      </c>
      <c r="K494" s="14" t="b">
        <v>1</v>
      </c>
      <c r="L494" s="5" t="s">
        <v>2437</v>
      </c>
      <c r="M494" s="5" t="s">
        <v>413</v>
      </c>
      <c r="N494" s="14"/>
      <c r="O494" s="14"/>
      <c r="P494" s="14"/>
      <c r="Q494" s="14"/>
      <c r="R494" s="14"/>
      <c r="S494" s="14"/>
      <c r="T494" s="14"/>
      <c r="U494" s="14"/>
    </row>
    <row r="495" spans="1:21" ht="17.25" customHeight="1">
      <c r="A495" s="14" t="s">
        <v>794</v>
      </c>
      <c r="B495" s="6" t="s">
        <v>801</v>
      </c>
      <c r="C495" s="5" t="s">
        <v>796</v>
      </c>
      <c r="D495" s="7" t="str">
        <f t="shared" si="3"/>
        <v>bossdb://weiler14/Ex10R55/DAPI_3</v>
      </c>
      <c r="E495" s="5" t="s">
        <v>1341</v>
      </c>
      <c r="F495" s="7" t="s">
        <v>797</v>
      </c>
      <c r="G495" s="5" t="s">
        <v>409</v>
      </c>
      <c r="H495" s="5">
        <v>2014</v>
      </c>
      <c r="I495" s="5" t="s">
        <v>410</v>
      </c>
      <c r="J495" s="5" t="s">
        <v>682</v>
      </c>
      <c r="K495" s="14" t="b">
        <v>1</v>
      </c>
      <c r="L495" s="5" t="s">
        <v>2437</v>
      </c>
      <c r="M495" s="5" t="s">
        <v>413</v>
      </c>
      <c r="N495" s="14"/>
      <c r="O495" s="14"/>
      <c r="P495" s="14"/>
      <c r="Q495" s="14"/>
      <c r="R495" s="14"/>
      <c r="S495" s="14"/>
      <c r="T495" s="14"/>
      <c r="U495" s="14"/>
    </row>
    <row r="496" spans="1:21" ht="17.25" customHeight="1">
      <c r="A496" s="14" t="s">
        <v>794</v>
      </c>
      <c r="B496" s="6" t="s">
        <v>802</v>
      </c>
      <c r="C496" s="5" t="s">
        <v>796</v>
      </c>
      <c r="D496" s="7" t="str">
        <f t="shared" si="3"/>
        <v>bossdb://weiler14/Ex10R55/DAPI_4</v>
      </c>
      <c r="E496" s="5" t="s">
        <v>1341</v>
      </c>
      <c r="F496" s="7" t="s">
        <v>797</v>
      </c>
      <c r="G496" s="5" t="s">
        <v>409</v>
      </c>
      <c r="H496" s="5">
        <v>2014</v>
      </c>
      <c r="I496" s="5" t="s">
        <v>410</v>
      </c>
      <c r="J496" s="5" t="s">
        <v>682</v>
      </c>
      <c r="K496" s="14" t="b">
        <v>1</v>
      </c>
      <c r="L496" s="5" t="s">
        <v>2437</v>
      </c>
      <c r="M496" s="5" t="s">
        <v>413</v>
      </c>
      <c r="N496" s="14"/>
      <c r="O496" s="14"/>
      <c r="P496" s="14"/>
      <c r="Q496" s="14"/>
      <c r="R496" s="14"/>
      <c r="S496" s="14"/>
      <c r="T496" s="14"/>
      <c r="U496" s="14"/>
    </row>
    <row r="497" spans="1:21" ht="17.25" customHeight="1">
      <c r="A497" s="14" t="s">
        <v>794</v>
      </c>
      <c r="B497" s="6" t="s">
        <v>803</v>
      </c>
      <c r="C497" s="5" t="s">
        <v>796</v>
      </c>
      <c r="D497" s="7" t="str">
        <f t="shared" si="3"/>
        <v>bossdb://weiler14/Ex10R55/DAPI_5</v>
      </c>
      <c r="E497" s="5" t="s">
        <v>1341</v>
      </c>
      <c r="F497" s="7" t="s">
        <v>797</v>
      </c>
      <c r="G497" s="5" t="s">
        <v>409</v>
      </c>
      <c r="H497" s="5">
        <v>2014</v>
      </c>
      <c r="I497" s="5" t="s">
        <v>410</v>
      </c>
      <c r="J497" s="5" t="s">
        <v>682</v>
      </c>
      <c r="K497" s="14" t="b">
        <v>1</v>
      </c>
      <c r="L497" s="5" t="s">
        <v>2437</v>
      </c>
      <c r="M497" s="5" t="s">
        <v>413</v>
      </c>
      <c r="N497" s="14"/>
      <c r="O497" s="14"/>
      <c r="P497" s="14"/>
      <c r="Q497" s="14"/>
      <c r="R497" s="14"/>
      <c r="S497" s="14"/>
      <c r="T497" s="14"/>
      <c r="U497" s="14"/>
    </row>
    <row r="498" spans="1:21" ht="17.25" customHeight="1">
      <c r="A498" s="14" t="s">
        <v>794</v>
      </c>
      <c r="B498" s="6" t="s">
        <v>804</v>
      </c>
      <c r="C498" s="5" t="s">
        <v>796</v>
      </c>
      <c r="D498" s="7" t="str">
        <f t="shared" si="3"/>
        <v>bossdb://weiler14/Ex10R55/DAPI_6</v>
      </c>
      <c r="E498" s="5" t="s">
        <v>1341</v>
      </c>
      <c r="F498" s="7" t="s">
        <v>797</v>
      </c>
      <c r="G498" s="5" t="s">
        <v>409</v>
      </c>
      <c r="H498" s="5">
        <v>2014</v>
      </c>
      <c r="I498" s="5" t="s">
        <v>410</v>
      </c>
      <c r="J498" s="5" t="s">
        <v>682</v>
      </c>
      <c r="K498" s="14" t="b">
        <v>1</v>
      </c>
      <c r="L498" s="5" t="s">
        <v>2437</v>
      </c>
      <c r="M498" s="5" t="s">
        <v>413</v>
      </c>
      <c r="N498" s="14"/>
      <c r="O498" s="14"/>
      <c r="P498" s="14"/>
      <c r="Q498" s="14"/>
      <c r="R498" s="14"/>
      <c r="S498" s="14"/>
      <c r="T498" s="14"/>
      <c r="U498" s="14"/>
    </row>
    <row r="499" spans="1:21" ht="17.25" customHeight="1">
      <c r="A499" s="14" t="s">
        <v>794</v>
      </c>
      <c r="B499" s="6" t="s">
        <v>805</v>
      </c>
      <c r="C499" s="5" t="s">
        <v>796</v>
      </c>
      <c r="D499" s="7" t="str">
        <f t="shared" si="3"/>
        <v>bossdb://weiler14/Ex10R55/DAPI_7</v>
      </c>
      <c r="E499" s="5" t="s">
        <v>1341</v>
      </c>
      <c r="F499" s="7" t="s">
        <v>797</v>
      </c>
      <c r="G499" s="5" t="s">
        <v>409</v>
      </c>
      <c r="H499" s="5">
        <v>2014</v>
      </c>
      <c r="I499" s="5" t="s">
        <v>410</v>
      </c>
      <c r="J499" s="5" t="s">
        <v>682</v>
      </c>
      <c r="K499" s="14" t="b">
        <v>1</v>
      </c>
      <c r="L499" s="5" t="s">
        <v>2437</v>
      </c>
      <c r="M499" s="5" t="s">
        <v>413</v>
      </c>
      <c r="N499" s="14"/>
      <c r="O499" s="14"/>
      <c r="P499" s="14"/>
      <c r="Q499" s="14"/>
      <c r="R499" s="14"/>
      <c r="S499" s="14"/>
      <c r="T499" s="14"/>
      <c r="U499" s="14"/>
    </row>
    <row r="500" spans="1:21" ht="17.25" customHeight="1">
      <c r="A500" s="14" t="s">
        <v>794</v>
      </c>
      <c r="B500" s="6" t="s">
        <v>806</v>
      </c>
      <c r="C500" s="5" t="s">
        <v>796</v>
      </c>
      <c r="D500" s="7" t="str">
        <f t="shared" si="3"/>
        <v>bossdb://weiler14/Ex10R55/DAPI_8</v>
      </c>
      <c r="E500" s="5" t="s">
        <v>1341</v>
      </c>
      <c r="F500" s="7" t="s">
        <v>797</v>
      </c>
      <c r="G500" s="5" t="s">
        <v>409</v>
      </c>
      <c r="H500" s="5">
        <v>2014</v>
      </c>
      <c r="I500" s="5" t="s">
        <v>410</v>
      </c>
      <c r="J500" s="5" t="s">
        <v>682</v>
      </c>
      <c r="K500" s="14" t="b">
        <v>1</v>
      </c>
      <c r="L500" s="5" t="s">
        <v>2437</v>
      </c>
      <c r="M500" s="5" t="s">
        <v>413</v>
      </c>
      <c r="N500" s="14"/>
      <c r="O500" s="14"/>
      <c r="P500" s="14"/>
      <c r="Q500" s="14"/>
      <c r="R500" s="14"/>
      <c r="S500" s="14"/>
      <c r="T500" s="14"/>
      <c r="U500" s="14"/>
    </row>
    <row r="501" spans="1:21" ht="17.25" customHeight="1">
      <c r="A501" s="14" t="s">
        <v>807</v>
      </c>
      <c r="B501" s="6" t="s">
        <v>799</v>
      </c>
      <c r="C501" s="5" t="s">
        <v>796</v>
      </c>
      <c r="D501" s="7" t="str">
        <f t="shared" si="3"/>
        <v>bossdb://weiler14/Ex12R75/DAPI_1</v>
      </c>
      <c r="E501" s="5" t="s">
        <v>1341</v>
      </c>
      <c r="F501" s="7" t="s">
        <v>797</v>
      </c>
      <c r="G501" s="5" t="s">
        <v>409</v>
      </c>
      <c r="H501" s="5">
        <v>2014</v>
      </c>
      <c r="I501" s="5" t="s">
        <v>410</v>
      </c>
      <c r="J501" s="5" t="s">
        <v>682</v>
      </c>
      <c r="K501" s="14" t="b">
        <v>1</v>
      </c>
      <c r="L501" s="5" t="s">
        <v>2437</v>
      </c>
      <c r="M501" s="5" t="s">
        <v>413</v>
      </c>
      <c r="N501" s="14"/>
      <c r="O501" s="14"/>
      <c r="P501" s="14"/>
      <c r="Q501" s="14"/>
      <c r="R501" s="14"/>
      <c r="S501" s="14"/>
      <c r="T501" s="14"/>
      <c r="U501" s="14"/>
    </row>
    <row r="502" spans="1:21" ht="17.25" customHeight="1">
      <c r="A502" s="14" t="s">
        <v>807</v>
      </c>
      <c r="B502" s="6" t="s">
        <v>800</v>
      </c>
      <c r="C502" s="5" t="s">
        <v>796</v>
      </c>
      <c r="D502" s="7" t="str">
        <f t="shared" si="3"/>
        <v>bossdb://weiler14/Ex12R75/DAPI_2</v>
      </c>
      <c r="E502" s="5" t="s">
        <v>1341</v>
      </c>
      <c r="F502" s="7" t="s">
        <v>797</v>
      </c>
      <c r="G502" s="5" t="s">
        <v>409</v>
      </c>
      <c r="H502" s="5">
        <v>2014</v>
      </c>
      <c r="I502" s="5" t="s">
        <v>410</v>
      </c>
      <c r="J502" s="5" t="s">
        <v>682</v>
      </c>
      <c r="K502" s="14" t="b">
        <v>1</v>
      </c>
      <c r="L502" s="5" t="s">
        <v>2437</v>
      </c>
      <c r="M502" s="5" t="s">
        <v>413</v>
      </c>
      <c r="N502" s="14"/>
      <c r="O502" s="14"/>
      <c r="P502" s="14"/>
      <c r="Q502" s="14"/>
      <c r="R502" s="14"/>
      <c r="S502" s="14"/>
      <c r="T502" s="14"/>
      <c r="U502" s="14"/>
    </row>
    <row r="503" spans="1:21" ht="17.25" customHeight="1">
      <c r="A503" s="14" t="s">
        <v>807</v>
      </c>
      <c r="B503" s="6" t="s">
        <v>801</v>
      </c>
      <c r="C503" s="5" t="s">
        <v>796</v>
      </c>
      <c r="D503" s="7" t="str">
        <f t="shared" si="3"/>
        <v>bossdb://weiler14/Ex12R75/DAPI_3</v>
      </c>
      <c r="E503" s="5" t="s">
        <v>1341</v>
      </c>
      <c r="F503" s="7" t="s">
        <v>797</v>
      </c>
      <c r="G503" s="5" t="s">
        <v>409</v>
      </c>
      <c r="H503" s="5">
        <v>2014</v>
      </c>
      <c r="I503" s="5" t="s">
        <v>410</v>
      </c>
      <c r="J503" s="5" t="s">
        <v>682</v>
      </c>
      <c r="K503" s="14" t="b">
        <v>1</v>
      </c>
      <c r="L503" s="5" t="s">
        <v>2437</v>
      </c>
      <c r="M503" s="5" t="s">
        <v>413</v>
      </c>
      <c r="N503" s="14"/>
      <c r="O503" s="14"/>
      <c r="P503" s="14"/>
      <c r="Q503" s="14"/>
      <c r="R503" s="14"/>
      <c r="S503" s="14"/>
      <c r="T503" s="14"/>
      <c r="U503" s="14"/>
    </row>
    <row r="504" spans="1:21" ht="17.25" customHeight="1">
      <c r="A504" s="14" t="s">
        <v>807</v>
      </c>
      <c r="B504" s="6" t="s">
        <v>802</v>
      </c>
      <c r="C504" s="5" t="s">
        <v>796</v>
      </c>
      <c r="D504" s="7" t="str">
        <f t="shared" si="3"/>
        <v>bossdb://weiler14/Ex12R75/DAPI_4</v>
      </c>
      <c r="E504" s="5" t="s">
        <v>1341</v>
      </c>
      <c r="F504" s="7" t="s">
        <v>797</v>
      </c>
      <c r="G504" s="5" t="s">
        <v>409</v>
      </c>
      <c r="H504" s="5">
        <v>2014</v>
      </c>
      <c r="I504" s="5" t="s">
        <v>410</v>
      </c>
      <c r="J504" s="5" t="s">
        <v>682</v>
      </c>
      <c r="K504" s="14" t="b">
        <v>1</v>
      </c>
      <c r="L504" s="5" t="s">
        <v>2437</v>
      </c>
      <c r="M504" s="5" t="s">
        <v>413</v>
      </c>
      <c r="N504" s="14"/>
      <c r="O504" s="14"/>
      <c r="P504" s="14"/>
      <c r="Q504" s="14"/>
      <c r="R504" s="14"/>
      <c r="S504" s="14"/>
      <c r="T504" s="14"/>
      <c r="U504" s="14"/>
    </row>
    <row r="505" spans="1:21" ht="17.25" customHeight="1">
      <c r="A505" s="14" t="s">
        <v>807</v>
      </c>
      <c r="B505" s="6" t="s">
        <v>803</v>
      </c>
      <c r="C505" s="5" t="s">
        <v>796</v>
      </c>
      <c r="D505" s="7" t="str">
        <f t="shared" si="3"/>
        <v>bossdb://weiler14/Ex12R75/DAPI_5</v>
      </c>
      <c r="E505" s="5" t="s">
        <v>1341</v>
      </c>
      <c r="F505" s="7" t="s">
        <v>797</v>
      </c>
      <c r="G505" s="5" t="s">
        <v>409</v>
      </c>
      <c r="H505" s="5">
        <v>2014</v>
      </c>
      <c r="I505" s="5" t="s">
        <v>410</v>
      </c>
      <c r="J505" s="5" t="s">
        <v>682</v>
      </c>
      <c r="K505" s="14" t="b">
        <v>1</v>
      </c>
      <c r="L505" s="5" t="s">
        <v>2437</v>
      </c>
      <c r="M505" s="5" t="s">
        <v>413</v>
      </c>
      <c r="N505" s="14"/>
      <c r="O505" s="14"/>
      <c r="P505" s="14"/>
      <c r="Q505" s="14"/>
      <c r="R505" s="14"/>
      <c r="S505" s="14"/>
      <c r="T505" s="14"/>
      <c r="U505" s="14"/>
    </row>
    <row r="506" spans="1:21" ht="17.25" customHeight="1">
      <c r="A506" s="14" t="s">
        <v>807</v>
      </c>
      <c r="B506" s="6" t="s">
        <v>804</v>
      </c>
      <c r="C506" s="5" t="s">
        <v>796</v>
      </c>
      <c r="D506" s="7" t="str">
        <f t="shared" si="3"/>
        <v>bossdb://weiler14/Ex12R75/DAPI_6</v>
      </c>
      <c r="E506" s="5" t="s">
        <v>1341</v>
      </c>
      <c r="F506" s="7" t="s">
        <v>797</v>
      </c>
      <c r="G506" s="5" t="s">
        <v>409</v>
      </c>
      <c r="H506" s="5">
        <v>2014</v>
      </c>
      <c r="I506" s="5" t="s">
        <v>410</v>
      </c>
      <c r="J506" s="5" t="s">
        <v>682</v>
      </c>
      <c r="K506" s="14" t="b">
        <v>1</v>
      </c>
      <c r="L506" s="5" t="s">
        <v>2437</v>
      </c>
      <c r="M506" s="5" t="s">
        <v>413</v>
      </c>
      <c r="N506" s="14"/>
      <c r="O506" s="14"/>
      <c r="P506" s="14"/>
      <c r="Q506" s="14"/>
      <c r="R506" s="14"/>
      <c r="S506" s="14"/>
      <c r="T506" s="14"/>
      <c r="U506" s="14"/>
    </row>
    <row r="507" spans="1:21" ht="17.25" customHeight="1">
      <c r="A507" s="14" t="s">
        <v>807</v>
      </c>
      <c r="B507" s="6" t="s">
        <v>808</v>
      </c>
      <c r="C507" s="5" t="s">
        <v>796</v>
      </c>
      <c r="D507" s="7" t="str">
        <f t="shared" si="3"/>
        <v>bossdb://weiler14/Ex12R75/GABAARa1_6</v>
      </c>
      <c r="E507" s="5" t="s">
        <v>1341</v>
      </c>
      <c r="F507" s="7" t="s">
        <v>797</v>
      </c>
      <c r="G507" s="5" t="s">
        <v>409</v>
      </c>
      <c r="H507" s="5">
        <v>2014</v>
      </c>
      <c r="I507" s="5" t="s">
        <v>410</v>
      </c>
      <c r="J507" s="5" t="s">
        <v>682</v>
      </c>
      <c r="K507" s="14" t="b">
        <v>1</v>
      </c>
      <c r="L507" s="5" t="s">
        <v>2437</v>
      </c>
      <c r="M507" s="5" t="s">
        <v>413</v>
      </c>
      <c r="N507" s="14"/>
      <c r="O507" s="14"/>
      <c r="P507" s="14"/>
      <c r="Q507" s="14"/>
      <c r="R507" s="14"/>
      <c r="S507" s="14"/>
      <c r="T507" s="14"/>
      <c r="U507" s="14"/>
    </row>
    <row r="508" spans="1:21" ht="17.25" customHeight="1">
      <c r="A508" s="14" t="s">
        <v>807</v>
      </c>
      <c r="B508" s="6" t="s">
        <v>809</v>
      </c>
      <c r="C508" s="5" t="s">
        <v>796</v>
      </c>
      <c r="D508" s="7" t="str">
        <f t="shared" si="3"/>
        <v>bossdb://weiler14/Ex12R75/GAD2_3</v>
      </c>
      <c r="E508" s="5" t="s">
        <v>1341</v>
      </c>
      <c r="F508" s="7" t="s">
        <v>797</v>
      </c>
      <c r="G508" s="5" t="s">
        <v>409</v>
      </c>
      <c r="H508" s="5">
        <v>2014</v>
      </c>
      <c r="I508" s="5" t="s">
        <v>410</v>
      </c>
      <c r="J508" s="5" t="s">
        <v>682</v>
      </c>
      <c r="K508" s="14" t="b">
        <v>1</v>
      </c>
      <c r="L508" s="5" t="s">
        <v>2437</v>
      </c>
      <c r="M508" s="5" t="s">
        <v>413</v>
      </c>
      <c r="N508" s="14"/>
      <c r="O508" s="14"/>
      <c r="P508" s="14"/>
      <c r="Q508" s="14"/>
      <c r="R508" s="14"/>
      <c r="S508" s="14"/>
      <c r="T508" s="14"/>
      <c r="U508" s="14"/>
    </row>
    <row r="509" spans="1:21" ht="17.25" customHeight="1">
      <c r="A509" s="14" t="s">
        <v>807</v>
      </c>
      <c r="B509" s="6" t="s">
        <v>810</v>
      </c>
      <c r="C509" s="5" t="s">
        <v>796</v>
      </c>
      <c r="D509" s="7" t="str">
        <f t="shared" si="3"/>
        <v>bossdb://weiler14/Ex12R75/Gephyrin_2</v>
      </c>
      <c r="E509" s="5" t="s">
        <v>1341</v>
      </c>
      <c r="F509" s="7" t="s">
        <v>797</v>
      </c>
      <c r="G509" s="5" t="s">
        <v>409</v>
      </c>
      <c r="H509" s="5">
        <v>2014</v>
      </c>
      <c r="I509" s="5" t="s">
        <v>410</v>
      </c>
      <c r="J509" s="5" t="s">
        <v>682</v>
      </c>
      <c r="K509" s="14" t="b">
        <v>1</v>
      </c>
      <c r="L509" s="5" t="s">
        <v>2437</v>
      </c>
      <c r="M509" s="5" t="s">
        <v>413</v>
      </c>
      <c r="N509" s="14"/>
      <c r="O509" s="14"/>
      <c r="P509" s="14"/>
      <c r="Q509" s="14"/>
      <c r="R509" s="14"/>
      <c r="S509" s="14"/>
      <c r="T509" s="14"/>
      <c r="U509" s="14"/>
    </row>
    <row r="510" spans="1:21" ht="17.25" customHeight="1">
      <c r="A510" s="14" t="s">
        <v>807</v>
      </c>
      <c r="B510" s="6" t="s">
        <v>811</v>
      </c>
      <c r="C510" s="5" t="s">
        <v>796</v>
      </c>
      <c r="D510" s="7" t="str">
        <f t="shared" si="3"/>
        <v xml:space="preserve">bossdb://weiler14/Ex12R75/GluR1_4 </v>
      </c>
      <c r="E510" s="5" t="s">
        <v>1341</v>
      </c>
      <c r="F510" s="7" t="s">
        <v>797</v>
      </c>
      <c r="G510" s="5" t="s">
        <v>409</v>
      </c>
      <c r="H510" s="5">
        <v>2014</v>
      </c>
      <c r="I510" s="5" t="s">
        <v>410</v>
      </c>
      <c r="J510" s="5" t="s">
        <v>682</v>
      </c>
      <c r="K510" s="14" t="b">
        <v>1</v>
      </c>
      <c r="L510" s="5" t="s">
        <v>2437</v>
      </c>
      <c r="M510" s="5" t="s">
        <v>413</v>
      </c>
      <c r="N510" s="14"/>
      <c r="O510" s="14"/>
      <c r="P510" s="14"/>
      <c r="Q510" s="14"/>
      <c r="R510" s="14"/>
      <c r="S510" s="14"/>
      <c r="T510" s="14"/>
      <c r="U510" s="14"/>
    </row>
    <row r="511" spans="1:21" ht="15.75" customHeight="1">
      <c r="A511" s="14" t="s">
        <v>812</v>
      </c>
      <c r="B511" s="6" t="s">
        <v>799</v>
      </c>
      <c r="C511" s="5" t="s">
        <v>796</v>
      </c>
      <c r="D511" s="7" t="str">
        <f t="shared" si="3"/>
        <v>bossdb://weiler14/Ex12R76/DAPI_1</v>
      </c>
      <c r="E511" s="5" t="s">
        <v>1341</v>
      </c>
      <c r="F511" s="7" t="s">
        <v>797</v>
      </c>
      <c r="G511" s="5" t="s">
        <v>409</v>
      </c>
      <c r="H511" s="5">
        <v>2014</v>
      </c>
      <c r="I511" s="5" t="s">
        <v>410</v>
      </c>
      <c r="J511" s="5" t="s">
        <v>682</v>
      </c>
      <c r="K511" s="14" t="b">
        <v>1</v>
      </c>
      <c r="L511" s="5" t="s">
        <v>2437</v>
      </c>
      <c r="M511" s="5" t="s">
        <v>413</v>
      </c>
      <c r="N511" s="14"/>
      <c r="O511" s="14"/>
      <c r="P511" s="14"/>
      <c r="Q511" s="14"/>
      <c r="R511" s="14"/>
      <c r="S511" s="14"/>
      <c r="T511" s="14"/>
      <c r="U511" s="14"/>
    </row>
    <row r="512" spans="1:21" ht="15.75" customHeight="1">
      <c r="A512" s="14" t="s">
        <v>812</v>
      </c>
      <c r="B512" s="6" t="s">
        <v>800</v>
      </c>
      <c r="C512" s="5" t="s">
        <v>796</v>
      </c>
      <c r="D512" s="7" t="str">
        <f t="shared" si="3"/>
        <v>bossdb://weiler14/Ex12R76/DAPI_2</v>
      </c>
      <c r="E512" s="5" t="s">
        <v>1341</v>
      </c>
      <c r="F512" s="7" t="s">
        <v>797</v>
      </c>
      <c r="G512" s="5" t="s">
        <v>409</v>
      </c>
      <c r="H512" s="5">
        <v>2014</v>
      </c>
      <c r="I512" s="5" t="s">
        <v>410</v>
      </c>
      <c r="J512" s="5" t="s">
        <v>682</v>
      </c>
      <c r="K512" s="14" t="b">
        <v>1</v>
      </c>
      <c r="L512" s="5" t="s">
        <v>2437</v>
      </c>
      <c r="M512" s="5" t="s">
        <v>413</v>
      </c>
      <c r="N512" s="14"/>
      <c r="O512" s="14"/>
      <c r="P512" s="14"/>
      <c r="Q512" s="14"/>
      <c r="R512" s="14"/>
      <c r="S512" s="14"/>
      <c r="T512" s="14"/>
      <c r="U512" s="14"/>
    </row>
    <row r="513" spans="1:21" ht="15.75" customHeight="1">
      <c r="A513" s="14" t="s">
        <v>812</v>
      </c>
      <c r="B513" s="6" t="s">
        <v>801</v>
      </c>
      <c r="C513" s="5" t="s">
        <v>796</v>
      </c>
      <c r="D513" s="7" t="str">
        <f t="shared" si="3"/>
        <v>bossdb://weiler14/Ex12R76/DAPI_3</v>
      </c>
      <c r="E513" s="5" t="s">
        <v>1341</v>
      </c>
      <c r="F513" s="7" t="s">
        <v>797</v>
      </c>
      <c r="G513" s="5" t="s">
        <v>409</v>
      </c>
      <c r="H513" s="5">
        <v>2014</v>
      </c>
      <c r="I513" s="5" t="s">
        <v>410</v>
      </c>
      <c r="J513" s="5" t="s">
        <v>682</v>
      </c>
      <c r="K513" s="14" t="b">
        <v>1</v>
      </c>
      <c r="L513" s="5" t="s">
        <v>2437</v>
      </c>
      <c r="M513" s="5" t="s">
        <v>413</v>
      </c>
      <c r="N513" s="14"/>
      <c r="O513" s="14"/>
      <c r="P513" s="14"/>
      <c r="Q513" s="14"/>
      <c r="R513" s="14"/>
      <c r="S513" s="14"/>
      <c r="T513" s="14"/>
      <c r="U513" s="14"/>
    </row>
    <row r="514" spans="1:21" ht="15.75" customHeight="1">
      <c r="A514" s="14" t="s">
        <v>812</v>
      </c>
      <c r="B514" s="6" t="s">
        <v>802</v>
      </c>
      <c r="C514" s="5" t="s">
        <v>796</v>
      </c>
      <c r="D514" s="7" t="str">
        <f t="shared" si="3"/>
        <v>bossdb://weiler14/Ex12R76/DAPI_4</v>
      </c>
      <c r="E514" s="5" t="s">
        <v>1341</v>
      </c>
      <c r="F514" s="7" t="s">
        <v>797</v>
      </c>
      <c r="G514" s="5" t="s">
        <v>409</v>
      </c>
      <c r="H514" s="5">
        <v>2014</v>
      </c>
      <c r="I514" s="5" t="s">
        <v>410</v>
      </c>
      <c r="J514" s="5" t="s">
        <v>682</v>
      </c>
      <c r="K514" s="14" t="b">
        <v>1</v>
      </c>
      <c r="L514" s="5" t="s">
        <v>2437</v>
      </c>
      <c r="M514" s="5" t="s">
        <v>413</v>
      </c>
      <c r="N514" s="14"/>
      <c r="O514" s="14"/>
      <c r="P514" s="14"/>
      <c r="Q514" s="14"/>
      <c r="R514" s="14"/>
      <c r="S514" s="14"/>
      <c r="T514" s="14"/>
      <c r="U514" s="14"/>
    </row>
    <row r="515" spans="1:21" ht="15.75" customHeight="1">
      <c r="A515" s="14" t="s">
        <v>812</v>
      </c>
      <c r="B515" s="6" t="s">
        <v>803</v>
      </c>
      <c r="C515" s="5" t="s">
        <v>796</v>
      </c>
      <c r="D515" s="7" t="str">
        <f t="shared" si="3"/>
        <v>bossdb://weiler14/Ex12R76/DAPI_5</v>
      </c>
      <c r="E515" s="5" t="s">
        <v>1341</v>
      </c>
      <c r="F515" s="7" t="s">
        <v>797</v>
      </c>
      <c r="G515" s="5" t="s">
        <v>409</v>
      </c>
      <c r="H515" s="5">
        <v>2014</v>
      </c>
      <c r="I515" s="5" t="s">
        <v>410</v>
      </c>
      <c r="J515" s="5" t="s">
        <v>682</v>
      </c>
      <c r="K515" s="14" t="b">
        <v>1</v>
      </c>
      <c r="L515" s="5" t="s">
        <v>2437</v>
      </c>
      <c r="M515" s="5" t="s">
        <v>413</v>
      </c>
      <c r="N515" s="14"/>
      <c r="O515" s="14"/>
      <c r="P515" s="14"/>
      <c r="Q515" s="14"/>
      <c r="R515" s="14"/>
      <c r="S515" s="14"/>
      <c r="T515" s="14"/>
      <c r="U515" s="14"/>
    </row>
    <row r="516" spans="1:21" ht="15.75" customHeight="1">
      <c r="A516" s="14" t="s">
        <v>812</v>
      </c>
      <c r="B516" s="6" t="s">
        <v>804</v>
      </c>
      <c r="C516" s="5" t="s">
        <v>796</v>
      </c>
      <c r="D516" s="7" t="str">
        <f t="shared" si="3"/>
        <v>bossdb://weiler14/Ex12R76/DAPI_6</v>
      </c>
      <c r="E516" s="5" t="s">
        <v>1341</v>
      </c>
      <c r="F516" s="7" t="s">
        <v>797</v>
      </c>
      <c r="G516" s="5" t="s">
        <v>409</v>
      </c>
      <c r="H516" s="5">
        <v>2014</v>
      </c>
      <c r="I516" s="5" t="s">
        <v>410</v>
      </c>
      <c r="J516" s="5" t="s">
        <v>682</v>
      </c>
      <c r="K516" s="14" t="b">
        <v>1</v>
      </c>
      <c r="L516" s="5" t="s">
        <v>2437</v>
      </c>
      <c r="M516" s="5" t="s">
        <v>413</v>
      </c>
      <c r="N516" s="14"/>
      <c r="O516" s="14"/>
      <c r="P516" s="14"/>
      <c r="Q516" s="14"/>
      <c r="R516" s="14"/>
      <c r="S516" s="14"/>
      <c r="T516" s="14"/>
      <c r="U516" s="14"/>
    </row>
    <row r="517" spans="1:21" ht="15.75" customHeight="1">
      <c r="A517" s="14" t="s">
        <v>812</v>
      </c>
      <c r="B517" s="6" t="s">
        <v>808</v>
      </c>
      <c r="C517" s="5" t="s">
        <v>796</v>
      </c>
      <c r="D517" s="7" t="str">
        <f t="shared" si="3"/>
        <v>bossdb://weiler14/Ex12R76/GABAARa1_6</v>
      </c>
      <c r="E517" s="5" t="s">
        <v>1341</v>
      </c>
      <c r="F517" s="7" t="s">
        <v>797</v>
      </c>
      <c r="G517" s="5" t="s">
        <v>409</v>
      </c>
      <c r="H517" s="5">
        <v>2014</v>
      </c>
      <c r="I517" s="5" t="s">
        <v>410</v>
      </c>
      <c r="J517" s="5" t="s">
        <v>682</v>
      </c>
      <c r="K517" s="14" t="b">
        <v>1</v>
      </c>
      <c r="L517" s="5" t="s">
        <v>2437</v>
      </c>
      <c r="M517" s="5" t="s">
        <v>413</v>
      </c>
      <c r="N517" s="14"/>
      <c r="O517" s="14"/>
      <c r="P517" s="14"/>
      <c r="Q517" s="14"/>
      <c r="R517" s="14"/>
      <c r="S517" s="14"/>
      <c r="T517" s="14"/>
      <c r="U517" s="14"/>
    </row>
    <row r="518" spans="1:21" ht="15.75" customHeight="1">
      <c r="A518" s="14" t="s">
        <v>812</v>
      </c>
      <c r="B518" s="6" t="s">
        <v>810</v>
      </c>
      <c r="C518" s="5" t="s">
        <v>796</v>
      </c>
      <c r="D518" s="7" t="str">
        <f t="shared" si="3"/>
        <v>bossdb://weiler14/Ex12R76/Gephyrin_2</v>
      </c>
      <c r="E518" s="5" t="s">
        <v>1341</v>
      </c>
      <c r="F518" s="7" t="s">
        <v>797</v>
      </c>
      <c r="G518" s="5" t="s">
        <v>409</v>
      </c>
      <c r="H518" s="5">
        <v>2014</v>
      </c>
      <c r="I518" s="5" t="s">
        <v>410</v>
      </c>
      <c r="J518" s="5" t="s">
        <v>682</v>
      </c>
      <c r="K518" s="14" t="b">
        <v>1</v>
      </c>
      <c r="L518" s="5" t="s">
        <v>2437</v>
      </c>
      <c r="M518" s="5" t="s">
        <v>413</v>
      </c>
      <c r="N518" s="14"/>
      <c r="O518" s="14"/>
      <c r="P518" s="14"/>
      <c r="Q518" s="14"/>
      <c r="R518" s="14"/>
      <c r="S518" s="14"/>
      <c r="T518" s="14"/>
      <c r="U518" s="14"/>
    </row>
    <row r="519" spans="1:21" ht="15.75" customHeight="1">
      <c r="A519" s="14" t="s">
        <v>812</v>
      </c>
      <c r="B519" s="6" t="s">
        <v>811</v>
      </c>
      <c r="C519" s="5" t="s">
        <v>796</v>
      </c>
      <c r="D519" s="7" t="str">
        <f t="shared" si="3"/>
        <v xml:space="preserve">bossdb://weiler14/Ex12R76/GluR1_4 </v>
      </c>
      <c r="E519" s="5" t="s">
        <v>1341</v>
      </c>
      <c r="F519" s="7" t="s">
        <v>797</v>
      </c>
      <c r="G519" s="5" t="s">
        <v>409</v>
      </c>
      <c r="H519" s="5">
        <v>2014</v>
      </c>
      <c r="I519" s="5" t="s">
        <v>410</v>
      </c>
      <c r="J519" s="5" t="s">
        <v>682</v>
      </c>
      <c r="K519" s="14" t="b">
        <v>1</v>
      </c>
      <c r="L519" s="5" t="s">
        <v>2437</v>
      </c>
      <c r="M519" s="5" t="s">
        <v>413</v>
      </c>
      <c r="N519" s="14"/>
      <c r="O519" s="14"/>
      <c r="P519" s="14"/>
      <c r="Q519" s="14"/>
      <c r="R519" s="14"/>
      <c r="S519" s="14"/>
      <c r="T519" s="14"/>
      <c r="U519" s="14"/>
    </row>
    <row r="520" spans="1:21" ht="15.75" customHeight="1">
      <c r="A520" s="14" t="s">
        <v>813</v>
      </c>
      <c r="B520" s="6" t="s">
        <v>423</v>
      </c>
      <c r="C520" s="5" t="s">
        <v>814</v>
      </c>
      <c r="D520" s="7" t="str">
        <f t="shared" si="3"/>
        <v>bossdb://takemura/takemura13 /image</v>
      </c>
      <c r="E520" s="5" t="s">
        <v>1344</v>
      </c>
      <c r="F520" s="7" t="s">
        <v>815</v>
      </c>
      <c r="G520" s="5" t="s">
        <v>409</v>
      </c>
      <c r="H520" s="5">
        <v>2013</v>
      </c>
      <c r="I520" s="5" t="s">
        <v>410</v>
      </c>
      <c r="J520" s="5" t="s">
        <v>411</v>
      </c>
      <c r="K520" s="14" t="b">
        <v>1</v>
      </c>
      <c r="L520" s="5" t="s">
        <v>2439</v>
      </c>
      <c r="M520" s="5" t="s">
        <v>413</v>
      </c>
      <c r="N520" s="14"/>
      <c r="O520" s="14"/>
      <c r="P520" s="14"/>
      <c r="Q520" s="14"/>
      <c r="R520" s="14"/>
      <c r="S520" s="14"/>
      <c r="T520" s="14"/>
      <c r="U520" s="14"/>
    </row>
    <row r="521" spans="1:21" ht="15.75" customHeight="1">
      <c r="A521" s="14" t="s">
        <v>816</v>
      </c>
      <c r="B521" s="6" t="s">
        <v>817</v>
      </c>
      <c r="C521" s="5" t="s">
        <v>818</v>
      </c>
      <c r="D521" s="7" t="str">
        <f t="shared" si="3"/>
        <v xml:space="preserve">bossdb://helmstaedter13 /mouse_retina /080823_e2006_mouseHRP_mag1 </v>
      </c>
      <c r="E521" s="5" t="s">
        <v>1347</v>
      </c>
      <c r="F521" s="7" t="s">
        <v>2380</v>
      </c>
      <c r="G521" s="5" t="s">
        <v>409</v>
      </c>
      <c r="H521" s="5">
        <v>2013</v>
      </c>
      <c r="I521" s="5" t="s">
        <v>410</v>
      </c>
      <c r="J521" s="5" t="s">
        <v>411</v>
      </c>
      <c r="K521" s="14" t="b">
        <v>1</v>
      </c>
      <c r="L521" s="5" t="s">
        <v>2430</v>
      </c>
      <c r="M521" s="5" t="s">
        <v>413</v>
      </c>
      <c r="N521" s="14"/>
      <c r="O521" s="14"/>
      <c r="P521" s="14"/>
      <c r="Q521" s="14"/>
      <c r="R521" s="14"/>
      <c r="S521" s="14"/>
      <c r="T521" s="14"/>
      <c r="U521" s="14"/>
    </row>
    <row r="522" spans="1:21" ht="15.75" customHeight="1">
      <c r="A522" s="14" t="s">
        <v>816</v>
      </c>
      <c r="B522" s="6" t="s">
        <v>819</v>
      </c>
      <c r="C522" s="5" t="s">
        <v>820</v>
      </c>
      <c r="D522" s="7" t="str">
        <f t="shared" si="3"/>
        <v>bossdb://helmstaedter13/mouse_retina / e2006_segmentation_recol</v>
      </c>
      <c r="E522" s="5" t="s">
        <v>1347</v>
      </c>
      <c r="F522" s="7" t="s">
        <v>2380</v>
      </c>
      <c r="G522" s="5" t="s">
        <v>409</v>
      </c>
      <c r="H522" s="5">
        <v>2013</v>
      </c>
      <c r="I522" s="5" t="s">
        <v>410</v>
      </c>
      <c r="J522" s="5" t="s">
        <v>411</v>
      </c>
      <c r="K522" s="14" t="b">
        <v>1</v>
      </c>
      <c r="L522" s="5" t="s">
        <v>2430</v>
      </c>
      <c r="M522" s="5" t="s">
        <v>413</v>
      </c>
      <c r="N522" s="14"/>
      <c r="O522" s="14"/>
      <c r="P522" s="14"/>
      <c r="Q522" s="14"/>
      <c r="R522" s="14"/>
      <c r="S522" s="14"/>
      <c r="T522" s="14"/>
      <c r="U522" s="14"/>
    </row>
    <row r="523" spans="1:21" ht="15.75" customHeight="1">
      <c r="A523" s="14" t="s">
        <v>821</v>
      </c>
      <c r="B523" s="6" t="s">
        <v>423</v>
      </c>
      <c r="C523" s="5" t="s">
        <v>822</v>
      </c>
      <c r="D523" s="7" t="str">
        <f t="shared" si="3"/>
        <v>bossdb://bumbarger  /bumbarger13/image</v>
      </c>
      <c r="E523" s="5" t="s">
        <v>1351</v>
      </c>
      <c r="F523" s="7" t="s">
        <v>823</v>
      </c>
      <c r="G523" s="5" t="s">
        <v>409</v>
      </c>
      <c r="H523" s="5">
        <v>2013</v>
      </c>
      <c r="I523" s="5" t="s">
        <v>410</v>
      </c>
      <c r="J523" s="5" t="s">
        <v>411</v>
      </c>
      <c r="K523" s="14" t="b">
        <v>1</v>
      </c>
      <c r="L523" s="5" t="s">
        <v>2301</v>
      </c>
      <c r="M523" s="5" t="s">
        <v>413</v>
      </c>
      <c r="N523" s="14"/>
      <c r="O523" s="14"/>
      <c r="P523" s="14"/>
      <c r="Q523" s="14"/>
      <c r="R523" s="14"/>
      <c r="S523" s="14"/>
      <c r="T523" s="14"/>
      <c r="U523" s="14"/>
    </row>
    <row r="524" spans="1:21" ht="15.75" customHeight="1">
      <c r="A524" s="14" t="s">
        <v>824</v>
      </c>
      <c r="B524" s="6" t="s">
        <v>423</v>
      </c>
      <c r="C524" s="5" t="s">
        <v>825</v>
      </c>
      <c r="D524" s="7" t="str">
        <f t="shared" si="3"/>
        <v>bossdb://bock /bock11 /image</v>
      </c>
      <c r="E524" s="5" t="s">
        <v>1354</v>
      </c>
      <c r="F524" s="7" t="s">
        <v>826</v>
      </c>
      <c r="G524" s="5" t="s">
        <v>409</v>
      </c>
      <c r="H524" s="5">
        <v>2011</v>
      </c>
      <c r="I524" s="5" t="s">
        <v>410</v>
      </c>
      <c r="J524" s="5" t="s">
        <v>411</v>
      </c>
      <c r="K524" s="14" t="b">
        <v>1</v>
      </c>
      <c r="L524" s="5" t="s">
        <v>2431</v>
      </c>
      <c r="M524" s="5" t="s">
        <v>413</v>
      </c>
      <c r="N524" s="14"/>
      <c r="O524" s="14"/>
      <c r="P524" s="14"/>
      <c r="Q524" s="14"/>
      <c r="R524" s="14"/>
      <c r="S524" s="14"/>
      <c r="T524" s="14"/>
      <c r="U524" s="14"/>
    </row>
    <row r="525" spans="1:21" ht="17.25" customHeight="1">
      <c r="A525" s="14"/>
      <c r="B525" s="15"/>
      <c r="C525" s="14"/>
      <c r="D525" s="14"/>
      <c r="E525" s="14"/>
      <c r="F525" s="14"/>
      <c r="G525" s="14"/>
      <c r="H525" s="15"/>
      <c r="I525" s="14"/>
      <c r="J525" s="14"/>
      <c r="K525" s="14"/>
      <c r="L525" s="14"/>
      <c r="M525" s="14"/>
      <c r="N525" s="14"/>
      <c r="O525" s="14"/>
      <c r="P525" s="14"/>
      <c r="Q525" s="14"/>
      <c r="R525" s="14"/>
      <c r="S525" s="14"/>
      <c r="T525" s="14"/>
      <c r="U525" s="14"/>
    </row>
    <row r="526" spans="1:21" ht="17.25" customHeight="1">
      <c r="A526" s="14"/>
      <c r="B526" s="15"/>
      <c r="C526" s="14"/>
      <c r="D526" s="14"/>
      <c r="E526" s="14"/>
      <c r="F526" s="14"/>
      <c r="G526" s="14"/>
      <c r="H526" s="15"/>
      <c r="I526" s="14"/>
      <c r="J526" s="14"/>
      <c r="K526" s="14"/>
      <c r="L526" s="14"/>
      <c r="M526" s="14"/>
      <c r="N526" s="14"/>
      <c r="O526" s="14"/>
      <c r="P526" s="14"/>
      <c r="Q526" s="14"/>
      <c r="R526" s="14"/>
      <c r="S526" s="14"/>
      <c r="T526" s="14"/>
      <c r="U526" s="14"/>
    </row>
    <row r="527" spans="1:21" ht="17.25" customHeight="1">
      <c r="A527" s="14"/>
      <c r="B527" s="15"/>
      <c r="C527" s="14"/>
      <c r="D527" s="14"/>
      <c r="E527" s="14"/>
      <c r="F527" s="14"/>
      <c r="G527" s="14"/>
      <c r="H527" s="15"/>
      <c r="I527" s="14"/>
      <c r="J527" s="14"/>
      <c r="K527" s="14"/>
      <c r="L527" s="14"/>
      <c r="M527" s="14"/>
      <c r="N527" s="14"/>
      <c r="O527" s="14"/>
      <c r="P527" s="14"/>
      <c r="Q527" s="14"/>
      <c r="R527" s="14"/>
      <c r="S527" s="14"/>
      <c r="T527" s="14"/>
      <c r="U527" s="14"/>
    </row>
    <row r="528" spans="1:21" ht="17.25" customHeight="1">
      <c r="A528" s="14"/>
      <c r="B528" s="15"/>
      <c r="C528" s="14"/>
      <c r="D528" s="14"/>
      <c r="E528" s="14"/>
      <c r="F528" s="14"/>
      <c r="G528" s="14"/>
      <c r="H528" s="15"/>
      <c r="I528" s="14"/>
      <c r="J528" s="14"/>
      <c r="K528" s="14"/>
      <c r="L528" s="14"/>
      <c r="M528" s="14"/>
      <c r="N528" s="14"/>
      <c r="O528" s="14"/>
      <c r="P528" s="14"/>
      <c r="Q528" s="14"/>
      <c r="R528" s="14"/>
      <c r="S528" s="14"/>
      <c r="T528" s="14"/>
      <c r="U528" s="14"/>
    </row>
    <row r="529" spans="1:21" ht="17.25" customHeight="1">
      <c r="A529" s="14"/>
      <c r="B529" s="15"/>
      <c r="C529" s="14"/>
      <c r="D529" s="14"/>
      <c r="E529" s="14"/>
      <c r="F529" s="14"/>
      <c r="G529" s="14"/>
      <c r="H529" s="15"/>
      <c r="I529" s="14"/>
      <c r="J529" s="14"/>
      <c r="K529" s="14"/>
      <c r="L529" s="14"/>
      <c r="M529" s="14"/>
      <c r="N529" s="14"/>
      <c r="O529" s="14"/>
      <c r="P529" s="14"/>
      <c r="Q529" s="14"/>
      <c r="R529" s="14"/>
      <c r="S529" s="14"/>
      <c r="T529" s="14"/>
      <c r="U529" s="14"/>
    </row>
    <row r="530" spans="1:21" ht="17.25" customHeight="1">
      <c r="A530" s="14"/>
      <c r="B530" s="15"/>
      <c r="C530" s="14"/>
      <c r="D530" s="14"/>
      <c r="E530" s="14"/>
      <c r="F530" s="14"/>
      <c r="G530" s="14"/>
      <c r="H530" s="15"/>
      <c r="I530" s="14"/>
      <c r="J530" s="14"/>
      <c r="K530" s="14"/>
      <c r="L530" s="14"/>
      <c r="M530" s="14"/>
      <c r="N530" s="14"/>
      <c r="O530" s="14"/>
      <c r="P530" s="14"/>
      <c r="Q530" s="14"/>
      <c r="R530" s="14"/>
      <c r="S530" s="14"/>
      <c r="T530" s="14"/>
      <c r="U530" s="14"/>
    </row>
    <row r="531" spans="1:21" ht="17.25" customHeight="1">
      <c r="A531" s="14"/>
      <c r="B531" s="15"/>
      <c r="C531" s="14"/>
      <c r="D531" s="14"/>
      <c r="E531" s="14"/>
      <c r="F531" s="14"/>
      <c r="G531" s="14"/>
      <c r="H531" s="15"/>
      <c r="I531" s="14"/>
      <c r="J531" s="14"/>
      <c r="K531" s="14"/>
      <c r="L531" s="14"/>
      <c r="M531" s="14"/>
      <c r="N531" s="14"/>
      <c r="O531" s="14"/>
      <c r="P531" s="14"/>
      <c r="Q531" s="14"/>
      <c r="R531" s="14"/>
      <c r="S531" s="14"/>
      <c r="T531" s="14"/>
      <c r="U531" s="14"/>
    </row>
    <row r="532" spans="1:21" ht="17.25" customHeight="1">
      <c r="A532" s="14"/>
      <c r="B532" s="15"/>
      <c r="C532" s="14"/>
      <c r="D532" s="14"/>
      <c r="E532" s="14"/>
      <c r="F532" s="14"/>
      <c r="G532" s="14"/>
      <c r="H532" s="15"/>
      <c r="I532" s="14"/>
      <c r="J532" s="14"/>
      <c r="K532" s="14"/>
      <c r="L532" s="14"/>
      <c r="M532" s="14"/>
      <c r="N532" s="14"/>
      <c r="O532" s="14"/>
      <c r="P532" s="14"/>
      <c r="Q532" s="14"/>
      <c r="R532" s="14"/>
      <c r="S532" s="14"/>
      <c r="T532" s="14"/>
      <c r="U532" s="14"/>
    </row>
    <row r="533" spans="1:21" ht="17.25" customHeight="1">
      <c r="A533" s="14"/>
      <c r="B533" s="15"/>
      <c r="C533" s="14"/>
      <c r="D533" s="14"/>
      <c r="E533" s="14"/>
      <c r="F533" s="14"/>
      <c r="G533" s="14"/>
      <c r="H533" s="15"/>
      <c r="I533" s="14"/>
      <c r="J533" s="14"/>
      <c r="K533" s="14"/>
      <c r="L533" s="14"/>
      <c r="M533" s="14"/>
      <c r="N533" s="14"/>
      <c r="O533" s="14"/>
      <c r="P533" s="14"/>
      <c r="Q533" s="14"/>
      <c r="R533" s="14"/>
      <c r="S533" s="14"/>
      <c r="T533" s="14"/>
      <c r="U533" s="14"/>
    </row>
    <row r="534" spans="1:21" ht="17.25" customHeight="1">
      <c r="A534" s="14"/>
      <c r="B534" s="15"/>
      <c r="C534" s="14"/>
      <c r="D534" s="14"/>
      <c r="E534" s="14"/>
      <c r="F534" s="14"/>
      <c r="G534" s="14"/>
      <c r="H534" s="15"/>
      <c r="I534" s="14"/>
      <c r="J534" s="14"/>
      <c r="K534" s="14"/>
      <c r="L534" s="14"/>
      <c r="M534" s="14"/>
      <c r="N534" s="14"/>
      <c r="O534" s="14"/>
      <c r="P534" s="14"/>
      <c r="Q534" s="14"/>
      <c r="R534" s="14"/>
      <c r="S534" s="14"/>
      <c r="T534" s="14"/>
      <c r="U534" s="14"/>
    </row>
    <row r="535" spans="1:21" ht="17.25" customHeight="1">
      <c r="A535" s="14"/>
      <c r="B535" s="15"/>
      <c r="C535" s="14"/>
      <c r="D535" s="14"/>
      <c r="E535" s="14"/>
      <c r="F535" s="14"/>
      <c r="G535" s="14"/>
      <c r="H535" s="15"/>
      <c r="I535" s="14"/>
      <c r="J535" s="14"/>
      <c r="K535" s="14"/>
      <c r="L535" s="14"/>
      <c r="M535" s="14"/>
      <c r="N535" s="14"/>
      <c r="O535" s="14"/>
      <c r="P535" s="14"/>
      <c r="Q535" s="14"/>
      <c r="R535" s="14"/>
      <c r="S535" s="14"/>
      <c r="T535" s="14"/>
      <c r="U535" s="14"/>
    </row>
    <row r="536" spans="1:21" ht="17.25" customHeight="1">
      <c r="A536" s="14"/>
      <c r="B536" s="15"/>
      <c r="C536" s="14"/>
      <c r="D536" s="14"/>
      <c r="E536" s="14"/>
      <c r="F536" s="14"/>
      <c r="G536" s="14"/>
      <c r="H536" s="15"/>
      <c r="I536" s="14"/>
      <c r="J536" s="14"/>
      <c r="K536" s="14"/>
      <c r="L536" s="14"/>
      <c r="M536" s="14"/>
      <c r="N536" s="14"/>
      <c r="O536" s="14"/>
      <c r="P536" s="14"/>
      <c r="Q536" s="14"/>
      <c r="R536" s="14"/>
      <c r="S536" s="14"/>
      <c r="T536" s="14"/>
      <c r="U536" s="14"/>
    </row>
    <row r="537" spans="1:21" ht="17.25" customHeight="1">
      <c r="A537" s="14"/>
      <c r="B537" s="15"/>
      <c r="C537" s="14"/>
      <c r="D537" s="14"/>
      <c r="E537" s="14"/>
      <c r="F537" s="14"/>
      <c r="G537" s="14"/>
      <c r="H537" s="15"/>
      <c r="I537" s="14"/>
      <c r="J537" s="14"/>
      <c r="K537" s="14"/>
      <c r="L537" s="14"/>
      <c r="M537" s="14"/>
      <c r="N537" s="14"/>
      <c r="O537" s="14"/>
      <c r="P537" s="14"/>
      <c r="Q537" s="14"/>
      <c r="R537" s="14"/>
      <c r="S537" s="14"/>
      <c r="T537" s="14"/>
      <c r="U537" s="14"/>
    </row>
    <row r="538" spans="1:21" ht="17.25" customHeight="1">
      <c r="A538" s="14"/>
      <c r="B538" s="15"/>
      <c r="C538" s="14"/>
      <c r="D538" s="14"/>
      <c r="E538" s="14"/>
      <c r="F538" s="14"/>
      <c r="G538" s="14"/>
      <c r="H538" s="15"/>
      <c r="I538" s="14"/>
      <c r="J538" s="14"/>
      <c r="K538" s="14"/>
      <c r="L538" s="14"/>
      <c r="M538" s="14"/>
      <c r="N538" s="14"/>
      <c r="O538" s="14"/>
      <c r="P538" s="14"/>
      <c r="Q538" s="14"/>
      <c r="R538" s="14"/>
      <c r="S538" s="14"/>
      <c r="T538" s="14"/>
      <c r="U538" s="14"/>
    </row>
    <row r="539" spans="1:21" ht="17.25" customHeight="1">
      <c r="A539" s="14"/>
      <c r="B539" s="15"/>
      <c r="C539" s="14"/>
      <c r="D539" s="14"/>
      <c r="E539" s="14"/>
      <c r="F539" s="14"/>
      <c r="G539" s="14"/>
      <c r="H539" s="15"/>
      <c r="I539" s="14"/>
      <c r="J539" s="14"/>
      <c r="K539" s="14"/>
      <c r="L539" s="14"/>
      <c r="M539" s="14"/>
      <c r="N539" s="14"/>
      <c r="O539" s="14"/>
      <c r="P539" s="14"/>
      <c r="Q539" s="14"/>
      <c r="R539" s="14"/>
      <c r="S539" s="14"/>
      <c r="T539" s="14"/>
      <c r="U539" s="14"/>
    </row>
    <row r="540" spans="1:21" ht="17.25" customHeight="1">
      <c r="A540" s="14"/>
      <c r="B540" s="15"/>
      <c r="C540" s="14"/>
      <c r="D540" s="14"/>
      <c r="E540" s="14"/>
      <c r="F540" s="14"/>
      <c r="G540" s="14"/>
      <c r="H540" s="15"/>
      <c r="I540" s="14"/>
      <c r="J540" s="14"/>
      <c r="K540" s="14"/>
      <c r="L540" s="14"/>
      <c r="M540" s="14"/>
      <c r="N540" s="14"/>
      <c r="O540" s="14"/>
      <c r="P540" s="14"/>
      <c r="Q540" s="14"/>
      <c r="R540" s="14"/>
      <c r="S540" s="14"/>
      <c r="T540" s="14"/>
      <c r="U540" s="14"/>
    </row>
    <row r="541" spans="1:21" ht="17.25" customHeight="1">
      <c r="A541" s="14"/>
      <c r="B541" s="15"/>
      <c r="C541" s="14"/>
      <c r="D541" s="14"/>
      <c r="E541" s="14"/>
      <c r="F541" s="14"/>
      <c r="G541" s="14"/>
      <c r="H541" s="15"/>
      <c r="I541" s="14"/>
      <c r="J541" s="14"/>
      <c r="K541" s="14"/>
      <c r="L541" s="14"/>
      <c r="M541" s="14"/>
      <c r="N541" s="14"/>
      <c r="O541" s="14"/>
      <c r="P541" s="14"/>
      <c r="Q541" s="14"/>
      <c r="R541" s="14"/>
      <c r="S541" s="14"/>
      <c r="T541" s="14"/>
      <c r="U541" s="14"/>
    </row>
    <row r="542" spans="1:21" ht="17.25" customHeight="1">
      <c r="A542" s="14"/>
      <c r="B542" s="15"/>
      <c r="C542" s="14"/>
      <c r="D542" s="14"/>
      <c r="E542" s="14"/>
      <c r="F542" s="14"/>
      <c r="G542" s="14"/>
      <c r="H542" s="15"/>
      <c r="I542" s="14"/>
      <c r="J542" s="14"/>
      <c r="K542" s="14"/>
      <c r="L542" s="14"/>
      <c r="M542" s="14"/>
      <c r="N542" s="14"/>
      <c r="O542" s="14"/>
      <c r="P542" s="14"/>
      <c r="Q542" s="14"/>
      <c r="R542" s="14"/>
      <c r="S542" s="14"/>
      <c r="T542" s="14"/>
      <c r="U542" s="14"/>
    </row>
    <row r="543" spans="1:21" ht="17.25" customHeight="1">
      <c r="A543" s="14"/>
      <c r="B543" s="15"/>
      <c r="C543" s="14"/>
      <c r="D543" s="14"/>
      <c r="E543" s="14"/>
      <c r="F543" s="14"/>
      <c r="G543" s="14"/>
      <c r="H543" s="15"/>
      <c r="I543" s="14"/>
      <c r="J543" s="14"/>
      <c r="K543" s="14"/>
      <c r="L543" s="14"/>
      <c r="M543" s="14"/>
      <c r="N543" s="14"/>
      <c r="O543" s="14"/>
      <c r="P543" s="14"/>
      <c r="Q543" s="14"/>
      <c r="R543" s="14"/>
      <c r="S543" s="14"/>
      <c r="T543" s="14"/>
      <c r="U543" s="14"/>
    </row>
    <row r="544" spans="1:21" ht="17.25" customHeight="1">
      <c r="A544" s="14"/>
      <c r="B544" s="15"/>
      <c r="C544" s="14"/>
      <c r="D544" s="14"/>
      <c r="E544" s="14"/>
      <c r="F544" s="14"/>
      <c r="G544" s="14"/>
      <c r="H544" s="15"/>
      <c r="I544" s="14"/>
      <c r="J544" s="14"/>
      <c r="K544" s="14"/>
      <c r="L544" s="14"/>
      <c r="M544" s="14"/>
      <c r="N544" s="14"/>
      <c r="O544" s="14"/>
      <c r="P544" s="14"/>
      <c r="Q544" s="14"/>
      <c r="R544" s="14"/>
      <c r="S544" s="14"/>
      <c r="T544" s="14"/>
      <c r="U544" s="14"/>
    </row>
    <row r="545" spans="1:21" ht="17.25" customHeight="1">
      <c r="A545" s="14"/>
      <c r="B545" s="15"/>
      <c r="C545" s="14"/>
      <c r="D545" s="14"/>
      <c r="E545" s="14"/>
      <c r="F545" s="14"/>
      <c r="G545" s="14"/>
      <c r="H545" s="15"/>
      <c r="I545" s="14"/>
      <c r="J545" s="14"/>
      <c r="K545" s="14"/>
      <c r="L545" s="14"/>
      <c r="M545" s="14"/>
      <c r="N545" s="14"/>
      <c r="O545" s="14"/>
      <c r="P545" s="14"/>
      <c r="Q545" s="14"/>
      <c r="R545" s="14"/>
      <c r="S545" s="14"/>
      <c r="T545" s="14"/>
      <c r="U545" s="14"/>
    </row>
    <row r="546" spans="1:21" ht="17.25" customHeight="1">
      <c r="A546" s="14"/>
      <c r="B546" s="15"/>
      <c r="C546" s="14"/>
      <c r="D546" s="14"/>
      <c r="E546" s="14"/>
      <c r="F546" s="14"/>
      <c r="G546" s="14"/>
      <c r="H546" s="15"/>
      <c r="I546" s="14"/>
      <c r="J546" s="14"/>
      <c r="K546" s="14"/>
      <c r="L546" s="14"/>
      <c r="M546" s="14"/>
      <c r="N546" s="14"/>
      <c r="O546" s="14"/>
      <c r="P546" s="14"/>
      <c r="Q546" s="14"/>
      <c r="R546" s="14"/>
      <c r="S546" s="14"/>
      <c r="T546" s="14"/>
      <c r="U546" s="14"/>
    </row>
    <row r="547" spans="1:21" ht="17.25" customHeight="1">
      <c r="A547" s="14"/>
      <c r="B547" s="15"/>
      <c r="C547" s="14"/>
      <c r="D547" s="14"/>
      <c r="E547" s="14"/>
      <c r="F547" s="14"/>
      <c r="G547" s="14"/>
      <c r="H547" s="15"/>
      <c r="I547" s="14"/>
      <c r="J547" s="14"/>
      <c r="K547" s="14"/>
      <c r="L547" s="14"/>
      <c r="M547" s="14"/>
      <c r="N547" s="14"/>
      <c r="O547" s="14"/>
      <c r="P547" s="14"/>
      <c r="Q547" s="14"/>
      <c r="R547" s="14"/>
      <c r="S547" s="14"/>
      <c r="T547" s="14"/>
      <c r="U547" s="14"/>
    </row>
    <row r="548" spans="1:21" ht="17.25" customHeight="1">
      <c r="A548" s="14"/>
      <c r="B548" s="15"/>
      <c r="C548" s="14"/>
      <c r="D548" s="14"/>
      <c r="E548" s="14"/>
      <c r="F548" s="14"/>
      <c r="G548" s="14"/>
      <c r="H548" s="15"/>
      <c r="I548" s="14"/>
      <c r="J548" s="14"/>
      <c r="K548" s="14"/>
      <c r="L548" s="14"/>
      <c r="M548" s="14"/>
      <c r="N548" s="14"/>
      <c r="O548" s="14"/>
      <c r="P548" s="14"/>
      <c r="Q548" s="14"/>
      <c r="R548" s="14"/>
      <c r="S548" s="14"/>
      <c r="T548" s="14"/>
      <c r="U548" s="14"/>
    </row>
    <row r="549" spans="1:21" ht="17.25" customHeight="1">
      <c r="A549" s="14"/>
      <c r="B549" s="15"/>
      <c r="C549" s="14"/>
      <c r="D549" s="14"/>
      <c r="E549" s="14"/>
      <c r="F549" s="14"/>
      <c r="G549" s="14"/>
      <c r="H549" s="15"/>
      <c r="I549" s="14"/>
      <c r="J549" s="14"/>
      <c r="K549" s="14"/>
      <c r="L549" s="14"/>
      <c r="M549" s="14"/>
      <c r="N549" s="14"/>
      <c r="O549" s="14"/>
      <c r="P549" s="14"/>
      <c r="Q549" s="14"/>
      <c r="R549" s="14"/>
      <c r="S549" s="14"/>
      <c r="T549" s="14"/>
      <c r="U549" s="14"/>
    </row>
    <row r="550" spans="1:21" ht="17.25" customHeight="1">
      <c r="A550" s="14"/>
      <c r="B550" s="15"/>
      <c r="C550" s="14"/>
      <c r="D550" s="14"/>
      <c r="E550" s="14"/>
      <c r="F550" s="14"/>
      <c r="G550" s="14"/>
      <c r="H550" s="15"/>
      <c r="I550" s="14"/>
      <c r="J550" s="14"/>
      <c r="K550" s="14"/>
      <c r="L550" s="14"/>
      <c r="M550" s="14"/>
      <c r="N550" s="14"/>
      <c r="O550" s="14"/>
      <c r="P550" s="14"/>
      <c r="Q550" s="14"/>
      <c r="R550" s="14"/>
      <c r="S550" s="14"/>
      <c r="T550" s="14"/>
      <c r="U550" s="14"/>
    </row>
    <row r="551" spans="1:21" ht="17.25" customHeight="1">
      <c r="A551" s="14"/>
      <c r="B551" s="15"/>
      <c r="C551" s="14"/>
      <c r="D551" s="14"/>
      <c r="E551" s="14"/>
      <c r="F551" s="14"/>
      <c r="G551" s="14"/>
      <c r="H551" s="15"/>
      <c r="I551" s="14"/>
      <c r="J551" s="14"/>
      <c r="K551" s="14"/>
      <c r="L551" s="14"/>
      <c r="M551" s="14"/>
      <c r="N551" s="14"/>
      <c r="O551" s="14"/>
      <c r="P551" s="14"/>
      <c r="Q551" s="14"/>
      <c r="R551" s="14"/>
      <c r="S551" s="14"/>
      <c r="T551" s="14"/>
      <c r="U551" s="14"/>
    </row>
    <row r="552" spans="1:21" ht="17.25" customHeight="1">
      <c r="A552" s="14"/>
      <c r="B552" s="15"/>
      <c r="C552" s="14"/>
      <c r="D552" s="14"/>
      <c r="E552" s="14"/>
      <c r="F552" s="14"/>
      <c r="G552" s="14"/>
      <c r="H552" s="15"/>
      <c r="I552" s="14"/>
      <c r="J552" s="14"/>
      <c r="K552" s="14"/>
      <c r="L552" s="14"/>
      <c r="M552" s="14"/>
      <c r="N552" s="14"/>
      <c r="O552" s="14"/>
      <c r="P552" s="14"/>
      <c r="Q552" s="14"/>
      <c r="R552" s="14"/>
      <c r="S552" s="14"/>
      <c r="T552" s="14"/>
      <c r="U552" s="14"/>
    </row>
    <row r="553" spans="1:21" ht="17.25" customHeight="1">
      <c r="A553" s="14"/>
      <c r="B553" s="15"/>
      <c r="C553" s="14"/>
      <c r="D553" s="14"/>
      <c r="E553" s="14"/>
      <c r="F553" s="14"/>
      <c r="G553" s="14"/>
      <c r="H553" s="15"/>
      <c r="I553" s="14"/>
      <c r="J553" s="14"/>
      <c r="K553" s="14"/>
      <c r="L553" s="14"/>
      <c r="M553" s="14"/>
      <c r="N553" s="14"/>
      <c r="O553" s="14"/>
      <c r="P553" s="14"/>
      <c r="Q553" s="14"/>
      <c r="R553" s="14"/>
      <c r="S553" s="14"/>
      <c r="T553" s="14"/>
      <c r="U553" s="14"/>
    </row>
    <row r="554" spans="1:21" ht="17.25" customHeight="1">
      <c r="A554" s="14"/>
      <c r="B554" s="15"/>
      <c r="C554" s="14"/>
      <c r="D554" s="14"/>
      <c r="E554" s="14"/>
      <c r="F554" s="14"/>
      <c r="G554" s="14"/>
      <c r="H554" s="15"/>
      <c r="I554" s="14"/>
      <c r="J554" s="14"/>
      <c r="K554" s="14"/>
      <c r="L554" s="14"/>
      <c r="M554" s="14"/>
      <c r="N554" s="14"/>
      <c r="O554" s="14"/>
      <c r="P554" s="14"/>
      <c r="Q554" s="14"/>
      <c r="R554" s="14"/>
      <c r="S554" s="14"/>
      <c r="T554" s="14"/>
      <c r="U554" s="14"/>
    </row>
    <row r="555" spans="1:21" ht="17.25" customHeight="1">
      <c r="A555" s="14"/>
      <c r="B555" s="15"/>
      <c r="C555" s="14"/>
      <c r="D555" s="14"/>
      <c r="E555" s="14"/>
      <c r="F555" s="14"/>
      <c r="G555" s="14"/>
      <c r="H555" s="15"/>
      <c r="I555" s="14"/>
      <c r="J555" s="14"/>
      <c r="K555" s="14"/>
      <c r="L555" s="14"/>
      <c r="M555" s="14"/>
      <c r="N555" s="14"/>
      <c r="O555" s="14"/>
      <c r="P555" s="14"/>
      <c r="Q555" s="14"/>
      <c r="R555" s="14"/>
      <c r="S555" s="14"/>
      <c r="T555" s="14"/>
      <c r="U555" s="14"/>
    </row>
    <row r="556" spans="1:21" ht="17.25" customHeight="1">
      <c r="A556" s="14"/>
      <c r="B556" s="15"/>
      <c r="C556" s="14"/>
      <c r="D556" s="14"/>
      <c r="E556" s="14"/>
      <c r="F556" s="14"/>
      <c r="G556" s="14"/>
      <c r="H556" s="15"/>
      <c r="I556" s="14"/>
      <c r="J556" s="14"/>
      <c r="K556" s="14"/>
      <c r="L556" s="14"/>
      <c r="M556" s="14"/>
      <c r="N556" s="14"/>
      <c r="O556" s="14"/>
      <c r="P556" s="14"/>
      <c r="Q556" s="14"/>
      <c r="R556" s="14"/>
      <c r="S556" s="14"/>
      <c r="T556" s="14"/>
      <c r="U556" s="14"/>
    </row>
    <row r="557" spans="1:21" ht="17.25" customHeight="1">
      <c r="A557" s="14"/>
      <c r="B557" s="15"/>
      <c r="C557" s="14"/>
      <c r="D557" s="14"/>
      <c r="E557" s="14"/>
      <c r="F557" s="14"/>
      <c r="G557" s="14"/>
      <c r="H557" s="15"/>
      <c r="I557" s="14"/>
      <c r="J557" s="14"/>
      <c r="K557" s="14"/>
      <c r="L557" s="14"/>
      <c r="M557" s="14"/>
      <c r="N557" s="14"/>
      <c r="O557" s="14"/>
      <c r="P557" s="14"/>
      <c r="Q557" s="14"/>
      <c r="R557" s="14"/>
      <c r="S557" s="14"/>
      <c r="T557" s="14"/>
      <c r="U557" s="14"/>
    </row>
    <row r="558" spans="1:21" ht="17.25" customHeight="1">
      <c r="A558" s="14"/>
      <c r="B558" s="15"/>
      <c r="C558" s="14"/>
      <c r="D558" s="14"/>
      <c r="E558" s="14"/>
      <c r="F558" s="14"/>
      <c r="G558" s="14"/>
      <c r="H558" s="15"/>
      <c r="I558" s="14"/>
      <c r="J558" s="14"/>
      <c r="K558" s="14"/>
      <c r="L558" s="14"/>
      <c r="M558" s="14"/>
      <c r="N558" s="14"/>
      <c r="O558" s="14"/>
      <c r="P558" s="14"/>
      <c r="Q558" s="14"/>
      <c r="R558" s="14"/>
      <c r="S558" s="14"/>
      <c r="T558" s="14"/>
      <c r="U558" s="14"/>
    </row>
    <row r="559" spans="1:21" ht="17.25" customHeight="1">
      <c r="A559" s="14"/>
      <c r="B559" s="15"/>
      <c r="C559" s="14"/>
      <c r="D559" s="14"/>
      <c r="E559" s="14"/>
      <c r="F559" s="14"/>
      <c r="G559" s="14"/>
      <c r="H559" s="15"/>
      <c r="I559" s="14"/>
      <c r="J559" s="14"/>
      <c r="K559" s="14"/>
      <c r="L559" s="14"/>
      <c r="M559" s="14"/>
      <c r="N559" s="14"/>
      <c r="O559" s="14"/>
      <c r="P559" s="14"/>
      <c r="Q559" s="14"/>
      <c r="R559" s="14"/>
      <c r="S559" s="14"/>
      <c r="T559" s="14"/>
      <c r="U559" s="14"/>
    </row>
    <row r="560" spans="1:21" ht="17.25" customHeight="1">
      <c r="A560" s="14"/>
      <c r="B560" s="15"/>
      <c r="C560" s="14"/>
      <c r="D560" s="14"/>
      <c r="E560" s="14"/>
      <c r="F560" s="14"/>
      <c r="G560" s="14"/>
      <c r="H560" s="15"/>
      <c r="I560" s="14"/>
      <c r="J560" s="14"/>
      <c r="K560" s="14"/>
      <c r="L560" s="14"/>
      <c r="M560" s="14"/>
      <c r="N560" s="14"/>
      <c r="O560" s="14"/>
      <c r="P560" s="14"/>
      <c r="Q560" s="14"/>
      <c r="R560" s="14"/>
      <c r="S560" s="14"/>
      <c r="T560" s="14"/>
      <c r="U560" s="14"/>
    </row>
    <row r="561" spans="1:21" ht="17.25" customHeight="1">
      <c r="A561" s="14"/>
      <c r="B561" s="15"/>
      <c r="C561" s="14"/>
      <c r="D561" s="14"/>
      <c r="E561" s="14"/>
      <c r="F561" s="14"/>
      <c r="G561" s="14"/>
      <c r="H561" s="15"/>
      <c r="I561" s="14"/>
      <c r="J561" s="14"/>
      <c r="K561" s="14"/>
      <c r="L561" s="14"/>
      <c r="M561" s="14"/>
      <c r="N561" s="14"/>
      <c r="O561" s="14"/>
      <c r="P561" s="14"/>
      <c r="Q561" s="14"/>
      <c r="R561" s="14"/>
      <c r="S561" s="14"/>
      <c r="T561" s="14"/>
      <c r="U561" s="14"/>
    </row>
    <row r="562" spans="1:21" ht="17.25" customHeight="1">
      <c r="A562" s="14"/>
      <c r="B562" s="15"/>
      <c r="C562" s="14"/>
      <c r="D562" s="14"/>
      <c r="E562" s="14"/>
      <c r="F562" s="14"/>
      <c r="G562" s="14"/>
      <c r="H562" s="15"/>
      <c r="I562" s="14"/>
      <c r="J562" s="14"/>
      <c r="K562" s="14"/>
      <c r="L562" s="14"/>
      <c r="M562" s="14"/>
      <c r="N562" s="14"/>
      <c r="O562" s="14"/>
      <c r="P562" s="14"/>
      <c r="Q562" s="14"/>
      <c r="R562" s="14"/>
      <c r="S562" s="14"/>
      <c r="T562" s="14"/>
      <c r="U562" s="14"/>
    </row>
    <row r="563" spans="1:21" ht="17.25" customHeight="1">
      <c r="A563" s="14"/>
      <c r="B563" s="15"/>
      <c r="C563" s="14"/>
      <c r="D563" s="14"/>
      <c r="E563" s="14"/>
      <c r="F563" s="14"/>
      <c r="G563" s="14"/>
      <c r="H563" s="15"/>
      <c r="I563" s="14"/>
      <c r="J563" s="14"/>
      <c r="K563" s="14"/>
      <c r="L563" s="14"/>
      <c r="M563" s="14"/>
      <c r="N563" s="14"/>
      <c r="O563" s="14"/>
      <c r="P563" s="14"/>
      <c r="Q563" s="14"/>
      <c r="R563" s="14"/>
      <c r="S563" s="14"/>
      <c r="T563" s="14"/>
      <c r="U563" s="14"/>
    </row>
    <row r="564" spans="1:21" ht="17.25" customHeight="1">
      <c r="A564" s="14"/>
      <c r="B564" s="15"/>
      <c r="C564" s="14"/>
      <c r="D564" s="14"/>
      <c r="E564" s="14"/>
      <c r="F564" s="14"/>
      <c r="G564" s="14"/>
      <c r="H564" s="15"/>
      <c r="I564" s="14"/>
      <c r="J564" s="14"/>
      <c r="K564" s="14"/>
      <c r="L564" s="14"/>
      <c r="M564" s="14"/>
      <c r="N564" s="14"/>
      <c r="O564" s="14"/>
      <c r="P564" s="14"/>
      <c r="Q564" s="14"/>
      <c r="R564" s="14"/>
      <c r="S564" s="14"/>
      <c r="T564" s="14"/>
      <c r="U564" s="14"/>
    </row>
    <row r="565" spans="1:21" ht="17.25" customHeight="1">
      <c r="A565" s="14"/>
      <c r="B565" s="15"/>
      <c r="C565" s="14"/>
      <c r="D565" s="14"/>
      <c r="E565" s="14"/>
      <c r="F565" s="14"/>
      <c r="G565" s="14"/>
      <c r="H565" s="15"/>
      <c r="I565" s="14"/>
      <c r="J565" s="14"/>
      <c r="K565" s="14"/>
      <c r="L565" s="14"/>
      <c r="M565" s="14"/>
      <c r="N565" s="14"/>
      <c r="O565" s="14"/>
      <c r="P565" s="14"/>
      <c r="Q565" s="14"/>
      <c r="R565" s="14"/>
      <c r="S565" s="14"/>
      <c r="T565" s="14"/>
      <c r="U565" s="14"/>
    </row>
    <row r="566" spans="1:21" ht="17.25" customHeight="1">
      <c r="A566" s="14"/>
      <c r="B566" s="15"/>
      <c r="C566" s="14"/>
      <c r="D566" s="14"/>
      <c r="E566" s="14"/>
      <c r="F566" s="14"/>
      <c r="G566" s="14"/>
      <c r="H566" s="15"/>
      <c r="I566" s="14"/>
      <c r="J566" s="14"/>
      <c r="K566" s="14"/>
      <c r="L566" s="14"/>
      <c r="M566" s="14"/>
      <c r="N566" s="14"/>
      <c r="O566" s="14"/>
      <c r="P566" s="14"/>
      <c r="Q566" s="14"/>
      <c r="R566" s="14"/>
      <c r="S566" s="14"/>
      <c r="T566" s="14"/>
      <c r="U566" s="14"/>
    </row>
    <row r="567" spans="1:21" ht="17.25" customHeight="1">
      <c r="A567" s="14"/>
      <c r="B567" s="15"/>
      <c r="C567" s="14"/>
      <c r="D567" s="14"/>
      <c r="E567" s="14"/>
      <c r="F567" s="14"/>
      <c r="G567" s="14"/>
      <c r="H567" s="15"/>
      <c r="I567" s="14"/>
      <c r="J567" s="14"/>
      <c r="K567" s="14"/>
      <c r="L567" s="14"/>
      <c r="M567" s="14"/>
      <c r="N567" s="14"/>
      <c r="O567" s="14"/>
      <c r="P567" s="14"/>
      <c r="Q567" s="14"/>
      <c r="R567" s="14"/>
      <c r="S567" s="14"/>
      <c r="T567" s="14"/>
      <c r="U567" s="14"/>
    </row>
    <row r="568" spans="1:21" ht="17.25" customHeight="1">
      <c r="A568" s="14"/>
      <c r="B568" s="15"/>
      <c r="C568" s="14"/>
      <c r="D568" s="14"/>
      <c r="E568" s="14"/>
      <c r="F568" s="14"/>
      <c r="G568" s="14"/>
      <c r="H568" s="15"/>
      <c r="I568" s="14"/>
      <c r="J568" s="14"/>
      <c r="K568" s="14"/>
      <c r="L568" s="14"/>
      <c r="M568" s="14"/>
      <c r="N568" s="14"/>
      <c r="O568" s="14"/>
      <c r="P568" s="14"/>
      <c r="Q568" s="14"/>
      <c r="R568" s="14"/>
      <c r="S568" s="14"/>
      <c r="T568" s="14"/>
      <c r="U568" s="14"/>
    </row>
    <row r="569" spans="1:21" ht="17.25" customHeight="1">
      <c r="A569" s="14"/>
      <c r="B569" s="15"/>
      <c r="C569" s="14"/>
      <c r="D569" s="14"/>
      <c r="E569" s="14"/>
      <c r="F569" s="14"/>
      <c r="G569" s="14"/>
      <c r="H569" s="15"/>
      <c r="I569" s="14"/>
      <c r="J569" s="14"/>
      <c r="K569" s="14"/>
      <c r="L569" s="14"/>
      <c r="M569" s="14"/>
      <c r="N569" s="14"/>
      <c r="O569" s="14"/>
      <c r="P569" s="14"/>
      <c r="Q569" s="14"/>
      <c r="R569" s="14"/>
      <c r="S569" s="14"/>
      <c r="T569" s="14"/>
      <c r="U569" s="14"/>
    </row>
    <row r="570" spans="1:21" ht="17.25" customHeight="1"/>
    <row r="571" spans="1:21" ht="17.25" customHeight="1"/>
    <row r="572" spans="1:21" ht="17.25" customHeight="1"/>
    <row r="573" spans="1:21" ht="17.25" customHeight="1"/>
    <row r="574" spans="1:21" ht="17.25" customHeight="1"/>
    <row r="575" spans="1:21" ht="17.25" customHeight="1"/>
    <row r="576" spans="1:21" ht="17.25" customHeight="1"/>
    <row r="577" ht="17.25" customHeight="1"/>
    <row r="578" ht="17.25" customHeight="1"/>
    <row r="579" ht="17.25" customHeight="1"/>
    <row r="580" ht="17.25" customHeight="1"/>
    <row r="581" ht="17.25" customHeight="1"/>
    <row r="582" ht="17.25" customHeight="1"/>
    <row r="583" ht="17.25" customHeight="1"/>
    <row r="584" ht="17.25" customHeight="1"/>
    <row r="585" ht="17.25" customHeight="1"/>
    <row r="586" ht="17.25" customHeight="1"/>
    <row r="587" ht="17.25" customHeight="1"/>
    <row r="588" ht="17.25" customHeight="1"/>
    <row r="589" ht="17.25" customHeight="1"/>
    <row r="590" ht="17.25" customHeight="1"/>
    <row r="591" ht="17.25" customHeight="1"/>
    <row r="592" ht="17.25" customHeight="1"/>
    <row r="593" ht="17.25" customHeight="1"/>
    <row r="594" ht="17.25" customHeight="1"/>
    <row r="595" ht="17.25" customHeight="1"/>
    <row r="596" ht="17.25" customHeight="1"/>
    <row r="597" ht="17.25" customHeight="1"/>
    <row r="598" ht="17.25" customHeight="1"/>
    <row r="599" ht="17.25" customHeight="1"/>
    <row r="600" ht="17.25" customHeight="1"/>
    <row r="601" ht="17.25" customHeight="1"/>
    <row r="602" ht="17.25" customHeight="1"/>
    <row r="603" ht="17.25" customHeight="1"/>
    <row r="604" ht="17.25" customHeight="1"/>
    <row r="605" ht="17.25" customHeight="1"/>
    <row r="606" ht="17.25" customHeight="1"/>
    <row r="607" ht="17.25" customHeight="1"/>
    <row r="608" ht="17.25" customHeight="1"/>
    <row r="609" ht="17.25" customHeight="1"/>
    <row r="610" ht="17.25" customHeight="1"/>
    <row r="611" ht="17.25" customHeight="1"/>
    <row r="612" ht="17.25" customHeight="1"/>
    <row r="613" ht="17.25" customHeight="1"/>
    <row r="614" ht="17.25" customHeight="1"/>
    <row r="615" ht="17.25" customHeight="1"/>
    <row r="616" ht="17.25" customHeight="1"/>
    <row r="617" ht="17.25" customHeight="1"/>
    <row r="618" ht="17.25" customHeight="1"/>
    <row r="619" ht="17.25" customHeight="1"/>
    <row r="620" ht="17.25" customHeight="1"/>
    <row r="621" ht="17.25" customHeight="1"/>
    <row r="622" ht="17.25" customHeight="1"/>
    <row r="623" ht="17.25" customHeight="1"/>
    <row r="624" ht="17.25" customHeight="1"/>
    <row r="625" ht="17.25" customHeight="1"/>
    <row r="626" ht="17.25" customHeight="1"/>
    <row r="627" ht="17.25" customHeight="1"/>
    <row r="628" ht="17.25" customHeight="1"/>
    <row r="629" ht="17.25" customHeight="1"/>
    <row r="630" ht="17.25" customHeight="1"/>
    <row r="631" ht="17.25" customHeight="1"/>
    <row r="632" ht="17.25" customHeight="1"/>
    <row r="633" ht="17.25" customHeight="1"/>
    <row r="634" ht="17.25" customHeight="1"/>
    <row r="635" ht="17.25" customHeight="1"/>
    <row r="636" ht="17.25" customHeight="1"/>
    <row r="637" ht="17.25" customHeight="1"/>
    <row r="638" ht="17.25" customHeight="1"/>
    <row r="639" ht="17.25" customHeight="1"/>
    <row r="640" ht="17.25" customHeight="1"/>
    <row r="641" ht="17.25" customHeight="1"/>
    <row r="642" ht="17.25" customHeight="1"/>
    <row r="643" ht="17.25" customHeight="1"/>
    <row r="644" ht="17.25" customHeight="1"/>
    <row r="645" ht="17.25" customHeight="1"/>
    <row r="646" ht="17.25" customHeight="1"/>
    <row r="647" ht="17.25" customHeight="1"/>
    <row r="648" ht="17.25" customHeight="1"/>
    <row r="649" ht="17.25" customHeight="1"/>
    <row r="650" ht="17.25" customHeight="1"/>
    <row r="651" ht="17.25" customHeight="1"/>
    <row r="652" ht="17.25" customHeight="1"/>
    <row r="653" ht="17.25" customHeight="1"/>
    <row r="654" ht="17.25" customHeight="1"/>
    <row r="655" ht="17.25" customHeight="1"/>
    <row r="656" ht="17.25" customHeight="1"/>
    <row r="657" spans="21:21" ht="17.25" customHeight="1"/>
    <row r="658" spans="21:21" ht="17.25" customHeight="1"/>
    <row r="659" spans="21:21" ht="17.25" customHeight="1"/>
    <row r="660" spans="21:21" ht="17.25" customHeight="1"/>
    <row r="661" spans="21:21" ht="17.25" customHeight="1"/>
    <row r="662" spans="21:21" ht="17.25" customHeight="1"/>
    <row r="663" spans="21:21" ht="17.25" customHeight="1"/>
    <row r="664" spans="21:21" ht="15.75" customHeight="1">
      <c r="U664" s="2"/>
    </row>
    <row r="665" spans="21:21" ht="15.75" customHeight="1">
      <c r="U665" s="2"/>
    </row>
    <row r="666" spans="21:21" ht="15.75" customHeight="1">
      <c r="U666" s="2"/>
    </row>
    <row r="667" spans="21:21" ht="15.75" customHeight="1">
      <c r="U667" s="2"/>
    </row>
    <row r="668" spans="21:21" ht="15.75" customHeight="1">
      <c r="U668" s="2"/>
    </row>
    <row r="669" spans="21:21" ht="15.75" customHeight="1">
      <c r="U669" s="2"/>
    </row>
    <row r="670" spans="21:21" ht="15.75" customHeight="1">
      <c r="U670" s="2"/>
    </row>
    <row r="671" spans="21:21" ht="15.75" customHeight="1">
      <c r="U671" s="2"/>
    </row>
    <row r="672" spans="21:21" ht="15.75" customHeight="1">
      <c r="U672" s="2"/>
    </row>
    <row r="673" spans="21:21" ht="15.75" customHeight="1">
      <c r="U673" s="2"/>
    </row>
    <row r="674" spans="21:21" ht="15.75" customHeight="1">
      <c r="U674" s="2"/>
    </row>
    <row r="675" spans="21:21" ht="15.75" customHeight="1">
      <c r="U675" s="2"/>
    </row>
    <row r="676" spans="21:21" ht="15.75" customHeight="1">
      <c r="U676" s="2"/>
    </row>
    <row r="677" spans="21:21" ht="15.75" customHeight="1">
      <c r="U677" s="2"/>
    </row>
    <row r="678" spans="21:21" ht="15.75" customHeight="1">
      <c r="U678" s="2"/>
    </row>
    <row r="679" spans="21:21" ht="15.75" customHeight="1">
      <c r="U679" s="2"/>
    </row>
    <row r="680" spans="21:21" ht="15.75" customHeight="1">
      <c r="U680" s="2"/>
    </row>
    <row r="681" spans="21:21" ht="15.75" customHeight="1">
      <c r="U681" s="2"/>
    </row>
    <row r="682" spans="21:21" ht="15.75" customHeight="1">
      <c r="U682" s="2"/>
    </row>
    <row r="683" spans="21:21" ht="15.75" customHeight="1">
      <c r="U683" s="2"/>
    </row>
    <row r="684" spans="21:21" ht="15.75" customHeight="1">
      <c r="U684" s="2"/>
    </row>
    <row r="685" spans="21:21" ht="15.75" customHeight="1">
      <c r="U685" s="2"/>
    </row>
    <row r="686" spans="21:21" ht="15.75" customHeight="1">
      <c r="U686" s="2"/>
    </row>
    <row r="687" spans="21:21" ht="15.75" customHeight="1">
      <c r="U687" s="2"/>
    </row>
    <row r="688" spans="21:21" ht="15.75" customHeight="1">
      <c r="U688" s="2"/>
    </row>
    <row r="689" spans="21:21" ht="15.75" customHeight="1">
      <c r="U689" s="2"/>
    </row>
    <row r="690" spans="21:21" ht="15.75" customHeight="1">
      <c r="U690" s="2"/>
    </row>
    <row r="691" spans="21:21" ht="15.75" customHeight="1">
      <c r="U691" s="2"/>
    </row>
    <row r="692" spans="21:21" ht="15.75" customHeight="1">
      <c r="U692" s="2"/>
    </row>
    <row r="693" spans="21:21" ht="15.75" customHeight="1">
      <c r="U693" s="2"/>
    </row>
    <row r="694" spans="21:21" ht="15.75" customHeight="1">
      <c r="U694" s="2"/>
    </row>
    <row r="695" spans="21:21" ht="15.75" customHeight="1">
      <c r="U695" s="2"/>
    </row>
    <row r="696" spans="21:21" ht="15.75" customHeight="1">
      <c r="U696" s="2"/>
    </row>
    <row r="697" spans="21:21" ht="15.75" customHeight="1">
      <c r="U697" s="2"/>
    </row>
    <row r="698" spans="21:21" ht="15.75" customHeight="1">
      <c r="U698" s="2"/>
    </row>
    <row r="699" spans="21:21" ht="15.75" customHeight="1">
      <c r="U699" s="2"/>
    </row>
    <row r="700" spans="21:21" ht="15.75" customHeight="1">
      <c r="U700" s="2"/>
    </row>
    <row r="701" spans="21:21" ht="15.75" customHeight="1">
      <c r="U701" s="2"/>
    </row>
    <row r="702" spans="21:21" ht="15.75" customHeight="1">
      <c r="U702" s="2"/>
    </row>
    <row r="703" spans="21:21" ht="15.75" customHeight="1">
      <c r="U703" s="2"/>
    </row>
    <row r="704" spans="21:21" ht="15.75" customHeight="1">
      <c r="U704" s="2"/>
    </row>
    <row r="705" spans="21:21" ht="15.75" customHeight="1">
      <c r="U705" s="2"/>
    </row>
    <row r="706" spans="21:21" ht="15.75" customHeight="1">
      <c r="U706" s="2"/>
    </row>
    <row r="707" spans="21:21" ht="15.75" customHeight="1">
      <c r="U707" s="2"/>
    </row>
    <row r="708" spans="21:21" ht="15.75" customHeight="1">
      <c r="U708" s="2"/>
    </row>
    <row r="709" spans="21:21" ht="15.75" customHeight="1">
      <c r="U709" s="2"/>
    </row>
    <row r="710" spans="21:21" ht="15.75" customHeight="1">
      <c r="U710" s="2"/>
    </row>
    <row r="711" spans="21:21" ht="15.75" customHeight="1">
      <c r="U711" s="2"/>
    </row>
    <row r="712" spans="21:21" ht="15.75" customHeight="1">
      <c r="U712" s="2"/>
    </row>
    <row r="713" spans="21:21" ht="15.75" customHeight="1">
      <c r="U713" s="2"/>
    </row>
    <row r="714" spans="21:21" ht="15.75" customHeight="1">
      <c r="U714" s="2"/>
    </row>
    <row r="715" spans="21:21" ht="15.75" customHeight="1">
      <c r="U715" s="2"/>
    </row>
    <row r="716" spans="21:21" ht="15.75" customHeight="1">
      <c r="U716" s="2"/>
    </row>
    <row r="717" spans="21:21" ht="15.75" customHeight="1">
      <c r="U717" s="2"/>
    </row>
    <row r="718" spans="21:21" ht="15.75" customHeight="1">
      <c r="U718" s="2"/>
    </row>
    <row r="719" spans="21:21" ht="15.75" customHeight="1">
      <c r="U719" s="2"/>
    </row>
    <row r="720" spans="21:21" ht="15.75" customHeight="1">
      <c r="U720" s="2"/>
    </row>
    <row r="721" spans="21:21" ht="15.75" customHeight="1">
      <c r="U721" s="2"/>
    </row>
    <row r="722" spans="21:21" ht="15.75" customHeight="1">
      <c r="U722" s="2"/>
    </row>
    <row r="723" spans="21:21" ht="15.75" customHeight="1">
      <c r="U723" s="2"/>
    </row>
    <row r="724" spans="21:21" ht="15.75" customHeight="1">
      <c r="U724" s="2"/>
    </row>
    <row r="725" spans="21:21" ht="15.75" customHeight="1">
      <c r="U725" s="2"/>
    </row>
    <row r="726" spans="21:21" ht="15.75" customHeight="1">
      <c r="U726" s="2"/>
    </row>
    <row r="727" spans="21:21" ht="15.75" customHeight="1">
      <c r="U727" s="2"/>
    </row>
    <row r="728" spans="21:21" ht="15.75" customHeight="1">
      <c r="U728" s="2"/>
    </row>
    <row r="729" spans="21:21" ht="15.75" customHeight="1">
      <c r="U729" s="2"/>
    </row>
    <row r="730" spans="21:21" ht="15.75" customHeight="1">
      <c r="U730" s="2"/>
    </row>
    <row r="731" spans="21:21" ht="15.75" customHeight="1">
      <c r="U731" s="2"/>
    </row>
    <row r="732" spans="21:21" ht="15.75" customHeight="1">
      <c r="U732" s="2"/>
    </row>
    <row r="733" spans="21:21" ht="15.75" customHeight="1">
      <c r="U733" s="2"/>
    </row>
    <row r="734" spans="21:21" ht="15.75" customHeight="1">
      <c r="U734" s="2"/>
    </row>
    <row r="735" spans="21:21" ht="15.75" customHeight="1">
      <c r="U735" s="2"/>
    </row>
    <row r="736" spans="21:21" ht="15.75" customHeight="1">
      <c r="U736" s="2"/>
    </row>
    <row r="737" spans="21:21" ht="15.75" customHeight="1">
      <c r="U737" s="2"/>
    </row>
    <row r="738" spans="21:21" ht="15.75" customHeight="1">
      <c r="U738" s="2"/>
    </row>
    <row r="739" spans="21:21" ht="15.75" customHeight="1">
      <c r="U739" s="2"/>
    </row>
    <row r="740" spans="21:21" ht="15.75" customHeight="1">
      <c r="U740" s="2"/>
    </row>
    <row r="741" spans="21:21" ht="15.75" customHeight="1">
      <c r="U741" s="2"/>
    </row>
    <row r="742" spans="21:21" ht="15.75" customHeight="1">
      <c r="U742" s="2"/>
    </row>
    <row r="743" spans="21:21" ht="15.75" customHeight="1">
      <c r="U743" s="2"/>
    </row>
    <row r="744" spans="21:21" ht="15.75" customHeight="1">
      <c r="U744" s="2"/>
    </row>
    <row r="745" spans="21:21" ht="15.75" customHeight="1">
      <c r="U745" s="2"/>
    </row>
    <row r="746" spans="21:21" ht="15.75" customHeight="1">
      <c r="U746" s="2"/>
    </row>
    <row r="747" spans="21:21" ht="15.75" customHeight="1">
      <c r="U747" s="2"/>
    </row>
    <row r="748" spans="21:21" ht="15.75" customHeight="1">
      <c r="U748" s="2"/>
    </row>
    <row r="749" spans="21:21" ht="15.75" customHeight="1">
      <c r="U749" s="2"/>
    </row>
    <row r="750" spans="21:21" ht="15.75" customHeight="1">
      <c r="U750" s="2"/>
    </row>
    <row r="751" spans="21:21" ht="15.75" customHeight="1">
      <c r="U751" s="2"/>
    </row>
    <row r="752" spans="21:21" ht="15.75" customHeight="1">
      <c r="U752" s="2"/>
    </row>
    <row r="753" spans="21:21" ht="15.75" customHeight="1">
      <c r="U753" s="2"/>
    </row>
    <row r="754" spans="21:21" ht="15.75" customHeight="1">
      <c r="U754" s="2"/>
    </row>
    <row r="755" spans="21:21" ht="15.75" customHeight="1">
      <c r="U755" s="2"/>
    </row>
    <row r="756" spans="21:21" ht="15.75" customHeight="1">
      <c r="U756" s="2"/>
    </row>
    <row r="757" spans="21:21" ht="15.75" customHeight="1">
      <c r="U757" s="2"/>
    </row>
    <row r="758" spans="21:21" ht="15.75" customHeight="1">
      <c r="U758" s="2"/>
    </row>
    <row r="759" spans="21:21" ht="15.75" customHeight="1">
      <c r="U759" s="2"/>
    </row>
    <row r="760" spans="21:21" ht="15.75" customHeight="1">
      <c r="U760" s="2"/>
    </row>
    <row r="761" spans="21:21" ht="15.75" customHeight="1">
      <c r="U761" s="2"/>
    </row>
    <row r="762" spans="21:21" ht="15.75" customHeight="1">
      <c r="U762" s="2"/>
    </row>
    <row r="763" spans="21:21" ht="15.75" customHeight="1">
      <c r="U763" s="2"/>
    </row>
    <row r="764" spans="21:21" ht="15.75" customHeight="1">
      <c r="U764" s="2"/>
    </row>
    <row r="765" spans="21:21" ht="15.75" customHeight="1">
      <c r="U765" s="2"/>
    </row>
    <row r="766" spans="21:21" ht="15.75" customHeight="1">
      <c r="U766" s="2"/>
    </row>
    <row r="767" spans="21:21" ht="15.75" customHeight="1">
      <c r="U767" s="2"/>
    </row>
    <row r="768" spans="21:21" ht="15.75" customHeight="1">
      <c r="U768" s="2"/>
    </row>
    <row r="769" spans="1:21" ht="15.75" customHeight="1">
      <c r="U769" s="2"/>
    </row>
    <row r="770" spans="1:21" ht="15.75" customHeight="1">
      <c r="U770" s="2"/>
    </row>
    <row r="771" spans="1:21" ht="15.75" customHeight="1">
      <c r="U771" s="2"/>
    </row>
    <row r="772" spans="1:21" ht="15.75" customHeight="1">
      <c r="U772" s="2"/>
    </row>
    <row r="773" spans="1:21" ht="15.75" customHeight="1">
      <c r="U773" s="2"/>
    </row>
    <row r="774" spans="1:21" ht="15.75" customHeight="1">
      <c r="U774" s="2"/>
    </row>
    <row r="775" spans="1:21" ht="15.75" customHeight="1">
      <c r="U775" s="2"/>
    </row>
    <row r="776" spans="1:21" ht="15.75" customHeight="1">
      <c r="U776" s="2"/>
    </row>
    <row r="777" spans="1:21" ht="15.75" customHeight="1">
      <c r="U777" s="2"/>
    </row>
    <row r="778" spans="1:21" ht="15.75" customHeight="1">
      <c r="U778" s="2"/>
    </row>
    <row r="779" spans="1:21" ht="15.75" customHeight="1">
      <c r="U779" s="2"/>
    </row>
    <row r="780" spans="1:21" ht="15.75" customHeight="1">
      <c r="U780" s="2"/>
    </row>
    <row r="781" spans="1:21" ht="15.75" customHeight="1">
      <c r="A781" s="5"/>
      <c r="U781" s="2"/>
    </row>
    <row r="782" spans="1:21" ht="15.75" customHeight="1">
      <c r="A782" s="5"/>
      <c r="U782" s="2"/>
    </row>
    <row r="783" spans="1:21" ht="15.75" customHeight="1">
      <c r="A783" s="5"/>
      <c r="U783" s="2"/>
    </row>
    <row r="784" spans="1:21" ht="15.75" customHeight="1">
      <c r="A784" s="5"/>
      <c r="U784" s="2"/>
    </row>
    <row r="785" spans="1:21" ht="15.75" customHeight="1">
      <c r="A785" s="5"/>
      <c r="U785" s="2"/>
    </row>
    <row r="786" spans="1:21" ht="15.75" customHeight="1">
      <c r="T786" s="2"/>
    </row>
  </sheetData>
  <phoneticPr fontId="16" type="noConversion"/>
  <hyperlinks>
    <hyperlink ref="F2" r:id="rId1" xr:uid="{A90C336C-689E-E443-A49D-EB47A31F4176}"/>
    <hyperlink ref="F3" r:id="rId2" xr:uid="{CC4ACBBF-AC92-9644-A484-B87404DB1697}"/>
    <hyperlink ref="F4" r:id="rId3" xr:uid="{732C9700-C10A-8A48-B90F-1C49C5CDD454}"/>
    <hyperlink ref="F5" r:id="rId4" xr:uid="{DAA0A16B-FAFC-1243-8976-453A135BE2F1}"/>
    <hyperlink ref="F6" r:id="rId5" xr:uid="{301B4F32-C07B-7A4C-AA98-81929C02B5F7}"/>
    <hyperlink ref="F7" r:id="rId6" xr:uid="{C794BDF6-011F-1D42-B06F-8C370D480A3F}"/>
    <hyperlink ref="F8" r:id="rId7" xr:uid="{4B07DD76-2895-ED49-A2C5-BB7E453518C2}"/>
    <hyperlink ref="F9" r:id="rId8" xr:uid="{9A224B3E-64F8-6140-9858-507052A9DC67}"/>
    <hyperlink ref="F10" r:id="rId9" xr:uid="{4CDB21A1-CF52-B641-8FFC-2495493DD1C5}"/>
    <hyperlink ref="F11" r:id="rId10" xr:uid="{4C6F8C6B-5074-814F-B8BF-36E830F85123}"/>
    <hyperlink ref="F12" r:id="rId11" xr:uid="{A3D104B4-0D6D-3B45-847A-C147EFE38E30}"/>
    <hyperlink ref="F13" r:id="rId12" xr:uid="{01134BEA-EF07-C24D-A967-4234F5B53C67}"/>
    <hyperlink ref="F14" r:id="rId13" xr:uid="{29CD209A-BD9B-A044-A83B-5468DE5A165A}"/>
    <hyperlink ref="F15" r:id="rId14" xr:uid="{4A559EDD-71D2-044A-890F-D906DDE36F2E}"/>
    <hyperlink ref="F16" r:id="rId15" xr:uid="{03FC60C0-78FC-9A4E-A16B-2BFE35A458BE}"/>
    <hyperlink ref="F17" r:id="rId16" xr:uid="{B1FAD5B2-D235-BC45-B097-8AED68DBE756}"/>
    <hyperlink ref="F18" r:id="rId17" xr:uid="{38652F72-9548-5B49-BFF8-78328C2EB13E}"/>
    <hyperlink ref="F19" r:id="rId18" xr:uid="{3DEC108E-A961-0F40-BD21-42A47B0BD99C}"/>
    <hyperlink ref="F20" r:id="rId19" xr:uid="{13D3F20C-C136-4E40-9C33-770A529AB800}"/>
    <hyperlink ref="F21" r:id="rId20" xr:uid="{153897DD-BD28-064D-886C-57C0BA0B648E}"/>
    <hyperlink ref="F22" r:id="rId21" xr:uid="{DE2CDEB3-0442-574A-AAEA-B9CBE3EAEB24}"/>
    <hyperlink ref="F23" r:id="rId22" xr:uid="{87CB777C-B849-854D-A8C4-64655C052005}"/>
    <hyperlink ref="F24" r:id="rId23" xr:uid="{70905514-533B-3A49-A69A-D4DD2D71525D}"/>
    <hyperlink ref="F25" r:id="rId24" xr:uid="{FE5A7047-819A-304B-BD81-0A1777492040}"/>
    <hyperlink ref="F26" r:id="rId25" xr:uid="{DC1E4239-1315-8A4F-ABD2-524354B743CA}"/>
    <hyperlink ref="F27" r:id="rId26" xr:uid="{289309E7-69C0-994B-A046-F79FB48218AC}"/>
    <hyperlink ref="F28" r:id="rId27" xr:uid="{5FEFFB55-7C44-314E-A0F0-C818417FD778}"/>
    <hyperlink ref="F29" r:id="rId28" xr:uid="{1C7DD2EF-793D-B643-BB3A-9A9013E05388}"/>
    <hyperlink ref="F30" r:id="rId29" xr:uid="{6AAACCD8-28D4-1447-81FA-9E81B8B8DB32}"/>
    <hyperlink ref="F31" r:id="rId30" xr:uid="{79FEBD01-79AE-624B-934C-AC9822C2FDC6}"/>
    <hyperlink ref="F32" r:id="rId31" xr:uid="{5CED4D7A-4048-EB42-A93C-B0599324BA7E}"/>
    <hyperlink ref="F33" r:id="rId32" xr:uid="{F93E1C5C-B420-804F-A705-1FF4CC99A30E}"/>
    <hyperlink ref="F34" r:id="rId33" xr:uid="{B9762347-3C62-CD4A-9020-6433872370F1}"/>
    <hyperlink ref="F35" r:id="rId34" xr:uid="{21E80FDB-C8FE-C940-B655-8731345061F1}"/>
    <hyperlink ref="F36" r:id="rId35" xr:uid="{DD61BBC6-636E-B745-9D26-6B851DDE05A1}"/>
    <hyperlink ref="F37" r:id="rId36" xr:uid="{6C02F2A2-C5E2-0D4E-BBD5-BCD93CEC08F7}"/>
    <hyperlink ref="F38" r:id="rId37" xr:uid="{F28C2CCA-E406-CB49-BFF5-C448AD6ECF56}"/>
    <hyperlink ref="F39" r:id="rId38" xr:uid="{6A62B139-F68C-2246-96EC-B8F9BB0AB1B6}"/>
    <hyperlink ref="F40" r:id="rId39" xr:uid="{48693258-837F-E945-B86A-057D934DE8BB}"/>
    <hyperlink ref="F41" r:id="rId40" xr:uid="{E2856C8B-B5CC-A649-82DF-99355A9986DA}"/>
    <hyperlink ref="F42" r:id="rId41" xr:uid="{F2D3E1CB-6D6A-C644-A676-FB448CD893E3}"/>
    <hyperlink ref="F43" r:id="rId42" xr:uid="{10D197F9-1B9F-8644-9949-E3347A98036E}"/>
    <hyperlink ref="F44" r:id="rId43" xr:uid="{0E5C799D-1D62-264C-841B-62E54D340EFA}"/>
    <hyperlink ref="F45" r:id="rId44" xr:uid="{970E456D-0A30-D745-B53B-44C3C5C09C45}"/>
    <hyperlink ref="F46" r:id="rId45" xr:uid="{7493EBE4-D036-2044-B595-99885EC35C1B}"/>
    <hyperlink ref="F47" r:id="rId46" xr:uid="{B9F5D1B2-EED2-A84D-882E-80A0F111AA3D}"/>
    <hyperlink ref="F48" r:id="rId47" xr:uid="{B61BE577-2211-E44B-859E-11F5DDC23F93}"/>
    <hyperlink ref="F49" r:id="rId48" xr:uid="{11803DDF-A55F-EE4A-8E24-B228B3EEFDE9}"/>
    <hyperlink ref="F50" r:id="rId49" xr:uid="{54670862-B6F7-7F47-A662-29E394E846A7}"/>
    <hyperlink ref="F51" r:id="rId50" xr:uid="{A711F879-3848-F647-96AA-1BFF2172016F}"/>
    <hyperlink ref="F52" r:id="rId51" xr:uid="{54DDC460-8EF7-5F49-9B56-0A1C0F46C515}"/>
    <hyperlink ref="F53" r:id="rId52" xr:uid="{23EAE1BE-C454-CE41-B012-3E1DC920E262}"/>
    <hyperlink ref="F54" r:id="rId53" xr:uid="{BC8823BA-7E53-7A4A-ADD7-8D8B70864307}"/>
    <hyperlink ref="F55" r:id="rId54" xr:uid="{CEF534D4-2104-0E4F-992B-96B066F85B38}"/>
    <hyperlink ref="F56" r:id="rId55" xr:uid="{1F1FB91F-D6C8-C541-9966-30F38664A846}"/>
    <hyperlink ref="F57" r:id="rId56" xr:uid="{95FC9739-F1AE-5E43-A91A-DC0D147BE63F}"/>
    <hyperlink ref="F58" r:id="rId57" xr:uid="{E5D3E657-4DFE-274C-A42F-F0B103C3BCC9}"/>
    <hyperlink ref="F59" r:id="rId58" xr:uid="{CEF88E47-6E88-1245-96AC-FF800F7EDB4D}"/>
    <hyperlink ref="F60" r:id="rId59" xr:uid="{D9126C08-61E8-3E45-9115-CD3DE2C2B415}"/>
    <hyperlink ref="F61" r:id="rId60" xr:uid="{B0DCE189-90C6-BD4D-97C4-7527DE562EF3}"/>
    <hyperlink ref="F62" r:id="rId61" xr:uid="{1F628E4E-8825-7848-9E15-8A8A657A3C4B}"/>
    <hyperlink ref="F63" r:id="rId62" xr:uid="{C25B3E11-7C42-554D-9CEE-B01299F0010D}"/>
    <hyperlink ref="F64" r:id="rId63" xr:uid="{B9FDBDA5-9F39-C140-B91E-CF3A7FCA035F}"/>
    <hyperlink ref="F65" r:id="rId64" xr:uid="{AEBD11E5-CB08-DA48-A206-AFDB56190BB1}"/>
    <hyperlink ref="F66" r:id="rId65" xr:uid="{3CA15942-5392-5642-8E26-2B0C3884ED72}"/>
    <hyperlink ref="F67" r:id="rId66" xr:uid="{82207FA0-0D49-5645-B46F-F33D4E98BBAC}"/>
    <hyperlink ref="F68" r:id="rId67" xr:uid="{106992C2-14D4-4746-BA0A-15AC1ED1E4CD}"/>
    <hyperlink ref="F69" r:id="rId68" xr:uid="{B0268D5F-6B6E-2C4D-BEF7-B8560FA80FF4}"/>
    <hyperlink ref="F70" r:id="rId69" xr:uid="{35588D8C-A10B-C94D-A488-022D7AD81599}"/>
    <hyperlink ref="F71" r:id="rId70" xr:uid="{EC93D9D6-5FB3-D748-B7C0-16C83425B3B8}"/>
    <hyperlink ref="F72" r:id="rId71" xr:uid="{EB823525-793E-6841-B012-0D6C6B794D2B}"/>
    <hyperlink ref="F73" r:id="rId72" xr:uid="{E518B15A-0514-AA4F-AC74-689DA2492AE3}"/>
    <hyperlink ref="F74" r:id="rId73" xr:uid="{E0E4E17D-F3BA-1D49-9F99-AF2FD66EB21D}"/>
    <hyperlink ref="F75" r:id="rId74" xr:uid="{2B1CDE40-71B8-9547-9AFB-F26A068B58A8}"/>
    <hyperlink ref="F76" r:id="rId75" xr:uid="{8CA1A862-DD54-8F43-A6A2-1987852FFEAE}"/>
    <hyperlink ref="F77" r:id="rId76" xr:uid="{568BE4FA-5D1B-9C48-AFE7-943731163DCF}"/>
    <hyperlink ref="F78" r:id="rId77" xr:uid="{CB2CB93A-167C-F348-A22C-B7879E7FD654}"/>
    <hyperlink ref="F79" r:id="rId78" xr:uid="{3FA6900C-D96D-294D-BF80-41EEC37A5C04}"/>
    <hyperlink ref="F80" r:id="rId79" xr:uid="{1CE0CFF6-1FF4-0347-9CFB-61BB35D57F4E}"/>
    <hyperlink ref="F81" r:id="rId80" xr:uid="{7F635C54-2558-3044-A2B1-F1C81953D914}"/>
    <hyperlink ref="F82" r:id="rId81" xr:uid="{29568E59-4EA7-1C4E-8B37-4EC65DE575B1}"/>
    <hyperlink ref="F83" r:id="rId82" xr:uid="{DA642586-D9BF-FF4F-AAA0-EF9A7F620F5A}"/>
    <hyperlink ref="F84" r:id="rId83" xr:uid="{77386055-584D-5E41-B869-9CB63963D77D}"/>
    <hyperlink ref="F85" r:id="rId84" xr:uid="{FB55AC60-3C7A-5544-9EED-80D9606C37B8}"/>
    <hyperlink ref="F86" r:id="rId85" xr:uid="{B6E84C54-1E79-3B45-850A-01B0C30ECF35}"/>
    <hyperlink ref="F87" r:id="rId86" xr:uid="{55244B86-FEBE-9D4A-A7EB-69F2ADC9AE6A}"/>
    <hyperlink ref="F88" r:id="rId87" xr:uid="{1752F227-345E-F147-9EBA-27C365C08B1B}"/>
    <hyperlink ref="F89" r:id="rId88" xr:uid="{24943FA0-9FE6-1E4C-A5DA-BA9D381CA2DE}"/>
    <hyperlink ref="F90" r:id="rId89" xr:uid="{8C0D7DF3-F713-DC43-B978-3A3F3A036D44}"/>
    <hyperlink ref="F91" r:id="rId90" xr:uid="{FC642E44-DAF4-C44B-B3CC-0331BE246C33}"/>
    <hyperlink ref="F92" r:id="rId91" xr:uid="{DD567C71-96D9-BA4E-BB6A-D2453118681B}"/>
    <hyperlink ref="F93" r:id="rId92" xr:uid="{EF73AAAD-ABAC-D240-BEEE-76975D1B6C9F}"/>
    <hyperlink ref="F94" r:id="rId93" xr:uid="{8DAB2775-A9BF-5C47-93AE-07B458EB6DE6}"/>
    <hyperlink ref="F95" r:id="rId94" xr:uid="{71E137E1-6967-1A4A-8FA6-9758BB962A4D}"/>
    <hyperlink ref="F96" r:id="rId95" xr:uid="{30E11094-805B-B84B-A953-B81362C6DE0B}"/>
    <hyperlink ref="F97" r:id="rId96" xr:uid="{11C449A8-0236-C445-AED6-25BA76B0F813}"/>
    <hyperlink ref="F98" r:id="rId97" xr:uid="{BABDEF08-798D-7E40-A6B1-AAD85F197E29}"/>
    <hyperlink ref="F99" r:id="rId98" xr:uid="{32345AA0-F79E-5444-A8FF-BE201CB57779}"/>
    <hyperlink ref="F100" r:id="rId99" xr:uid="{601FFFD5-308F-8345-ACE1-180DBE2455C1}"/>
    <hyperlink ref="F101" r:id="rId100" xr:uid="{959E8F41-A405-834B-9D07-ADDBA128B827}"/>
    <hyperlink ref="F102" r:id="rId101" xr:uid="{2419DDFC-4C4B-5441-8710-79441CEE8F3E}"/>
    <hyperlink ref="F103" r:id="rId102" xr:uid="{B4E4321E-207D-4948-95AB-00793A1A7D86}"/>
    <hyperlink ref="F104" r:id="rId103" xr:uid="{7DDB9AFE-36FE-0140-988B-CF240C2ED91B}"/>
    <hyperlink ref="F105" r:id="rId104" xr:uid="{1D72FC92-1210-4948-BD4B-769AB67B23FC}"/>
    <hyperlink ref="F106" r:id="rId105" xr:uid="{2E31AE0D-83D4-8042-A392-C456B05CE111}"/>
    <hyperlink ref="F107" r:id="rId106" xr:uid="{510146E5-0CF9-D54B-A504-C29875039FF6}"/>
    <hyperlink ref="F108" r:id="rId107" xr:uid="{B31F1343-BFF8-F444-94C8-190C681621A7}"/>
    <hyperlink ref="F109" r:id="rId108" xr:uid="{53F0DA2E-EF37-0A4C-BFEB-8B5B6CEFFAD5}"/>
    <hyperlink ref="F110" r:id="rId109" xr:uid="{F9CE7D13-F36F-554A-AAC8-8DF435C67386}"/>
    <hyperlink ref="F111" r:id="rId110" xr:uid="{0C6C78BB-1832-FD4D-AAD3-D529AA4CF4D5}"/>
    <hyperlink ref="F112" r:id="rId111" xr:uid="{DE66DD9E-4A79-A64C-83E3-B099B8C0273B}"/>
    <hyperlink ref="F113" r:id="rId112" xr:uid="{6C4A1D21-AD15-144B-B5AA-1AA6177528E8}"/>
    <hyperlink ref="F114" r:id="rId113" xr:uid="{94126AB4-6345-194F-8819-3B492435D399}"/>
    <hyperlink ref="F115" r:id="rId114" xr:uid="{2596775B-083B-6345-BE6D-36077554AC59}"/>
    <hyperlink ref="F116" r:id="rId115" xr:uid="{A935C3F3-F0C2-EE48-BD37-E51B01154D51}"/>
    <hyperlink ref="F117" r:id="rId116" xr:uid="{A03F629C-C9C9-2640-BA68-E97DBE492CC7}"/>
    <hyperlink ref="F118" r:id="rId117" xr:uid="{57DAF1B9-4E4C-8248-B7CB-EB3C6C5C1076}"/>
    <hyperlink ref="F119" r:id="rId118" xr:uid="{0162C9E3-55F4-3646-A816-6A435D35F306}"/>
    <hyperlink ref="F120" r:id="rId119" xr:uid="{3A2FE958-FE0C-A74C-9A39-E048CC08D71C}"/>
    <hyperlink ref="F121" r:id="rId120" xr:uid="{C8D15B50-0BCC-F542-982F-BBC102A03B63}"/>
    <hyperlink ref="F122" r:id="rId121" xr:uid="{FD076932-1962-B547-8D81-BA9B27FCBCF5}"/>
    <hyperlink ref="F123" r:id="rId122" xr:uid="{26A29151-4D16-4B43-85A8-DFB9CDB8ADFB}"/>
    <hyperlink ref="F124" r:id="rId123" xr:uid="{A9A70A1E-2F0E-0C47-93DF-407FFCEF8AF2}"/>
    <hyperlink ref="F125" r:id="rId124" xr:uid="{2A3972F3-DD33-6D40-BA3D-FA2528A99A6B}"/>
    <hyperlink ref="F126" r:id="rId125" xr:uid="{372B5CDE-C259-A848-8FFF-1185394C90FE}"/>
    <hyperlink ref="F127" r:id="rId126" xr:uid="{00B67F51-8A7F-2E45-9455-549707B34658}"/>
    <hyperlink ref="F128" r:id="rId127" xr:uid="{842F6ADC-BC74-3347-A21E-6250C7F8F436}"/>
    <hyperlink ref="F129" r:id="rId128" xr:uid="{D0884322-8BEB-9445-A9E8-8757B84A0159}"/>
    <hyperlink ref="F130" r:id="rId129" xr:uid="{C9C51849-86EB-BA4D-8FF3-5360B1DFE442}"/>
    <hyperlink ref="F131" r:id="rId130" xr:uid="{DAA60876-0157-224D-9960-EEB6FF990384}"/>
    <hyperlink ref="F132" r:id="rId131" xr:uid="{22290AB4-A4FF-7C4C-8D53-D5C1D3069111}"/>
    <hyperlink ref="F133" r:id="rId132" xr:uid="{5A3FE219-2456-1045-B6FF-D67B1597866F}"/>
    <hyperlink ref="F134" r:id="rId133" xr:uid="{E679FA59-875D-6243-8A29-68D6A30E3ADB}"/>
    <hyperlink ref="F135" r:id="rId134" xr:uid="{95C3C1EF-ECA2-804E-B8B3-0F715A736B6D}"/>
    <hyperlink ref="F136" r:id="rId135" xr:uid="{F908CF38-144E-2E46-AFEB-B4A9F775F5B2}"/>
    <hyperlink ref="F137" r:id="rId136" xr:uid="{A57930FC-DA40-2946-8F1C-50881CEC88D6}"/>
    <hyperlink ref="F138" r:id="rId137" xr:uid="{9AE5B97D-52A4-074B-B5A3-76101FCFB8E0}"/>
    <hyperlink ref="F139" r:id="rId138" xr:uid="{8E8D311C-1540-DC49-A4FD-0741A45D0652}"/>
    <hyperlink ref="F140" r:id="rId139" xr:uid="{026A944C-7BC7-7C49-AA05-49EAEFDEF0B7}"/>
    <hyperlink ref="F141" r:id="rId140" xr:uid="{8D050BA1-A06A-E140-AA60-04DFB68FC353}"/>
    <hyperlink ref="F142" r:id="rId141" xr:uid="{BBB6985E-B3E3-EB4B-96CC-6B3FD07CFF83}"/>
    <hyperlink ref="F143" r:id="rId142" xr:uid="{BF722675-CB12-304B-AD44-D0C9BBE32862}"/>
    <hyperlink ref="F144" r:id="rId143" xr:uid="{2AEE2DDF-031A-3344-93A1-10C7E1FD0467}"/>
    <hyperlink ref="F145" r:id="rId144" xr:uid="{573BEE25-EC13-E44F-9440-8DB9ECA28EBC}"/>
    <hyperlink ref="F146" r:id="rId145" xr:uid="{A0DAE183-D5F2-B74C-BDB4-B7D8BDBE9A3A}"/>
    <hyperlink ref="F147" r:id="rId146" xr:uid="{D2BC16F7-8A42-1147-A088-DE3E12A984D5}"/>
    <hyperlink ref="F148" r:id="rId147" xr:uid="{683977FA-4F42-A54F-BCE4-D50BF762F4EA}"/>
    <hyperlink ref="F149" r:id="rId148" xr:uid="{53E9B586-D92A-B445-884A-F155A4A58D89}"/>
    <hyperlink ref="F150" r:id="rId149" xr:uid="{A001C362-1E5B-0040-B2A7-2E154D84E222}"/>
    <hyperlink ref="F151" r:id="rId150" xr:uid="{A7EDB89E-6BB9-484C-BD03-874B76B2F8E7}"/>
    <hyperlink ref="F152" r:id="rId151" xr:uid="{210C48C9-BF60-4647-B356-EEB203515165}"/>
    <hyperlink ref="F153" r:id="rId152" xr:uid="{553AA1C9-12AA-4A48-90F4-FE28F8599473}"/>
    <hyperlink ref="F154" r:id="rId153" xr:uid="{780ADAB3-43CF-7149-8BC0-9AA2B0C1639D}"/>
    <hyperlink ref="F155" r:id="rId154" xr:uid="{AD1226F3-27B1-B545-9D7F-8F94C0A79F4C}"/>
    <hyperlink ref="F156" r:id="rId155" xr:uid="{64BAFF25-CA8D-644B-A87C-0D28E0F9F326}"/>
    <hyperlink ref="F157" r:id="rId156" xr:uid="{D770B44D-8C54-E744-831E-FE0176ED9067}"/>
    <hyperlink ref="F158" r:id="rId157" xr:uid="{D43DD7C6-07C8-4F4B-BFCB-DC9DC0D5A566}"/>
    <hyperlink ref="F159" r:id="rId158" xr:uid="{34034EA3-0A67-BF49-9B6D-AF3C6D87DA26}"/>
    <hyperlink ref="F160" r:id="rId159" xr:uid="{E01D02E0-5539-F24F-89DE-D65C90402842}"/>
    <hyperlink ref="F161" r:id="rId160" xr:uid="{98FD4316-D3DE-3C40-915E-FDE01B3B5D5E}"/>
    <hyperlink ref="F162" r:id="rId161" xr:uid="{71E4FBEF-C9A0-644A-A777-B065439222D6}"/>
    <hyperlink ref="F163" r:id="rId162" xr:uid="{B3360FE4-1745-D645-BFB3-2C77A9C34ACD}"/>
    <hyperlink ref="F164" r:id="rId163" xr:uid="{B379BAD8-A9DD-D243-B094-A5A42A94CED8}"/>
    <hyperlink ref="F165" r:id="rId164" xr:uid="{1AE0E872-9981-8845-824E-46A5CCD6F143}"/>
    <hyperlink ref="F166" r:id="rId165" xr:uid="{1D618592-72B9-2F4B-9136-B00A4DCF0614}"/>
    <hyperlink ref="F167" r:id="rId166" xr:uid="{9FBBB585-3330-F34F-BBAA-32AF46A0A6BF}"/>
    <hyperlink ref="F168" r:id="rId167" xr:uid="{862683DD-3EC2-2B45-A75C-6B09AEF0CDC9}"/>
    <hyperlink ref="F169" r:id="rId168" xr:uid="{2E7E6732-1EB7-DE4A-8CAC-E1E6A6CE87C2}"/>
    <hyperlink ref="F170" r:id="rId169" xr:uid="{9820F871-6616-224C-A931-921D68710764}"/>
    <hyperlink ref="F171" r:id="rId170" xr:uid="{568A87A1-1073-B249-9254-369F2012AFFE}"/>
    <hyperlink ref="F172" r:id="rId171" xr:uid="{7DFFC769-E934-E344-8365-E9F175CA2233}"/>
    <hyperlink ref="F173" r:id="rId172" xr:uid="{AA237688-149B-FF46-BE33-DF5EE2F35805}"/>
    <hyperlink ref="F174" r:id="rId173" xr:uid="{36832F62-FAE7-F94C-A10E-262F793291A8}"/>
    <hyperlink ref="F175" r:id="rId174" xr:uid="{1DEFCE1B-8D89-EA4C-9647-1473F391E3C1}"/>
    <hyperlink ref="F176" r:id="rId175" xr:uid="{ED11D558-2D38-8545-BA24-92603ABF9C03}"/>
    <hyperlink ref="F177" r:id="rId176" xr:uid="{DD1BFE0B-1C36-1843-98FC-3A8923267BC0}"/>
    <hyperlink ref="F178" r:id="rId177" xr:uid="{E879CB8F-EF26-944F-82D9-F83E94106ADC}"/>
    <hyperlink ref="F179" r:id="rId178" xr:uid="{C0DB96B7-652A-3C4B-B293-7DE48783C6B4}"/>
    <hyperlink ref="F180" r:id="rId179" xr:uid="{A0507222-7061-A641-A587-69D3D4B8B93D}"/>
    <hyperlink ref="F181" r:id="rId180" xr:uid="{EF0FEB23-D737-254B-80CF-FF1582E0BF5D}"/>
    <hyperlink ref="F182" r:id="rId181" xr:uid="{4CA2F59C-AA54-054E-9984-D1659096A624}"/>
    <hyperlink ref="F183" r:id="rId182" xr:uid="{864CD750-8580-EE45-9FD4-5A889A264FA8}"/>
    <hyperlink ref="F184" r:id="rId183" xr:uid="{E71FC06A-23FB-1A41-A738-033F78387E33}"/>
    <hyperlink ref="F185" r:id="rId184" xr:uid="{46EBFAD3-AAC9-4144-A253-6DAAD49E1005}"/>
    <hyperlink ref="F186" r:id="rId185" xr:uid="{E75046E1-FFCB-9840-AE2E-4755D265B7BF}"/>
    <hyperlink ref="F187" r:id="rId186" xr:uid="{1B8B1D73-51E2-6F49-A328-99815AD04230}"/>
    <hyperlink ref="F188" r:id="rId187" xr:uid="{887C1658-866A-2A42-98E2-B2B752FA49C3}"/>
    <hyperlink ref="F189" r:id="rId188" xr:uid="{9A1AC87A-8F67-2045-B3B2-1CC0AFFE3622}"/>
    <hyperlink ref="F190" r:id="rId189" xr:uid="{248E8B2D-0104-4D43-8B6F-49BB02C5AAEC}"/>
    <hyperlink ref="F191" r:id="rId190" xr:uid="{AA017585-0A70-7D40-9C59-1C2D16009EE6}"/>
    <hyperlink ref="F192" r:id="rId191" xr:uid="{A6559DA2-756E-3E48-9933-DE9936268862}"/>
    <hyperlink ref="F193" r:id="rId192" xr:uid="{1A1815D3-F240-FF48-9D97-5ED489A6AEA8}"/>
    <hyperlink ref="F194" r:id="rId193" xr:uid="{D78116AB-E4A5-D440-9CD3-D5ABB2236E16}"/>
    <hyperlink ref="F195" r:id="rId194" xr:uid="{530A7CA4-2106-D044-AF32-5C7FB23F5F71}"/>
    <hyperlink ref="F196" r:id="rId195" xr:uid="{49F3F649-80F1-2E4A-B50B-12A77ABFF2A1}"/>
    <hyperlink ref="F197" r:id="rId196" xr:uid="{4E48B909-B403-F643-A17B-11EFA84795E9}"/>
    <hyperlink ref="F198" r:id="rId197" xr:uid="{FEB26D01-0D0F-934E-9BD1-ACC11FD0FCB4}"/>
    <hyperlink ref="F199" r:id="rId198" xr:uid="{0EE6E2A3-73DD-194A-8BBE-3749127CDCC0}"/>
    <hyperlink ref="F200" r:id="rId199" xr:uid="{F7A6EC11-EE61-0944-926E-BF2A569F1093}"/>
    <hyperlink ref="F201" r:id="rId200" xr:uid="{123BE02D-F3BB-FD4B-900F-EC0A17C4AC5C}"/>
    <hyperlink ref="F202" r:id="rId201" xr:uid="{D1325F76-E8BF-994C-9313-4550BF7018C1}"/>
    <hyperlink ref="F203" r:id="rId202" xr:uid="{30E66E66-E1F0-1D44-AA23-E68959EF0B59}"/>
    <hyperlink ref="F204" r:id="rId203" xr:uid="{C7E26785-3711-D84B-8D4F-E65654CD08A7}"/>
    <hyperlink ref="F205" r:id="rId204" xr:uid="{1080B17A-57D2-004D-8767-787976A9CECB}"/>
    <hyperlink ref="F206" r:id="rId205" xr:uid="{38084D47-E923-0C4D-ACDF-5C7200F74EA6}"/>
    <hyperlink ref="F207" r:id="rId206" xr:uid="{5EE84590-889E-4443-8161-334FF5D71C8F}"/>
    <hyperlink ref="F208" r:id="rId207" xr:uid="{F682AD55-9AED-E243-8099-E8CDEBE4AA27}"/>
    <hyperlink ref="F209" r:id="rId208" xr:uid="{63D9C4C2-4D7F-6946-BF52-3F41ADD822D8}"/>
    <hyperlink ref="F210" r:id="rId209" xr:uid="{1108B89D-AC61-BA40-82DA-6BB5A3D69D03}"/>
    <hyperlink ref="F211" r:id="rId210" xr:uid="{AEF93983-A8D3-4844-ABBB-56C5AD52D989}"/>
    <hyperlink ref="F212" r:id="rId211" xr:uid="{C682CBA6-1AB7-A747-93FE-ED770752719A}"/>
    <hyperlink ref="F213" r:id="rId212" xr:uid="{292FE52C-4E06-A74B-8209-F858934864B0}"/>
    <hyperlink ref="F214" r:id="rId213" xr:uid="{071DF6DC-E664-9940-A413-379C660D1362}"/>
    <hyperlink ref="F215" r:id="rId214" xr:uid="{28597A82-176B-7C4C-8D8C-B70335A312ED}"/>
    <hyperlink ref="F216" r:id="rId215" xr:uid="{152AC1E0-42D0-5645-8257-90237EDAE2DC}"/>
    <hyperlink ref="F217" r:id="rId216" xr:uid="{EF949AA3-863A-B44F-9C6B-D183FFBDD38B}"/>
    <hyperlink ref="F218" r:id="rId217" xr:uid="{A7AFE89E-142A-054D-93C3-E66F11697EAA}"/>
    <hyperlink ref="F219" r:id="rId218" xr:uid="{EC5FD49D-5BBD-5D45-8211-CE3D7D7F6029}"/>
    <hyperlink ref="F220" r:id="rId219" xr:uid="{B543ED2B-8A73-DF4A-9336-5BC4C030A1C1}"/>
    <hyperlink ref="F221" r:id="rId220" xr:uid="{7EE162F4-7688-F746-ACB4-BCEAB6192167}"/>
    <hyperlink ref="F222" r:id="rId221" xr:uid="{27499FD9-3DA6-9149-AA44-3AEB70F6624C}"/>
    <hyperlink ref="F223" r:id="rId222" xr:uid="{1CDDED80-9D04-5547-82E9-7632AF819095}"/>
    <hyperlink ref="F224" r:id="rId223" xr:uid="{B36FA128-2184-B348-818F-D28C49BC88DB}"/>
    <hyperlink ref="F225" r:id="rId224" xr:uid="{9D50DB75-BFAD-0E47-87EC-F6AEFA74CB59}"/>
    <hyperlink ref="F226" r:id="rId225" xr:uid="{BECF63A0-69CC-CC41-9835-681D755C58C6}"/>
    <hyperlink ref="F227" r:id="rId226" xr:uid="{504434E6-17CF-CE43-8E64-60AE11CA1904}"/>
    <hyperlink ref="F228" r:id="rId227" xr:uid="{08EA7460-3D8F-8145-8C61-F844C7A0209A}"/>
    <hyperlink ref="F229" r:id="rId228" xr:uid="{1BFC8788-FFCE-CF45-9109-E205829F6A08}"/>
    <hyperlink ref="F230" r:id="rId229" xr:uid="{FFB75F15-C437-7A4B-B811-CEA10E42D209}"/>
    <hyperlink ref="F231" r:id="rId230" xr:uid="{FF5F373A-99F6-D440-825A-299A4804FB37}"/>
    <hyperlink ref="F232" r:id="rId231" xr:uid="{A6DF4CB2-A84C-D748-AFD5-383C4251FD25}"/>
    <hyperlink ref="F233" r:id="rId232" xr:uid="{9850C40D-CE49-6748-91CF-8F7D3BC15066}"/>
    <hyperlink ref="F234" r:id="rId233" xr:uid="{0EFED27B-728C-524A-A949-0545C57773C9}"/>
    <hyperlink ref="F235" r:id="rId234" xr:uid="{21F02BEB-E106-1F4C-BA70-78C1D67772C8}"/>
    <hyperlink ref="F236" r:id="rId235" xr:uid="{0D4C9CD3-0A3D-D44D-B46A-F3B357270987}"/>
    <hyperlink ref="F237" r:id="rId236" xr:uid="{33AF50A6-17F2-3C47-B7A0-3979DED5B6A8}"/>
    <hyperlink ref="F238" r:id="rId237" xr:uid="{6872271A-34D5-154C-BAD7-0938CAE34C3C}"/>
    <hyperlink ref="F239" r:id="rId238" xr:uid="{C924C4B1-7764-724D-A7E0-9B38628DD8FD}"/>
    <hyperlink ref="F240" r:id="rId239" xr:uid="{58D07B90-A518-8A46-A69C-159151D123E4}"/>
    <hyperlink ref="F241" r:id="rId240" xr:uid="{B3774B07-1AB8-7242-8053-B19BDFC9690E}"/>
    <hyperlink ref="F242" r:id="rId241" xr:uid="{27A1CFF4-14A6-F947-98AF-443724EE209B}"/>
    <hyperlink ref="F243" r:id="rId242" xr:uid="{96D48BCD-06D4-F949-9C17-05C35E404CB1}"/>
    <hyperlink ref="F244" r:id="rId243" xr:uid="{AC16A61E-6F12-4A40-ABC5-EF8891421D75}"/>
    <hyperlink ref="F245" r:id="rId244" xr:uid="{EDDF6EFD-8445-CB4C-894D-49A9C007B0E1}"/>
    <hyperlink ref="F246" r:id="rId245" xr:uid="{0A6E7B6B-E26D-554D-8978-AD1E3B65B2D1}"/>
    <hyperlink ref="F247" r:id="rId246" xr:uid="{C3BEE03B-EBE8-294D-873F-1E3DCEEA9652}"/>
    <hyperlink ref="F248" r:id="rId247" xr:uid="{FA056E83-1CD6-F84C-875E-C27A05E248D6}"/>
    <hyperlink ref="F249" r:id="rId248" xr:uid="{8FAFCF6A-2096-2345-A6E7-98615D5DF326}"/>
    <hyperlink ref="F250" r:id="rId249" xr:uid="{BE8A2BFD-FBE5-884F-82FB-C41F0D6D8B7F}"/>
    <hyperlink ref="F251" r:id="rId250" xr:uid="{480EA19C-A286-4240-B368-1E14DC820276}"/>
    <hyperlink ref="F252" r:id="rId251" xr:uid="{62869C90-3483-FC4B-AA83-7CA3A1F4EC15}"/>
    <hyperlink ref="F253" r:id="rId252" xr:uid="{D7D35FC9-176B-854D-8517-AD303BDC4E1D}"/>
    <hyperlink ref="F254" r:id="rId253" xr:uid="{41A1E1ED-BB11-D44A-BDA6-9CB6324A4581}"/>
    <hyperlink ref="F255" r:id="rId254" xr:uid="{2E9E07A9-B7BF-464B-A59A-D77C0E59572B}"/>
    <hyperlink ref="F256" r:id="rId255" xr:uid="{0DACC4C4-2B31-4A46-911F-FF785D7DB821}"/>
    <hyperlink ref="F301" r:id="rId256" xr:uid="{AA0D3DA9-B3FA-F649-944E-BFF7D1BE980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projects</vt:lpstr>
      <vt:lpstr>Collections</vt:lpstr>
      <vt:lpstr>Experiments</vt:lpstr>
      <vt:lpstr>Channels</vt:lpstr>
    </vt:vector>
  </TitlesOfParts>
  <Manager/>
  <Company>GrapeCity,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dcterms:created xsi:type="dcterms:W3CDTF">2022-12-15T16:53:05Z</dcterms:created>
  <dcterms:modified xsi:type="dcterms:W3CDTF">2023-03-03T17:59:41Z</dcterms:modified>
</cp:coreProperties>
</file>